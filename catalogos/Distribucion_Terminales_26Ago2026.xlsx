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tables/table5.xml" ContentType="application/vnd.openxmlformats-officedocument.spreadsheetml.table+xml"/>
  <Override PartName="/xl/pivotTables/pivotTable6.xml" ContentType="application/vnd.openxmlformats-officedocument.spreadsheetml.pivotTable+xml"/>
  <Override PartName="/xl/tables/table6.xml" ContentType="application/vnd.openxmlformats-officedocument.spreadsheetml.table+xml"/>
  <Override PartName="/xl/pivotTables/pivotTable7.xml" ContentType="application/vnd.openxmlformats-officedocument.spreadsheetml.pivotTable+xml"/>
  <Override PartName="/xl/tables/table7.xml" ContentType="application/vnd.openxmlformats-officedocument.spreadsheetml.table+xml"/>
  <Override PartName="/xl/pivotTables/pivotTable8.xml" ContentType="application/vnd.openxmlformats-officedocument.spreadsheetml.pivot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pivotTables/pivotTable22.xml" ContentType="application/vnd.openxmlformats-officedocument.spreadsheetml.pivot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lanuevametropolsa-my.sharepoint.com/personal/mcasas_grupometropol_cl/Documents/Escritorio/"/>
    </mc:Choice>
  </mc:AlternateContent>
  <xr:revisionPtr revIDLastSave="7" documentId="14_{244AF9FC-12E1-4257-BA80-28F401BF564E}" xr6:coauthVersionLast="47" xr6:coauthVersionMax="47" xr10:uidLastSave="{1FF57781-9CE2-4967-A7DC-1D30C3DA7C01}"/>
  <bookViews>
    <workbookView xWindow="-120" yWindow="-120" windowWidth="20730" windowHeight="11040" tabRatio="599" firstSheet="10" activeTab="17" xr2:uid="{00000000-000D-0000-FFFF-FFFF00000000}"/>
  </bookViews>
  <sheets>
    <sheet name="El Retiro" sheetId="5" r:id="rId1"/>
    <sheet name="Sta. Margarita" sheetId="3" r:id="rId2"/>
    <sheet name="Coca-Cola" sheetId="4" state="hidden" r:id="rId3"/>
    <sheet name="Condell" sheetId="2" r:id="rId4"/>
    <sheet name="Sta. Marta" sheetId="14" r:id="rId5"/>
    <sheet name="A. Luco" sheetId="7" r:id="rId6"/>
    <sheet name="Pie Andino" sheetId="10" r:id="rId7"/>
    <sheet name="Juanita" sheetId="12" r:id="rId8"/>
    <sheet name="Flota Soporte" sheetId="18" r:id="rId9"/>
    <sheet name="Flota Auxiliar" sheetId="35" r:id="rId10"/>
    <sheet name="Tablas" sheetId="37" r:id="rId11"/>
    <sheet name="Dinámicas" sheetId="6" r:id="rId12"/>
    <sheet name="Resumen Distribución" sheetId="24" r:id="rId13"/>
    <sheet name="Hoja3" sheetId="36" state="hidden" r:id="rId14"/>
    <sheet name="Hoja2" sheetId="28" state="hidden" r:id="rId15"/>
    <sheet name="Hoja1" sheetId="25" state="hidden" r:id="rId16"/>
    <sheet name="Mov El Retiro" sheetId="34" state="hidden" r:id="rId17"/>
    <sheet name="Consolidado" sheetId="27" r:id="rId18"/>
    <sheet name="Histórico" sheetId="29" r:id="rId19"/>
    <sheet name="Inicio Terminales" sheetId="23" r:id="rId20"/>
    <sheet name="analisis PO" sheetId="26" state="hidden" r:id="rId21"/>
    <sheet name="Operación" sheetId="8" state="hidden" r:id="rId22"/>
  </sheets>
  <definedNames>
    <definedName name="_xlnm._FilterDatabase" localSheetId="5" hidden="1">'A. Luco'!$A$1:$H$64</definedName>
    <definedName name="_xlnm._FilterDatabase" localSheetId="2" hidden="1">'Coca-Cola'!$A$1:$H$1</definedName>
    <definedName name="_xlnm._FilterDatabase" localSheetId="3" hidden="1">Condell!$A$1:$H$111</definedName>
    <definedName name="_xlnm._FilterDatabase" localSheetId="17" hidden="1">Consolidado!#REF!</definedName>
    <definedName name="_xlnm._FilterDatabase" localSheetId="0" hidden="1">'El Retiro'!$A$1:$H$28</definedName>
    <definedName name="_xlnm._FilterDatabase" localSheetId="9" hidden="1">'Flota Auxiliar'!$A$1:$H$3</definedName>
    <definedName name="_xlnm._FilterDatabase" localSheetId="8" hidden="1">'Flota Soporte'!$A$1:$H$28</definedName>
    <definedName name="_xlnm._FilterDatabase" localSheetId="7" hidden="1">Juanita!$A$1:$H$173</definedName>
    <definedName name="_xlnm._FilterDatabase" localSheetId="16" hidden="1">'Mov El Retiro'!$A$1:$H$39</definedName>
    <definedName name="_xlnm._FilterDatabase" localSheetId="6" hidden="1">'Pie Andino'!$A$1:$H$129</definedName>
    <definedName name="_xlnm._FilterDatabase" localSheetId="1" hidden="1">'Sta. Margarita'!$A$1:$H$29</definedName>
    <definedName name="_xlnm._FilterDatabase" localSheetId="4" hidden="1">'Sta. Marta'!$A$1:$H$148</definedName>
    <definedName name="solver_eng" localSheetId="17" hidden="1">2</definedName>
    <definedName name="solver_neg" localSheetId="17" hidden="1">1</definedName>
    <definedName name="solver_num" localSheetId="17" hidden="1">0</definedName>
    <definedName name="solver_opt" localSheetId="17" hidden="1">Consolidado!$N$236</definedName>
    <definedName name="solver_typ" localSheetId="17" hidden="1">1</definedName>
    <definedName name="solver_val" localSheetId="17" hidden="1">0</definedName>
    <definedName name="solver_ver" localSheetId="17" hidden="1">3</definedName>
  </definedNames>
  <calcPr calcId="191028"/>
  <pivotCaches>
    <pivotCache cacheId="0" r:id="rId23"/>
    <pivotCache cacheId="1" r:id="rId24"/>
    <pivotCache cacheId="2" r:id="rId25"/>
    <pivotCache cacheId="3" r:id="rId26"/>
    <pivotCache cacheId="4" r:id="rId27"/>
    <pivotCache cacheId="5" r:id="rId28"/>
    <pivotCache cacheId="6" r:id="rId29"/>
    <pivotCache cacheId="7" r:id="rId30"/>
    <pivotCache cacheId="8" r:id="rId3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7" l="1"/>
  <c r="N3" i="27"/>
  <c r="N4" i="27"/>
  <c r="N5" i="27"/>
  <c r="N6" i="27"/>
  <c r="N7" i="27"/>
  <c r="N8" i="27"/>
  <c r="N9" i="27"/>
  <c r="N10" i="27"/>
  <c r="N11" i="27"/>
  <c r="N12" i="27"/>
  <c r="N13" i="27"/>
  <c r="N14" i="27"/>
  <c r="N15" i="27"/>
  <c r="N16" i="27"/>
  <c r="N17" i="27"/>
  <c r="N18" i="27"/>
  <c r="N19" i="27"/>
  <c r="N20" i="27"/>
  <c r="N21" i="27"/>
  <c r="N22" i="27"/>
  <c r="N23" i="27"/>
  <c r="N24" i="27"/>
  <c r="N25" i="27"/>
  <c r="N26" i="27"/>
  <c r="N27" i="27"/>
  <c r="N28" i="27"/>
  <c r="N29" i="27"/>
  <c r="N30" i="27"/>
  <c r="N31" i="27"/>
  <c r="N32" i="27"/>
  <c r="N33" i="27"/>
  <c r="N34" i="27"/>
  <c r="N35" i="27"/>
  <c r="N36" i="27"/>
  <c r="N37" i="27"/>
  <c r="N38" i="27"/>
  <c r="N39" i="27"/>
  <c r="N40" i="27"/>
  <c r="N41" i="27"/>
  <c r="N42" i="27"/>
  <c r="N43" i="27"/>
  <c r="N44" i="27"/>
  <c r="N45" i="27"/>
  <c r="N46" i="27"/>
  <c r="N47" i="27"/>
  <c r="N48" i="27"/>
  <c r="N49" i="27"/>
  <c r="N50" i="27"/>
  <c r="N51" i="27"/>
  <c r="N52" i="27"/>
  <c r="N53" i="27"/>
  <c r="N54" i="27"/>
  <c r="N55" i="27"/>
  <c r="N56" i="27"/>
  <c r="N57" i="27"/>
  <c r="N58" i="27"/>
  <c r="N59" i="27"/>
  <c r="N60" i="27"/>
  <c r="N61" i="27"/>
  <c r="N62" i="27"/>
  <c r="N63" i="27"/>
  <c r="N64" i="27"/>
  <c r="N65" i="27"/>
  <c r="N66" i="27"/>
  <c r="N67" i="27"/>
  <c r="N68" i="27"/>
  <c r="N69" i="27"/>
  <c r="N70" i="27"/>
  <c r="N71" i="27"/>
  <c r="N72" i="27"/>
  <c r="N73" i="27"/>
  <c r="N74" i="27"/>
  <c r="N75" i="27"/>
  <c r="N76" i="27"/>
  <c r="N77" i="27"/>
  <c r="N78" i="27"/>
  <c r="N79" i="27"/>
  <c r="N80" i="27"/>
  <c r="N81" i="27"/>
  <c r="N82" i="27"/>
  <c r="N83" i="27"/>
  <c r="N84" i="27"/>
  <c r="N85" i="27"/>
  <c r="N86" i="27"/>
  <c r="N87" i="27"/>
  <c r="N88" i="27"/>
  <c r="N89" i="27"/>
  <c r="N90" i="27"/>
  <c r="N91" i="27"/>
  <c r="N92" i="27"/>
  <c r="N93" i="27"/>
  <c r="N94" i="27"/>
  <c r="N95" i="27"/>
  <c r="N96" i="27"/>
  <c r="N97" i="27"/>
  <c r="N98" i="27"/>
  <c r="N99" i="27"/>
  <c r="N100" i="27"/>
  <c r="N101" i="27"/>
  <c r="N102" i="27"/>
  <c r="N103" i="27"/>
  <c r="N104" i="27"/>
  <c r="N105" i="27"/>
  <c r="N106" i="27"/>
  <c r="N107" i="27"/>
  <c r="N108" i="27"/>
  <c r="N109" i="27"/>
  <c r="N110" i="27"/>
  <c r="N111" i="27"/>
  <c r="N112" i="27"/>
  <c r="N113" i="27"/>
  <c r="N114" i="27"/>
  <c r="N115" i="27"/>
  <c r="N116" i="27"/>
  <c r="N117" i="27"/>
  <c r="N118" i="27"/>
  <c r="N119" i="27"/>
  <c r="N120" i="27"/>
  <c r="N121" i="27"/>
  <c r="N122" i="27"/>
  <c r="N123" i="27"/>
  <c r="N124" i="27"/>
  <c r="N125" i="27"/>
  <c r="N126" i="27"/>
  <c r="N127" i="27"/>
  <c r="N128" i="27"/>
  <c r="N129" i="27"/>
  <c r="N130" i="27"/>
  <c r="N131" i="27"/>
  <c r="N132" i="27"/>
  <c r="N133" i="27"/>
  <c r="N134" i="27"/>
  <c r="N135" i="27"/>
  <c r="N136" i="27"/>
  <c r="N137" i="27"/>
  <c r="N138" i="27"/>
  <c r="N139" i="27"/>
  <c r="N140" i="27"/>
  <c r="N141" i="27"/>
  <c r="N142" i="27"/>
  <c r="N143" i="27"/>
  <c r="N144" i="27"/>
  <c r="N145" i="27"/>
  <c r="N146" i="27"/>
  <c r="N147" i="27"/>
  <c r="N148" i="27"/>
  <c r="N149" i="27"/>
  <c r="N150" i="27"/>
  <c r="N151" i="27"/>
  <c r="N152" i="27"/>
  <c r="N153" i="27"/>
  <c r="N154" i="27"/>
  <c r="N155" i="27"/>
  <c r="N156" i="27"/>
  <c r="N157" i="27"/>
  <c r="N158" i="27"/>
  <c r="N159" i="27"/>
  <c r="N160" i="27"/>
  <c r="N161" i="27"/>
  <c r="N162" i="27"/>
  <c r="N163" i="27"/>
  <c r="N164" i="27"/>
  <c r="N165" i="27"/>
  <c r="N166" i="27"/>
  <c r="N167" i="27"/>
  <c r="N168" i="27"/>
  <c r="N169" i="27"/>
  <c r="N170" i="27"/>
  <c r="N171" i="27"/>
  <c r="N172" i="27"/>
  <c r="N173" i="27"/>
  <c r="N174" i="27"/>
  <c r="N175" i="27"/>
  <c r="N176" i="27"/>
  <c r="N177" i="27"/>
  <c r="N178" i="27"/>
  <c r="N179" i="27"/>
  <c r="N180" i="27"/>
  <c r="N181" i="27"/>
  <c r="N182" i="27"/>
  <c r="N183" i="27"/>
  <c r="N184" i="27"/>
  <c r="N185" i="27"/>
  <c r="N186" i="27"/>
  <c r="N187" i="27"/>
  <c r="N188" i="27"/>
  <c r="N189" i="27"/>
  <c r="N190" i="27"/>
  <c r="N191" i="27"/>
  <c r="N192" i="27"/>
  <c r="N193" i="27"/>
  <c r="N194" i="27"/>
  <c r="N195" i="27"/>
  <c r="N196" i="27"/>
  <c r="N197" i="27"/>
  <c r="N198" i="27"/>
  <c r="N199" i="27"/>
  <c r="N200" i="27"/>
  <c r="N201" i="27"/>
  <c r="N202" i="27"/>
  <c r="N203" i="27"/>
  <c r="N204" i="27"/>
  <c r="N205" i="27"/>
  <c r="N206" i="27"/>
  <c r="N207" i="27"/>
  <c r="N208" i="27"/>
  <c r="N209" i="27"/>
  <c r="N210" i="27"/>
  <c r="N211" i="27"/>
  <c r="N212" i="27"/>
  <c r="N213" i="27"/>
  <c r="N214" i="27"/>
  <c r="N215" i="27"/>
  <c r="N216" i="27"/>
  <c r="N217" i="27"/>
  <c r="N218" i="27"/>
  <c r="N219" i="27"/>
  <c r="N220" i="27"/>
  <c r="N221" i="27"/>
  <c r="N222" i="27"/>
  <c r="N223" i="27"/>
  <c r="N224" i="27"/>
  <c r="N225" i="27"/>
  <c r="N226" i="27"/>
  <c r="N227" i="27"/>
  <c r="N228" i="27"/>
  <c r="N229" i="27"/>
  <c r="N230" i="27"/>
  <c r="N231" i="27"/>
  <c r="N232" i="27"/>
  <c r="N233" i="27"/>
  <c r="N234" i="27"/>
  <c r="N235" i="27"/>
  <c r="N236" i="27"/>
  <c r="N237" i="27"/>
  <c r="N238" i="27"/>
  <c r="N239" i="27"/>
  <c r="N240" i="27"/>
  <c r="N241" i="27"/>
  <c r="N242" i="27"/>
  <c r="N243" i="27"/>
  <c r="N244" i="27"/>
  <c r="N245" i="27"/>
  <c r="N246" i="27"/>
  <c r="N247" i="27"/>
  <c r="N248" i="27"/>
  <c r="N249" i="27"/>
  <c r="N250" i="27"/>
  <c r="N251" i="27"/>
  <c r="N252" i="27"/>
  <c r="N253" i="27"/>
  <c r="N277" i="27"/>
  <c r="N285" i="27"/>
  <c r="N291" i="27"/>
  <c r="N302" i="27"/>
  <c r="N305" i="27"/>
  <c r="N309" i="27"/>
  <c r="N310" i="27"/>
  <c r="N254" i="27"/>
  <c r="N255" i="27"/>
  <c r="N256" i="27"/>
  <c r="N257" i="27"/>
  <c r="N258" i="27"/>
  <c r="N259" i="27"/>
  <c r="N260" i="27"/>
  <c r="N261" i="27"/>
  <c r="N262" i="27"/>
  <c r="N263" i="27"/>
  <c r="N264" i="27"/>
  <c r="N265" i="27"/>
  <c r="N266" i="27"/>
  <c r="N267" i="27"/>
  <c r="N268" i="27"/>
  <c r="N269" i="27"/>
  <c r="N270" i="27"/>
  <c r="N271" i="27"/>
  <c r="N272" i="27"/>
  <c r="N273" i="27"/>
  <c r="N274" i="27"/>
  <c r="N275" i="27"/>
  <c r="N276" i="27"/>
  <c r="N278" i="27"/>
  <c r="N279" i="27"/>
  <c r="N280" i="27"/>
  <c r="N281" i="27"/>
  <c r="N282" i="27"/>
  <c r="N283" i="27"/>
  <c r="N284" i="27"/>
  <c r="N286" i="27"/>
  <c r="N287" i="27"/>
  <c r="N288" i="27"/>
  <c r="N289" i="27"/>
  <c r="N290" i="27"/>
  <c r="N292" i="27"/>
  <c r="N293" i="27"/>
  <c r="N294" i="27"/>
  <c r="N295" i="27"/>
  <c r="N296" i="27"/>
  <c r="N297" i="27"/>
  <c r="N298" i="27"/>
  <c r="N299" i="27"/>
  <c r="N300" i="27"/>
  <c r="N301" i="27"/>
  <c r="N303" i="27"/>
  <c r="N304" i="27"/>
  <c r="N306" i="27"/>
  <c r="N307" i="27"/>
  <c r="N308" i="27"/>
  <c r="N311" i="27"/>
  <c r="N312" i="27"/>
  <c r="N313" i="27"/>
  <c r="N314" i="27"/>
  <c r="N315" i="27"/>
  <c r="N316" i="27"/>
  <c r="N317" i="27"/>
  <c r="N318" i="27"/>
  <c r="N319" i="27"/>
  <c r="N320" i="27"/>
  <c r="N321" i="27"/>
  <c r="N322" i="27"/>
  <c r="N323" i="27"/>
  <c r="N324" i="27"/>
  <c r="N325" i="27"/>
  <c r="N326" i="27"/>
  <c r="N327" i="27"/>
  <c r="N328" i="27"/>
  <c r="N329" i="27"/>
  <c r="N330" i="27"/>
  <c r="N331" i="27"/>
  <c r="N332" i="27"/>
  <c r="N333" i="27"/>
  <c r="N334" i="27"/>
  <c r="N335" i="27"/>
  <c r="N336" i="27"/>
  <c r="N337" i="27"/>
  <c r="N338" i="27"/>
  <c r="N340" i="27"/>
  <c r="N341" i="27"/>
  <c r="N342" i="27"/>
  <c r="N343" i="27"/>
  <c r="N344" i="27"/>
  <c r="N347" i="27"/>
  <c r="N348" i="27"/>
  <c r="N346" i="27"/>
  <c r="N349" i="27"/>
  <c r="N350" i="27"/>
  <c r="N351" i="27"/>
  <c r="N352" i="27"/>
  <c r="N353" i="27"/>
  <c r="N354" i="27"/>
  <c r="N355" i="27"/>
  <c r="N356" i="27"/>
  <c r="N359" i="27"/>
  <c r="N360" i="27"/>
  <c r="N361" i="27"/>
  <c r="N362" i="27"/>
  <c r="N363" i="27"/>
  <c r="N364" i="27"/>
  <c r="N365" i="27"/>
  <c r="N366" i="27"/>
  <c r="N367" i="27"/>
  <c r="N368" i="27"/>
  <c r="N369" i="27"/>
  <c r="N370" i="27"/>
  <c r="N371" i="27"/>
  <c r="N372" i="27"/>
  <c r="N373" i="27"/>
  <c r="N374" i="27"/>
  <c r="N375" i="27"/>
  <c r="N376" i="27"/>
  <c r="N377" i="27"/>
  <c r="N378" i="27"/>
  <c r="N379" i="27"/>
  <c r="N380" i="27"/>
  <c r="N381" i="27"/>
  <c r="N382" i="27"/>
  <c r="N383" i="27"/>
  <c r="N384" i="27"/>
  <c r="N385" i="27"/>
  <c r="N386" i="27"/>
  <c r="N387" i="27"/>
  <c r="N388" i="27"/>
  <c r="N389" i="27"/>
  <c r="N390" i="27"/>
  <c r="N391" i="27"/>
  <c r="N392" i="27"/>
  <c r="N393" i="27"/>
  <c r="N394" i="27"/>
  <c r="N395" i="27"/>
  <c r="N396" i="27"/>
  <c r="N397" i="27"/>
  <c r="N398" i="27"/>
  <c r="N399" i="27"/>
  <c r="N400" i="27"/>
  <c r="N401" i="27"/>
  <c r="N402" i="27"/>
  <c r="N403" i="27"/>
  <c r="N404" i="27"/>
  <c r="N405" i="27"/>
  <c r="N406" i="27"/>
  <c r="N407" i="27"/>
  <c r="N408" i="27"/>
  <c r="N409" i="27"/>
  <c r="N410" i="27"/>
  <c r="N411" i="27"/>
  <c r="N412" i="27"/>
  <c r="N413" i="27"/>
  <c r="N414" i="27"/>
  <c r="N415" i="27"/>
  <c r="N416" i="27"/>
  <c r="N417" i="27"/>
  <c r="N418" i="27"/>
  <c r="N419" i="27"/>
  <c r="N420" i="27"/>
  <c r="N421" i="27"/>
  <c r="N422" i="27"/>
  <c r="N438" i="27"/>
  <c r="N439" i="27"/>
  <c r="N440" i="27"/>
  <c r="N442" i="27"/>
  <c r="N423" i="27"/>
  <c r="N424" i="27"/>
  <c r="N425" i="27"/>
  <c r="N426" i="27"/>
  <c r="N427" i="27"/>
  <c r="N428" i="27"/>
  <c r="N429" i="27"/>
  <c r="N430" i="27"/>
  <c r="N431" i="27"/>
  <c r="N432" i="27"/>
  <c r="N433" i="27"/>
  <c r="N434" i="27"/>
  <c r="N435" i="27"/>
  <c r="N436" i="27"/>
  <c r="N437" i="27"/>
  <c r="N443" i="27"/>
  <c r="N444" i="27"/>
  <c r="N445" i="27"/>
  <c r="N441" i="27"/>
  <c r="N447" i="27"/>
  <c r="N448" i="27"/>
  <c r="N449" i="27"/>
  <c r="N490" i="27"/>
  <c r="N446" i="27"/>
  <c r="N516" i="27"/>
  <c r="N533" i="27"/>
  <c r="N535" i="27"/>
  <c r="N450" i="27"/>
  <c r="N451" i="27"/>
  <c r="N452" i="27"/>
  <c r="N453" i="27"/>
  <c r="N454" i="27"/>
  <c r="N455" i="27"/>
  <c r="N456" i="27"/>
  <c r="N457" i="27"/>
  <c r="N458" i="27"/>
  <c r="N459" i="27"/>
  <c r="N460" i="27"/>
  <c r="N461" i="27"/>
  <c r="N462" i="27"/>
  <c r="N463" i="27"/>
  <c r="N464" i="27"/>
  <c r="N465" i="27"/>
  <c r="N466" i="27"/>
  <c r="N467" i="27"/>
  <c r="N468" i="27"/>
  <c r="N469" i="27"/>
  <c r="N470" i="27"/>
  <c r="N471" i="27"/>
  <c r="N472" i="27"/>
  <c r="N473" i="27"/>
  <c r="N474" i="27"/>
  <c r="N475" i="27"/>
  <c r="N476" i="27"/>
  <c r="N477" i="27"/>
  <c r="N478" i="27"/>
  <c r="N479" i="27"/>
  <c r="N480" i="27"/>
  <c r="N481" i="27"/>
  <c r="N482" i="27"/>
  <c r="N483" i="27"/>
  <c r="N484" i="27"/>
  <c r="N485" i="27"/>
  <c r="N486" i="27"/>
  <c r="N487" i="27"/>
  <c r="N488" i="27"/>
  <c r="N489" i="27"/>
  <c r="N339" i="27"/>
  <c r="N491" i="27"/>
  <c r="N492" i="27"/>
  <c r="N493" i="27"/>
  <c r="N494" i="27"/>
  <c r="N495" i="27"/>
  <c r="N496" i="27"/>
  <c r="N497" i="27"/>
  <c r="N498" i="27"/>
  <c r="N499" i="27"/>
  <c r="N500" i="27"/>
  <c r="N501" i="27"/>
  <c r="N502" i="27"/>
  <c r="N503" i="27"/>
  <c r="N504" i="27"/>
  <c r="N505" i="27"/>
  <c r="N506" i="27"/>
  <c r="N507" i="27"/>
  <c r="N508" i="27"/>
  <c r="N509" i="27"/>
  <c r="N510" i="27"/>
  <c r="N511" i="27"/>
  <c r="N512" i="27"/>
  <c r="N513" i="27"/>
  <c r="N514" i="27"/>
  <c r="N515" i="27"/>
  <c r="N345" i="27"/>
  <c r="N517" i="27"/>
  <c r="N518" i="27"/>
  <c r="N519" i="27"/>
  <c r="N520" i="27"/>
  <c r="N521" i="27"/>
  <c r="N522" i="27"/>
  <c r="N523" i="27"/>
  <c r="N524" i="27"/>
  <c r="N525" i="27"/>
  <c r="N526" i="27"/>
  <c r="N527" i="27"/>
  <c r="N528" i="27"/>
  <c r="N529" i="27"/>
  <c r="N530" i="27"/>
  <c r="N531" i="27"/>
  <c r="N532" i="27"/>
  <c r="N357" i="27"/>
  <c r="N534" i="27"/>
  <c r="N358" i="27"/>
  <c r="N536" i="27"/>
  <c r="N537" i="27"/>
  <c r="N538" i="27"/>
  <c r="N539" i="27"/>
  <c r="N540" i="27"/>
  <c r="N541" i="27"/>
  <c r="N542" i="27"/>
  <c r="N543" i="27"/>
  <c r="N544" i="27"/>
  <c r="N545" i="27"/>
  <c r="N546" i="27"/>
  <c r="N547" i="27"/>
  <c r="N548" i="27"/>
  <c r="N549" i="27"/>
  <c r="N550" i="27"/>
  <c r="N551" i="27"/>
  <c r="N552" i="27"/>
  <c r="N553" i="27"/>
  <c r="N554" i="27"/>
  <c r="N555" i="27"/>
  <c r="N556" i="27"/>
  <c r="N557" i="27"/>
  <c r="N558" i="27"/>
  <c r="N559" i="27"/>
  <c r="N560" i="27"/>
  <c r="N561" i="27"/>
  <c r="N562" i="27"/>
  <c r="N563" i="27"/>
  <c r="N564" i="27"/>
  <c r="N565" i="27"/>
  <c r="N566" i="27"/>
  <c r="N567" i="27"/>
  <c r="N568" i="27"/>
  <c r="N569" i="27"/>
  <c r="N570" i="27"/>
  <c r="N571" i="27"/>
  <c r="N572" i="27"/>
  <c r="N573" i="27"/>
  <c r="N574" i="27"/>
  <c r="N575" i="27"/>
  <c r="N576" i="27"/>
  <c r="N577" i="27"/>
  <c r="N578" i="27"/>
  <c r="N579" i="27"/>
  <c r="N580" i="27"/>
  <c r="N581" i="27"/>
  <c r="N582" i="27"/>
  <c r="N583" i="27"/>
  <c r="N584" i="27"/>
  <c r="N585" i="27"/>
  <c r="N586" i="27"/>
  <c r="N587" i="27"/>
  <c r="N588" i="27"/>
  <c r="N589" i="27"/>
  <c r="N590" i="27"/>
  <c r="N591" i="27"/>
  <c r="N592" i="27"/>
  <c r="N593" i="27"/>
  <c r="N594" i="27"/>
  <c r="N595" i="27"/>
  <c r="N596" i="27"/>
  <c r="N597" i="27"/>
  <c r="N598" i="27"/>
  <c r="N599" i="27"/>
  <c r="N600" i="27"/>
  <c r="N601" i="27"/>
  <c r="N602" i="27"/>
  <c r="N603" i="27"/>
  <c r="N604" i="27"/>
  <c r="N605" i="27"/>
  <c r="N606" i="27"/>
  <c r="N607" i="27"/>
  <c r="N608" i="27"/>
  <c r="N609" i="27"/>
  <c r="N610" i="27"/>
  <c r="N611" i="27"/>
  <c r="N612" i="27"/>
  <c r="N613" i="27"/>
  <c r="N614" i="27"/>
  <c r="N615" i="27"/>
  <c r="N616" i="27"/>
  <c r="N617" i="27"/>
  <c r="N618" i="27"/>
  <c r="N619" i="27"/>
  <c r="N620" i="27"/>
  <c r="N621" i="27"/>
  <c r="N622" i="27"/>
  <c r="N623" i="27"/>
  <c r="N624" i="27"/>
  <c r="N625" i="27"/>
  <c r="N626" i="27"/>
  <c r="N627" i="27"/>
  <c r="N628" i="27"/>
  <c r="N629" i="27"/>
  <c r="N630" i="27"/>
  <c r="N631" i="27"/>
  <c r="N632" i="27"/>
  <c r="N633" i="27"/>
  <c r="N634" i="27"/>
  <c r="N635" i="27"/>
  <c r="N636" i="27"/>
  <c r="N637" i="27"/>
  <c r="N638" i="27"/>
  <c r="N639" i="27"/>
  <c r="N640" i="27"/>
  <c r="N641" i="27"/>
  <c r="N642" i="27"/>
  <c r="N643" i="27"/>
  <c r="N644" i="27"/>
  <c r="N645" i="27"/>
  <c r="N646" i="27"/>
  <c r="N647" i="27"/>
  <c r="N648" i="27"/>
  <c r="N649" i="27"/>
  <c r="N650" i="27"/>
  <c r="N651" i="27"/>
  <c r="N652" i="27"/>
  <c r="N653" i="27"/>
  <c r="N654" i="27"/>
  <c r="N655" i="27"/>
  <c r="N656" i="27"/>
  <c r="N657" i="27"/>
  <c r="N658" i="27"/>
  <c r="N659" i="27"/>
  <c r="N660" i="27"/>
  <c r="N661" i="27"/>
  <c r="N662" i="27"/>
  <c r="N663" i="27"/>
  <c r="N664" i="27"/>
  <c r="N665" i="27"/>
  <c r="N666" i="27"/>
  <c r="N667" i="27"/>
  <c r="N668" i="27"/>
  <c r="N669" i="27"/>
  <c r="N670" i="27"/>
  <c r="N671" i="27"/>
  <c r="N672" i="27"/>
  <c r="N673" i="27"/>
  <c r="N674" i="27"/>
  <c r="N675" i="27"/>
  <c r="N676" i="27"/>
  <c r="N677" i="27"/>
  <c r="N678" i="27"/>
  <c r="N679" i="27"/>
  <c r="N680" i="27"/>
  <c r="N681" i="27"/>
  <c r="N682" i="27"/>
  <c r="N683" i="27"/>
  <c r="N684" i="27"/>
  <c r="N685" i="27"/>
  <c r="N686" i="27"/>
  <c r="N687" i="27"/>
  <c r="N688" i="27"/>
  <c r="N689" i="27"/>
  <c r="N690" i="27"/>
  <c r="N691" i="27"/>
  <c r="N692" i="27"/>
  <c r="N693" i="27"/>
  <c r="N694" i="27"/>
  <c r="N695" i="27"/>
  <c r="N696" i="27"/>
  <c r="N697" i="27"/>
  <c r="N698" i="27"/>
  <c r="N699" i="27"/>
  <c r="N700" i="27"/>
  <c r="N701" i="27"/>
  <c r="N702" i="27"/>
  <c r="N703" i="27"/>
  <c r="N704" i="27"/>
  <c r="N705" i="27"/>
  <c r="N706" i="27"/>
  <c r="N707" i="27"/>
  <c r="N708" i="27"/>
  <c r="N709" i="27"/>
  <c r="N710" i="27"/>
  <c r="N711" i="27"/>
  <c r="N712" i="27"/>
  <c r="N713" i="27"/>
  <c r="N714" i="27"/>
  <c r="N715" i="27"/>
  <c r="N716" i="27"/>
  <c r="N717" i="27"/>
  <c r="N718" i="27"/>
  <c r="N719" i="27"/>
  <c r="N720" i="27"/>
  <c r="N721" i="27"/>
  <c r="N722" i="27"/>
  <c r="N723" i="27"/>
  <c r="N724" i="27"/>
  <c r="N725" i="27"/>
  <c r="N726" i="27"/>
  <c r="N727" i="27"/>
  <c r="N728" i="27"/>
  <c r="N729" i="27"/>
  <c r="N730" i="27"/>
  <c r="N731" i="27"/>
  <c r="N732" i="27"/>
  <c r="N733" i="27"/>
  <c r="N734" i="27"/>
  <c r="N735" i="27"/>
  <c r="N736" i="27"/>
  <c r="N737" i="27"/>
  <c r="O2" i="27"/>
  <c r="O3" i="27"/>
  <c r="O4" i="27"/>
  <c r="O5" i="27"/>
  <c r="O6" i="27"/>
  <c r="O7" i="27"/>
  <c r="O8" i="27"/>
  <c r="O9" i="27"/>
  <c r="O10" i="27"/>
  <c r="O11" i="27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41" i="27"/>
  <c r="O42" i="27"/>
  <c r="O43" i="27"/>
  <c r="O44" i="27"/>
  <c r="O45" i="27"/>
  <c r="O46" i="27"/>
  <c r="O47" i="27"/>
  <c r="O48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66" i="27"/>
  <c r="O67" i="27"/>
  <c r="O68" i="27"/>
  <c r="O69" i="27"/>
  <c r="O70" i="27"/>
  <c r="O71" i="27"/>
  <c r="O72" i="27"/>
  <c r="O73" i="27"/>
  <c r="O74" i="27"/>
  <c r="O75" i="27"/>
  <c r="O76" i="27"/>
  <c r="O77" i="27"/>
  <c r="O78" i="27"/>
  <c r="O79" i="27"/>
  <c r="O80" i="27"/>
  <c r="O81" i="27"/>
  <c r="O82" i="27"/>
  <c r="O83" i="27"/>
  <c r="O84" i="27"/>
  <c r="O85" i="27"/>
  <c r="O86" i="27"/>
  <c r="O87" i="27"/>
  <c r="O88" i="27"/>
  <c r="O89" i="27"/>
  <c r="O90" i="27"/>
  <c r="O91" i="27"/>
  <c r="O92" i="27"/>
  <c r="O93" i="27"/>
  <c r="O94" i="27"/>
  <c r="O95" i="27"/>
  <c r="O96" i="27"/>
  <c r="O97" i="27"/>
  <c r="O98" i="27"/>
  <c r="O99" i="27"/>
  <c r="O100" i="27"/>
  <c r="O101" i="27"/>
  <c r="O102" i="27"/>
  <c r="O103" i="27"/>
  <c r="O104" i="27"/>
  <c r="O105" i="27"/>
  <c r="O106" i="27"/>
  <c r="O107" i="27"/>
  <c r="O108" i="27"/>
  <c r="O109" i="27"/>
  <c r="O110" i="27"/>
  <c r="O111" i="27"/>
  <c r="O112" i="27"/>
  <c r="O113" i="27"/>
  <c r="O114" i="27"/>
  <c r="O115" i="27"/>
  <c r="O116" i="27"/>
  <c r="O117" i="27"/>
  <c r="O118" i="27"/>
  <c r="O119" i="27"/>
  <c r="O120" i="27"/>
  <c r="O121" i="27"/>
  <c r="O122" i="27"/>
  <c r="O123" i="27"/>
  <c r="O124" i="27"/>
  <c r="O125" i="27"/>
  <c r="O126" i="27"/>
  <c r="O127" i="27"/>
  <c r="O128" i="27"/>
  <c r="O129" i="27"/>
  <c r="O130" i="27"/>
  <c r="O131" i="27"/>
  <c r="O132" i="27"/>
  <c r="O133" i="27"/>
  <c r="O134" i="27"/>
  <c r="O135" i="27"/>
  <c r="O136" i="27"/>
  <c r="O137" i="27"/>
  <c r="O138" i="27"/>
  <c r="O139" i="27"/>
  <c r="O140" i="27"/>
  <c r="O141" i="27"/>
  <c r="O142" i="27"/>
  <c r="O143" i="27"/>
  <c r="O144" i="27"/>
  <c r="O145" i="27"/>
  <c r="O146" i="27"/>
  <c r="O147" i="27"/>
  <c r="O148" i="27"/>
  <c r="O149" i="27"/>
  <c r="O150" i="27"/>
  <c r="O151" i="27"/>
  <c r="O152" i="27"/>
  <c r="O153" i="27"/>
  <c r="O154" i="27"/>
  <c r="O155" i="27"/>
  <c r="O156" i="27"/>
  <c r="O157" i="27"/>
  <c r="O158" i="27"/>
  <c r="O159" i="27"/>
  <c r="O160" i="27"/>
  <c r="O161" i="27"/>
  <c r="O162" i="27"/>
  <c r="O163" i="27"/>
  <c r="O164" i="27"/>
  <c r="O165" i="27"/>
  <c r="O166" i="27"/>
  <c r="O167" i="27"/>
  <c r="O168" i="27"/>
  <c r="O169" i="27"/>
  <c r="O170" i="27"/>
  <c r="O171" i="27"/>
  <c r="O172" i="27"/>
  <c r="O173" i="27"/>
  <c r="O174" i="27"/>
  <c r="O175" i="27"/>
  <c r="O176" i="27"/>
  <c r="O177" i="27"/>
  <c r="O178" i="27"/>
  <c r="O179" i="27"/>
  <c r="O180" i="27"/>
  <c r="O181" i="27"/>
  <c r="O182" i="27"/>
  <c r="O183" i="27"/>
  <c r="O184" i="27"/>
  <c r="O185" i="27"/>
  <c r="O186" i="27"/>
  <c r="O187" i="27"/>
  <c r="O188" i="27"/>
  <c r="O189" i="27"/>
  <c r="O190" i="27"/>
  <c r="O191" i="27"/>
  <c r="O192" i="27"/>
  <c r="O193" i="27"/>
  <c r="O194" i="27"/>
  <c r="O195" i="27"/>
  <c r="O196" i="27"/>
  <c r="O197" i="27"/>
  <c r="O198" i="27"/>
  <c r="O199" i="27"/>
  <c r="O200" i="27"/>
  <c r="O201" i="27"/>
  <c r="O202" i="27"/>
  <c r="O203" i="27"/>
  <c r="O204" i="27"/>
  <c r="O205" i="27"/>
  <c r="O206" i="27"/>
  <c r="O207" i="27"/>
  <c r="O208" i="27"/>
  <c r="O209" i="27"/>
  <c r="O210" i="27"/>
  <c r="O211" i="27"/>
  <c r="O212" i="27"/>
  <c r="O213" i="27"/>
  <c r="O214" i="27"/>
  <c r="O215" i="27"/>
  <c r="O216" i="27"/>
  <c r="O217" i="27"/>
  <c r="O218" i="27"/>
  <c r="O219" i="27"/>
  <c r="O220" i="27"/>
  <c r="O221" i="27"/>
  <c r="O222" i="27"/>
  <c r="O223" i="27"/>
  <c r="O224" i="27"/>
  <c r="O225" i="27"/>
  <c r="O226" i="27"/>
  <c r="O227" i="27"/>
  <c r="O228" i="27"/>
  <c r="O229" i="27"/>
  <c r="O230" i="27"/>
  <c r="O231" i="27"/>
  <c r="O232" i="27"/>
  <c r="O233" i="27"/>
  <c r="O234" i="27"/>
  <c r="O235" i="27"/>
  <c r="O236" i="27"/>
  <c r="O237" i="27"/>
  <c r="O238" i="27"/>
  <c r="O239" i="27"/>
  <c r="O240" i="27"/>
  <c r="O241" i="27"/>
  <c r="O242" i="27"/>
  <c r="O243" i="27"/>
  <c r="O244" i="27"/>
  <c r="O245" i="27"/>
  <c r="O246" i="27"/>
  <c r="O247" i="27"/>
  <c r="O248" i="27"/>
  <c r="O249" i="27"/>
  <c r="O250" i="27"/>
  <c r="O251" i="27"/>
  <c r="O252" i="27"/>
  <c r="O253" i="27"/>
  <c r="O277" i="27"/>
  <c r="O285" i="27"/>
  <c r="O291" i="27"/>
  <c r="O302" i="27"/>
  <c r="O305" i="27"/>
  <c r="O309" i="27"/>
  <c r="O310" i="27"/>
  <c r="O254" i="27"/>
  <c r="O255" i="27"/>
  <c r="O256" i="27"/>
  <c r="O257" i="27"/>
  <c r="O258" i="27"/>
  <c r="O259" i="27"/>
  <c r="O260" i="27"/>
  <c r="O261" i="27"/>
  <c r="O262" i="27"/>
  <c r="O263" i="27"/>
  <c r="O264" i="27"/>
  <c r="O265" i="27"/>
  <c r="O266" i="27"/>
  <c r="O267" i="27"/>
  <c r="O268" i="27"/>
  <c r="O269" i="27"/>
  <c r="O270" i="27"/>
  <c r="O271" i="27"/>
  <c r="O272" i="27"/>
  <c r="O273" i="27"/>
  <c r="O274" i="27"/>
  <c r="O275" i="27"/>
  <c r="O276" i="27"/>
  <c r="O278" i="27"/>
  <c r="O279" i="27"/>
  <c r="O280" i="27"/>
  <c r="O281" i="27"/>
  <c r="O282" i="27"/>
  <c r="O283" i="27"/>
  <c r="O284" i="27"/>
  <c r="O286" i="27"/>
  <c r="O287" i="27"/>
  <c r="O288" i="27"/>
  <c r="O289" i="27"/>
  <c r="O290" i="27"/>
  <c r="O292" i="27"/>
  <c r="O293" i="27"/>
  <c r="O294" i="27"/>
  <c r="O295" i="27"/>
  <c r="O296" i="27"/>
  <c r="O297" i="27"/>
  <c r="O298" i="27"/>
  <c r="O299" i="27"/>
  <c r="O300" i="27"/>
  <c r="O301" i="27"/>
  <c r="O303" i="27"/>
  <c r="O304" i="27"/>
  <c r="O306" i="27"/>
  <c r="O307" i="27"/>
  <c r="O308" i="27"/>
  <c r="O311" i="27"/>
  <c r="O312" i="27"/>
  <c r="O313" i="27"/>
  <c r="O314" i="27"/>
  <c r="O315" i="27"/>
  <c r="O316" i="27"/>
  <c r="O317" i="27"/>
  <c r="O318" i="27"/>
  <c r="O319" i="27"/>
  <c r="O320" i="27"/>
  <c r="O321" i="27"/>
  <c r="O322" i="27"/>
  <c r="O323" i="27"/>
  <c r="O324" i="27"/>
  <c r="O325" i="27"/>
  <c r="O326" i="27"/>
  <c r="O327" i="27"/>
  <c r="O328" i="27"/>
  <c r="O329" i="27"/>
  <c r="O330" i="27"/>
  <c r="O331" i="27"/>
  <c r="O332" i="27"/>
  <c r="O333" i="27"/>
  <c r="O334" i="27"/>
  <c r="O335" i="27"/>
  <c r="O336" i="27"/>
  <c r="O337" i="27"/>
  <c r="O338" i="27"/>
  <c r="O340" i="27"/>
  <c r="O341" i="27"/>
  <c r="O342" i="27"/>
  <c r="O343" i="27"/>
  <c r="O344" i="27"/>
  <c r="O347" i="27"/>
  <c r="O348" i="27"/>
  <c r="O346" i="27"/>
  <c r="O349" i="27"/>
  <c r="O350" i="27"/>
  <c r="O351" i="27"/>
  <c r="O352" i="27"/>
  <c r="O353" i="27"/>
  <c r="O354" i="27"/>
  <c r="O355" i="27"/>
  <c r="O356" i="27"/>
  <c r="O359" i="27"/>
  <c r="O360" i="27"/>
  <c r="O361" i="27"/>
  <c r="O362" i="27"/>
  <c r="O363" i="27"/>
  <c r="O364" i="27"/>
  <c r="O365" i="27"/>
  <c r="O366" i="27"/>
  <c r="O367" i="27"/>
  <c r="O368" i="27"/>
  <c r="O369" i="27"/>
  <c r="O370" i="27"/>
  <c r="O371" i="27"/>
  <c r="O372" i="27"/>
  <c r="O373" i="27"/>
  <c r="O374" i="27"/>
  <c r="O375" i="27"/>
  <c r="O376" i="27"/>
  <c r="O377" i="27"/>
  <c r="O378" i="27"/>
  <c r="O379" i="27"/>
  <c r="O380" i="27"/>
  <c r="O381" i="27"/>
  <c r="O382" i="27"/>
  <c r="O383" i="27"/>
  <c r="O384" i="27"/>
  <c r="O385" i="27"/>
  <c r="O386" i="27"/>
  <c r="O387" i="27"/>
  <c r="O388" i="27"/>
  <c r="O389" i="27"/>
  <c r="O390" i="27"/>
  <c r="O391" i="27"/>
  <c r="O392" i="27"/>
  <c r="O393" i="27"/>
  <c r="O394" i="27"/>
  <c r="O395" i="27"/>
  <c r="O396" i="27"/>
  <c r="O397" i="27"/>
  <c r="O398" i="27"/>
  <c r="O399" i="27"/>
  <c r="O400" i="27"/>
  <c r="O401" i="27"/>
  <c r="O402" i="27"/>
  <c r="O403" i="27"/>
  <c r="O404" i="27"/>
  <c r="O405" i="27"/>
  <c r="O406" i="27"/>
  <c r="O407" i="27"/>
  <c r="O408" i="27"/>
  <c r="O409" i="27"/>
  <c r="O410" i="27"/>
  <c r="O411" i="27"/>
  <c r="O412" i="27"/>
  <c r="O413" i="27"/>
  <c r="O414" i="27"/>
  <c r="O415" i="27"/>
  <c r="O416" i="27"/>
  <c r="O417" i="27"/>
  <c r="O418" i="27"/>
  <c r="O419" i="27"/>
  <c r="O420" i="27"/>
  <c r="O421" i="27"/>
  <c r="O422" i="27"/>
  <c r="O438" i="27"/>
  <c r="O439" i="27"/>
  <c r="O440" i="27"/>
  <c r="O442" i="27"/>
  <c r="O423" i="27"/>
  <c r="O424" i="27"/>
  <c r="O425" i="27"/>
  <c r="O426" i="27"/>
  <c r="O427" i="27"/>
  <c r="O428" i="27"/>
  <c r="O429" i="27"/>
  <c r="O430" i="27"/>
  <c r="O431" i="27"/>
  <c r="O432" i="27"/>
  <c r="O433" i="27"/>
  <c r="O434" i="27"/>
  <c r="O435" i="27"/>
  <c r="O436" i="27"/>
  <c r="O437" i="27"/>
  <c r="O443" i="27"/>
  <c r="O444" i="27"/>
  <c r="O445" i="27"/>
  <c r="O441" i="27"/>
  <c r="O447" i="27"/>
  <c r="O448" i="27"/>
  <c r="O449" i="27"/>
  <c r="O490" i="27"/>
  <c r="O446" i="27"/>
  <c r="O516" i="27"/>
  <c r="O533" i="27"/>
  <c r="O535" i="27"/>
  <c r="O450" i="27"/>
  <c r="O451" i="27"/>
  <c r="O452" i="27"/>
  <c r="O453" i="27"/>
  <c r="O454" i="27"/>
  <c r="O455" i="27"/>
  <c r="O456" i="27"/>
  <c r="O457" i="27"/>
  <c r="O458" i="27"/>
  <c r="O459" i="27"/>
  <c r="O460" i="27"/>
  <c r="O461" i="27"/>
  <c r="O462" i="27"/>
  <c r="O463" i="27"/>
  <c r="O464" i="27"/>
  <c r="O465" i="27"/>
  <c r="O466" i="27"/>
  <c r="O467" i="27"/>
  <c r="O468" i="27"/>
  <c r="O469" i="27"/>
  <c r="O470" i="27"/>
  <c r="O471" i="27"/>
  <c r="O472" i="27"/>
  <c r="O473" i="27"/>
  <c r="O474" i="27"/>
  <c r="O475" i="27"/>
  <c r="O476" i="27"/>
  <c r="O477" i="27"/>
  <c r="O478" i="27"/>
  <c r="O479" i="27"/>
  <c r="O480" i="27"/>
  <c r="O481" i="27"/>
  <c r="O482" i="27"/>
  <c r="O483" i="27"/>
  <c r="O484" i="27"/>
  <c r="O485" i="27"/>
  <c r="O486" i="27"/>
  <c r="O487" i="27"/>
  <c r="O488" i="27"/>
  <c r="O489" i="27"/>
  <c r="O339" i="27"/>
  <c r="O491" i="27"/>
  <c r="O492" i="27"/>
  <c r="O493" i="27"/>
  <c r="O494" i="27"/>
  <c r="O495" i="27"/>
  <c r="O496" i="27"/>
  <c r="O497" i="27"/>
  <c r="O498" i="27"/>
  <c r="O499" i="27"/>
  <c r="O500" i="27"/>
  <c r="O501" i="27"/>
  <c r="O502" i="27"/>
  <c r="O503" i="27"/>
  <c r="O504" i="27"/>
  <c r="O505" i="27"/>
  <c r="O506" i="27"/>
  <c r="O507" i="27"/>
  <c r="O508" i="27"/>
  <c r="O509" i="27"/>
  <c r="O510" i="27"/>
  <c r="O511" i="27"/>
  <c r="O512" i="27"/>
  <c r="O513" i="27"/>
  <c r="O514" i="27"/>
  <c r="O515" i="27"/>
  <c r="O345" i="27"/>
  <c r="O517" i="27"/>
  <c r="O518" i="27"/>
  <c r="O519" i="27"/>
  <c r="O520" i="27"/>
  <c r="O521" i="27"/>
  <c r="O522" i="27"/>
  <c r="O523" i="27"/>
  <c r="O524" i="27"/>
  <c r="O525" i="27"/>
  <c r="O526" i="27"/>
  <c r="O527" i="27"/>
  <c r="O528" i="27"/>
  <c r="O529" i="27"/>
  <c r="O530" i="27"/>
  <c r="O531" i="27"/>
  <c r="O532" i="27"/>
  <c r="O357" i="27"/>
  <c r="O534" i="27"/>
  <c r="O358" i="27"/>
  <c r="O536" i="27"/>
  <c r="O537" i="27"/>
  <c r="O538" i="27"/>
  <c r="O539" i="27"/>
  <c r="O540" i="27"/>
  <c r="O541" i="27"/>
  <c r="O542" i="27"/>
  <c r="O543" i="27"/>
  <c r="O544" i="27"/>
  <c r="O545" i="27"/>
  <c r="O546" i="27"/>
  <c r="O547" i="27"/>
  <c r="O548" i="27"/>
  <c r="O549" i="27"/>
  <c r="O550" i="27"/>
  <c r="O551" i="27"/>
  <c r="O552" i="27"/>
  <c r="O553" i="27"/>
  <c r="O554" i="27"/>
  <c r="O555" i="27"/>
  <c r="O556" i="27"/>
  <c r="O557" i="27"/>
  <c r="O558" i="27"/>
  <c r="O559" i="27"/>
  <c r="O560" i="27"/>
  <c r="O561" i="27"/>
  <c r="O562" i="27"/>
  <c r="O563" i="27"/>
  <c r="O564" i="27"/>
  <c r="O565" i="27"/>
  <c r="O566" i="27"/>
  <c r="O567" i="27"/>
  <c r="O568" i="27"/>
  <c r="O569" i="27"/>
  <c r="O570" i="27"/>
  <c r="O571" i="27"/>
  <c r="O572" i="27"/>
  <c r="O573" i="27"/>
  <c r="O574" i="27"/>
  <c r="O575" i="27"/>
  <c r="O576" i="27"/>
  <c r="O577" i="27"/>
  <c r="O578" i="27"/>
  <c r="O579" i="27"/>
  <c r="O580" i="27"/>
  <c r="O581" i="27"/>
  <c r="O582" i="27"/>
  <c r="O583" i="27"/>
  <c r="O584" i="27"/>
  <c r="O585" i="27"/>
  <c r="O586" i="27"/>
  <c r="O587" i="27"/>
  <c r="O588" i="27"/>
  <c r="O589" i="27"/>
  <c r="O590" i="27"/>
  <c r="O591" i="27"/>
  <c r="O592" i="27"/>
  <c r="O593" i="27"/>
  <c r="O594" i="27"/>
  <c r="O595" i="27"/>
  <c r="O596" i="27"/>
  <c r="O597" i="27"/>
  <c r="O598" i="27"/>
  <c r="O599" i="27"/>
  <c r="O600" i="27"/>
  <c r="O601" i="27"/>
  <c r="O602" i="27"/>
  <c r="O603" i="27"/>
  <c r="O604" i="27"/>
  <c r="O605" i="27"/>
  <c r="O606" i="27"/>
  <c r="O607" i="27"/>
  <c r="O608" i="27"/>
  <c r="O609" i="27"/>
  <c r="O610" i="27"/>
  <c r="O611" i="27"/>
  <c r="O612" i="27"/>
  <c r="O613" i="27"/>
  <c r="O614" i="27"/>
  <c r="O615" i="27"/>
  <c r="O616" i="27"/>
  <c r="O617" i="27"/>
  <c r="O618" i="27"/>
  <c r="O619" i="27"/>
  <c r="O620" i="27"/>
  <c r="O621" i="27"/>
  <c r="O622" i="27"/>
  <c r="O623" i="27"/>
  <c r="O624" i="27"/>
  <c r="O625" i="27"/>
  <c r="O626" i="27"/>
  <c r="O627" i="27"/>
  <c r="O628" i="27"/>
  <c r="O629" i="27"/>
  <c r="O630" i="27"/>
  <c r="O631" i="27"/>
  <c r="O632" i="27"/>
  <c r="O633" i="27"/>
  <c r="O634" i="27"/>
  <c r="O635" i="27"/>
  <c r="O636" i="27"/>
  <c r="O637" i="27"/>
  <c r="O638" i="27"/>
  <c r="O639" i="27"/>
  <c r="O640" i="27"/>
  <c r="O641" i="27"/>
  <c r="O642" i="27"/>
  <c r="O643" i="27"/>
  <c r="O644" i="27"/>
  <c r="O645" i="27"/>
  <c r="O646" i="27"/>
  <c r="O647" i="27"/>
  <c r="O648" i="27"/>
  <c r="O649" i="27"/>
  <c r="O650" i="27"/>
  <c r="O651" i="27"/>
  <c r="O652" i="27"/>
  <c r="O653" i="27"/>
  <c r="O654" i="27"/>
  <c r="O655" i="27"/>
  <c r="O656" i="27"/>
  <c r="O657" i="27"/>
  <c r="O658" i="27"/>
  <c r="O659" i="27"/>
  <c r="O660" i="27"/>
  <c r="O661" i="27"/>
  <c r="O662" i="27"/>
  <c r="O663" i="27"/>
  <c r="O664" i="27"/>
  <c r="O665" i="27"/>
  <c r="O666" i="27"/>
  <c r="O667" i="27"/>
  <c r="O668" i="27"/>
  <c r="O669" i="27"/>
  <c r="O670" i="27"/>
  <c r="O671" i="27"/>
  <c r="O672" i="27"/>
  <c r="O673" i="27"/>
  <c r="O674" i="27"/>
  <c r="O675" i="27"/>
  <c r="O676" i="27"/>
  <c r="O677" i="27"/>
  <c r="O678" i="27"/>
  <c r="O679" i="27"/>
  <c r="O680" i="27"/>
  <c r="O681" i="27"/>
  <c r="O682" i="27"/>
  <c r="O683" i="27"/>
  <c r="O684" i="27"/>
  <c r="O685" i="27"/>
  <c r="O686" i="27"/>
  <c r="O687" i="27"/>
  <c r="O688" i="27"/>
  <c r="O689" i="27"/>
  <c r="O690" i="27"/>
  <c r="O691" i="27"/>
  <c r="O692" i="27"/>
  <c r="O693" i="27"/>
  <c r="O694" i="27"/>
  <c r="O695" i="27"/>
  <c r="O696" i="27"/>
  <c r="O697" i="27"/>
  <c r="O698" i="27"/>
  <c r="O699" i="27"/>
  <c r="O700" i="27"/>
  <c r="O701" i="27"/>
  <c r="O702" i="27"/>
  <c r="O703" i="27"/>
  <c r="O704" i="27"/>
  <c r="O705" i="27"/>
  <c r="O706" i="27"/>
  <c r="O707" i="27"/>
  <c r="O708" i="27"/>
  <c r="O709" i="27"/>
  <c r="O710" i="27"/>
  <c r="O711" i="27"/>
  <c r="O712" i="27"/>
  <c r="O713" i="27"/>
  <c r="O714" i="27"/>
  <c r="O715" i="27"/>
  <c r="O716" i="27"/>
  <c r="O717" i="27"/>
  <c r="O718" i="27"/>
  <c r="O719" i="27"/>
  <c r="O720" i="27"/>
  <c r="O721" i="27"/>
  <c r="O722" i="27"/>
  <c r="O723" i="27"/>
  <c r="O724" i="27"/>
  <c r="O725" i="27"/>
  <c r="O726" i="27"/>
  <c r="O727" i="27"/>
  <c r="O728" i="27"/>
  <c r="O729" i="27"/>
  <c r="O730" i="27"/>
  <c r="O731" i="27"/>
  <c r="O732" i="27"/>
  <c r="O733" i="27"/>
  <c r="O734" i="27"/>
  <c r="O735" i="27"/>
  <c r="O736" i="27"/>
  <c r="O737" i="27"/>
  <c r="P2" i="27"/>
  <c r="P3" i="27"/>
  <c r="P4" i="27"/>
  <c r="P5" i="27"/>
  <c r="P6" i="27"/>
  <c r="P7" i="27"/>
  <c r="P8" i="27"/>
  <c r="P9" i="27"/>
  <c r="P10" i="27"/>
  <c r="P11" i="27"/>
  <c r="P12" i="27"/>
  <c r="P13" i="27"/>
  <c r="P14" i="27"/>
  <c r="P15" i="27"/>
  <c r="P16" i="27"/>
  <c r="P17" i="27"/>
  <c r="P18" i="27"/>
  <c r="P19" i="27"/>
  <c r="P20" i="27"/>
  <c r="P21" i="27"/>
  <c r="P22" i="27"/>
  <c r="P23" i="27"/>
  <c r="P24" i="27"/>
  <c r="P25" i="27"/>
  <c r="P26" i="27"/>
  <c r="P27" i="27"/>
  <c r="P28" i="27"/>
  <c r="P29" i="27"/>
  <c r="P30" i="27"/>
  <c r="P31" i="27"/>
  <c r="P32" i="27"/>
  <c r="P33" i="27"/>
  <c r="P34" i="27"/>
  <c r="P35" i="27"/>
  <c r="P36" i="27"/>
  <c r="P37" i="27"/>
  <c r="P38" i="27"/>
  <c r="P39" i="27"/>
  <c r="P40" i="27"/>
  <c r="P41" i="27"/>
  <c r="P42" i="27"/>
  <c r="P43" i="27"/>
  <c r="P44" i="27"/>
  <c r="P45" i="27"/>
  <c r="P46" i="27"/>
  <c r="P47" i="27"/>
  <c r="P48" i="27"/>
  <c r="P49" i="27"/>
  <c r="P50" i="27"/>
  <c r="P51" i="27"/>
  <c r="P52" i="27"/>
  <c r="P53" i="27"/>
  <c r="P54" i="27"/>
  <c r="P55" i="27"/>
  <c r="P56" i="27"/>
  <c r="P57" i="27"/>
  <c r="P58" i="27"/>
  <c r="P59" i="27"/>
  <c r="P60" i="27"/>
  <c r="P61" i="27"/>
  <c r="P62" i="27"/>
  <c r="P63" i="27"/>
  <c r="P64" i="27"/>
  <c r="P65" i="27"/>
  <c r="P66" i="27"/>
  <c r="P67" i="27"/>
  <c r="P68" i="27"/>
  <c r="P69" i="27"/>
  <c r="P70" i="27"/>
  <c r="P71" i="27"/>
  <c r="P72" i="27"/>
  <c r="P73" i="27"/>
  <c r="P74" i="27"/>
  <c r="P75" i="27"/>
  <c r="P76" i="27"/>
  <c r="P77" i="27"/>
  <c r="P78" i="27"/>
  <c r="P79" i="27"/>
  <c r="P80" i="27"/>
  <c r="P81" i="27"/>
  <c r="P82" i="27"/>
  <c r="P83" i="27"/>
  <c r="P84" i="27"/>
  <c r="P85" i="27"/>
  <c r="P86" i="27"/>
  <c r="P87" i="27"/>
  <c r="P88" i="27"/>
  <c r="P89" i="27"/>
  <c r="P90" i="27"/>
  <c r="P91" i="27"/>
  <c r="P92" i="27"/>
  <c r="P93" i="27"/>
  <c r="P94" i="27"/>
  <c r="P95" i="27"/>
  <c r="P96" i="27"/>
  <c r="P97" i="27"/>
  <c r="P98" i="27"/>
  <c r="P99" i="27"/>
  <c r="P100" i="27"/>
  <c r="P101" i="27"/>
  <c r="P102" i="27"/>
  <c r="P103" i="27"/>
  <c r="P104" i="27"/>
  <c r="P105" i="27"/>
  <c r="P106" i="27"/>
  <c r="P107" i="27"/>
  <c r="P108" i="27"/>
  <c r="P109" i="27"/>
  <c r="P110" i="27"/>
  <c r="P111" i="27"/>
  <c r="P112" i="27"/>
  <c r="P113" i="27"/>
  <c r="P114" i="27"/>
  <c r="P115" i="27"/>
  <c r="P116" i="27"/>
  <c r="P117" i="27"/>
  <c r="P118" i="27"/>
  <c r="P119" i="27"/>
  <c r="P120" i="27"/>
  <c r="P121" i="27"/>
  <c r="P122" i="27"/>
  <c r="P123" i="27"/>
  <c r="P124" i="27"/>
  <c r="P125" i="27"/>
  <c r="P126" i="27"/>
  <c r="P127" i="27"/>
  <c r="P128" i="27"/>
  <c r="P129" i="27"/>
  <c r="P130" i="27"/>
  <c r="P131" i="27"/>
  <c r="P132" i="27"/>
  <c r="P133" i="27"/>
  <c r="P134" i="27"/>
  <c r="P135" i="27"/>
  <c r="P136" i="27"/>
  <c r="P137" i="27"/>
  <c r="P138" i="27"/>
  <c r="P139" i="27"/>
  <c r="P140" i="27"/>
  <c r="P141" i="27"/>
  <c r="P142" i="27"/>
  <c r="P143" i="27"/>
  <c r="P144" i="27"/>
  <c r="P145" i="27"/>
  <c r="P146" i="27"/>
  <c r="P147" i="27"/>
  <c r="P148" i="27"/>
  <c r="P149" i="27"/>
  <c r="P150" i="27"/>
  <c r="P151" i="27"/>
  <c r="P152" i="27"/>
  <c r="P153" i="27"/>
  <c r="P154" i="27"/>
  <c r="P155" i="27"/>
  <c r="P156" i="27"/>
  <c r="P157" i="27"/>
  <c r="P158" i="27"/>
  <c r="P159" i="27"/>
  <c r="P160" i="27"/>
  <c r="P161" i="27"/>
  <c r="P162" i="27"/>
  <c r="P163" i="27"/>
  <c r="P164" i="27"/>
  <c r="P165" i="27"/>
  <c r="P166" i="27"/>
  <c r="P167" i="27"/>
  <c r="P168" i="27"/>
  <c r="P169" i="27"/>
  <c r="P170" i="27"/>
  <c r="P171" i="27"/>
  <c r="P172" i="27"/>
  <c r="P173" i="27"/>
  <c r="P174" i="27"/>
  <c r="P175" i="27"/>
  <c r="P176" i="27"/>
  <c r="P177" i="27"/>
  <c r="P178" i="27"/>
  <c r="P179" i="27"/>
  <c r="P180" i="27"/>
  <c r="P181" i="27"/>
  <c r="P182" i="27"/>
  <c r="P183" i="27"/>
  <c r="P184" i="27"/>
  <c r="P185" i="27"/>
  <c r="P186" i="27"/>
  <c r="P187" i="27"/>
  <c r="P188" i="27"/>
  <c r="P189" i="27"/>
  <c r="P190" i="27"/>
  <c r="P191" i="27"/>
  <c r="P192" i="27"/>
  <c r="P193" i="27"/>
  <c r="P194" i="27"/>
  <c r="P195" i="27"/>
  <c r="P196" i="27"/>
  <c r="P197" i="27"/>
  <c r="P198" i="27"/>
  <c r="P199" i="27"/>
  <c r="P200" i="27"/>
  <c r="P201" i="27"/>
  <c r="P202" i="27"/>
  <c r="P203" i="27"/>
  <c r="P204" i="27"/>
  <c r="P205" i="27"/>
  <c r="P206" i="27"/>
  <c r="P207" i="27"/>
  <c r="P208" i="27"/>
  <c r="P209" i="27"/>
  <c r="P210" i="27"/>
  <c r="P211" i="27"/>
  <c r="P212" i="27"/>
  <c r="P213" i="27"/>
  <c r="P214" i="27"/>
  <c r="P215" i="27"/>
  <c r="P216" i="27"/>
  <c r="P217" i="27"/>
  <c r="P218" i="27"/>
  <c r="P219" i="27"/>
  <c r="P220" i="27"/>
  <c r="P221" i="27"/>
  <c r="P222" i="27"/>
  <c r="P223" i="27"/>
  <c r="P224" i="27"/>
  <c r="P225" i="27"/>
  <c r="P226" i="27"/>
  <c r="P227" i="27"/>
  <c r="P228" i="27"/>
  <c r="P229" i="27"/>
  <c r="P230" i="27"/>
  <c r="P231" i="27"/>
  <c r="P232" i="27"/>
  <c r="P233" i="27"/>
  <c r="P234" i="27"/>
  <c r="P235" i="27"/>
  <c r="P236" i="27"/>
  <c r="P237" i="27"/>
  <c r="P238" i="27"/>
  <c r="P239" i="27"/>
  <c r="P240" i="27"/>
  <c r="P241" i="27"/>
  <c r="P242" i="27"/>
  <c r="P243" i="27"/>
  <c r="P244" i="27"/>
  <c r="P245" i="27"/>
  <c r="P246" i="27"/>
  <c r="P247" i="27"/>
  <c r="P248" i="27"/>
  <c r="P249" i="27"/>
  <c r="P250" i="27"/>
  <c r="P254" i="27"/>
  <c r="P255" i="27"/>
  <c r="P256" i="27"/>
  <c r="P257" i="27"/>
  <c r="P258" i="27"/>
  <c r="P259" i="27"/>
  <c r="P260" i="27"/>
  <c r="P261" i="27"/>
  <c r="P262" i="27"/>
  <c r="P263" i="27"/>
  <c r="P264" i="27"/>
  <c r="P265" i="27"/>
  <c r="P266" i="27"/>
  <c r="P267" i="27"/>
  <c r="P268" i="27"/>
  <c r="P269" i="27"/>
  <c r="P270" i="27"/>
  <c r="P271" i="27"/>
  <c r="P272" i="27"/>
  <c r="P273" i="27"/>
  <c r="P274" i="27"/>
  <c r="P275" i="27"/>
  <c r="P276" i="27"/>
  <c r="P278" i="27"/>
  <c r="P279" i="27"/>
  <c r="P280" i="27"/>
  <c r="P281" i="27"/>
  <c r="P282" i="27"/>
  <c r="P283" i="27"/>
  <c r="P284" i="27"/>
  <c r="P286" i="27"/>
  <c r="P287" i="27"/>
  <c r="P288" i="27"/>
  <c r="P289" i="27"/>
  <c r="P290" i="27"/>
  <c r="P292" i="27"/>
  <c r="P293" i="27"/>
  <c r="P294" i="27"/>
  <c r="P295" i="27"/>
  <c r="P296" i="27"/>
  <c r="P297" i="27"/>
  <c r="P298" i="27"/>
  <c r="P299" i="27"/>
  <c r="P300" i="27"/>
  <c r="P301" i="27"/>
  <c r="P303" i="27"/>
  <c r="P304" i="27"/>
  <c r="P306" i="27"/>
  <c r="P307" i="27"/>
  <c r="P308" i="27"/>
  <c r="P311" i="27"/>
  <c r="P312" i="27"/>
  <c r="P313" i="27"/>
  <c r="P314" i="27"/>
  <c r="P315" i="27"/>
  <c r="P316" i="27"/>
  <c r="P317" i="27"/>
  <c r="P318" i="27"/>
  <c r="P319" i="27"/>
  <c r="P320" i="27"/>
  <c r="P321" i="27"/>
  <c r="P322" i="27"/>
  <c r="P323" i="27"/>
  <c r="P324" i="27"/>
  <c r="P325" i="27"/>
  <c r="P326" i="27"/>
  <c r="P327" i="27"/>
  <c r="P328" i="27"/>
  <c r="P329" i="27"/>
  <c r="P330" i="27"/>
  <c r="P331" i="27"/>
  <c r="P332" i="27"/>
  <c r="P333" i="27"/>
  <c r="P334" i="27"/>
  <c r="P335" i="27"/>
  <c r="P336" i="27"/>
  <c r="P337" i="27"/>
  <c r="P338" i="27"/>
  <c r="P340" i="27"/>
  <c r="P341" i="27"/>
  <c r="P342" i="27"/>
  <c r="P343" i="27"/>
  <c r="P344" i="27"/>
  <c r="P347" i="27"/>
  <c r="P348" i="27"/>
  <c r="P346" i="27"/>
  <c r="P349" i="27"/>
  <c r="P350" i="27"/>
  <c r="P351" i="27"/>
  <c r="P352" i="27"/>
  <c r="P353" i="27"/>
  <c r="P354" i="27"/>
  <c r="P355" i="27"/>
  <c r="P356" i="27"/>
  <c r="P359" i="27"/>
  <c r="P360" i="27"/>
  <c r="P361" i="27"/>
  <c r="P362" i="27"/>
  <c r="P363" i="27"/>
  <c r="P364" i="27"/>
  <c r="P365" i="27"/>
  <c r="P366" i="27"/>
  <c r="P367" i="27"/>
  <c r="P368" i="27"/>
  <c r="P369" i="27"/>
  <c r="P370" i="27"/>
  <c r="P371" i="27"/>
  <c r="P372" i="27"/>
  <c r="P373" i="27"/>
  <c r="P374" i="27"/>
  <c r="P375" i="27"/>
  <c r="P376" i="27"/>
  <c r="P377" i="27"/>
  <c r="P378" i="27"/>
  <c r="P379" i="27"/>
  <c r="P380" i="27"/>
  <c r="P381" i="27"/>
  <c r="P382" i="27"/>
  <c r="P383" i="27"/>
  <c r="P384" i="27"/>
  <c r="P385" i="27"/>
  <c r="P386" i="27"/>
  <c r="P387" i="27"/>
  <c r="P388" i="27"/>
  <c r="P389" i="27"/>
  <c r="P390" i="27"/>
  <c r="P391" i="27"/>
  <c r="P392" i="27"/>
  <c r="P393" i="27"/>
  <c r="P394" i="27"/>
  <c r="P395" i="27"/>
  <c r="P396" i="27"/>
  <c r="P397" i="27"/>
  <c r="P398" i="27"/>
  <c r="P399" i="27"/>
  <c r="P400" i="27"/>
  <c r="P401" i="27"/>
  <c r="P402" i="27"/>
  <c r="P403" i="27"/>
  <c r="P404" i="27"/>
  <c r="P405" i="27"/>
  <c r="P406" i="27"/>
  <c r="P407" i="27"/>
  <c r="P408" i="27"/>
  <c r="P409" i="27"/>
  <c r="P410" i="27"/>
  <c r="P411" i="27"/>
  <c r="P412" i="27"/>
  <c r="P413" i="27"/>
  <c r="P414" i="27"/>
  <c r="P415" i="27"/>
  <c r="P416" i="27"/>
  <c r="P417" i="27"/>
  <c r="P418" i="27"/>
  <c r="P419" i="27"/>
  <c r="P420" i="27"/>
  <c r="P421" i="27"/>
  <c r="P422" i="27"/>
  <c r="P438" i="27"/>
  <c r="P439" i="27"/>
  <c r="P440" i="27"/>
  <c r="P442" i="27"/>
  <c r="P443" i="27"/>
  <c r="P444" i="27"/>
  <c r="P445" i="27"/>
  <c r="P447" i="27"/>
  <c r="P448" i="27"/>
  <c r="P449" i="27"/>
  <c r="P490" i="27"/>
  <c r="P516" i="27"/>
  <c r="P533" i="27"/>
  <c r="P535" i="27"/>
  <c r="P433" i="27"/>
  <c r="P434" i="27"/>
  <c r="P435" i="27"/>
  <c r="P436" i="27"/>
  <c r="P437" i="27"/>
  <c r="P441" i="27"/>
  <c r="P446" i="27"/>
  <c r="P450" i="27"/>
  <c r="P451" i="27"/>
  <c r="P452" i="27"/>
  <c r="P453" i="27"/>
  <c r="P454" i="27"/>
  <c r="P455" i="27"/>
  <c r="P456" i="27"/>
  <c r="P457" i="27"/>
  <c r="P251" i="27"/>
  <c r="P252" i="27"/>
  <c r="P253" i="27"/>
  <c r="P458" i="27"/>
  <c r="P277" i="27"/>
  <c r="P285" i="27"/>
  <c r="P291" i="27"/>
  <c r="P302" i="27"/>
  <c r="P459" i="27"/>
  <c r="P305" i="27"/>
  <c r="P309" i="27"/>
  <c r="P310" i="27"/>
  <c r="P423" i="27"/>
  <c r="P460" i="27"/>
  <c r="P461" i="27"/>
  <c r="P462" i="27"/>
  <c r="P463" i="27"/>
  <c r="P464" i="27"/>
  <c r="P465" i="27"/>
  <c r="P466" i="27"/>
  <c r="P424" i="27"/>
  <c r="P467" i="27"/>
  <c r="P469" i="27"/>
  <c r="P471" i="27"/>
  <c r="P425" i="27"/>
  <c r="P472" i="27"/>
  <c r="P473" i="27"/>
  <c r="P426" i="27"/>
  <c r="P474" i="27"/>
  <c r="P427" i="27"/>
  <c r="P468" i="27"/>
  <c r="P428" i="27"/>
  <c r="P470" i="27"/>
  <c r="P429" i="27"/>
  <c r="P475" i="27"/>
  <c r="P476" i="27"/>
  <c r="P477" i="27"/>
  <c r="P478" i="27"/>
  <c r="P479" i="27"/>
  <c r="P480" i="27"/>
  <c r="P481" i="27"/>
  <c r="P482" i="27"/>
  <c r="P430" i="27"/>
  <c r="P483" i="27"/>
  <c r="P484" i="27"/>
  <c r="P431" i="27"/>
  <c r="P432" i="27"/>
  <c r="P485" i="27"/>
  <c r="P486" i="27"/>
  <c r="P487" i="27"/>
  <c r="P488" i="27"/>
  <c r="P489" i="27"/>
  <c r="P339" i="27"/>
  <c r="P491" i="27"/>
  <c r="P492" i="27"/>
  <c r="P493" i="27"/>
  <c r="P494" i="27"/>
  <c r="P495" i="27"/>
  <c r="P496" i="27"/>
  <c r="P497" i="27"/>
  <c r="P498" i="27"/>
  <c r="P499" i="27"/>
  <c r="P500" i="27"/>
  <c r="P501" i="27"/>
  <c r="P502" i="27"/>
  <c r="P503" i="27"/>
  <c r="P504" i="27"/>
  <c r="P505" i="27"/>
  <c r="P506" i="27"/>
  <c r="P507" i="27"/>
  <c r="P508" i="27"/>
  <c r="P509" i="27"/>
  <c r="P510" i="27"/>
  <c r="P511" i="27"/>
  <c r="P512" i="27"/>
  <c r="P513" i="27"/>
  <c r="P514" i="27"/>
  <c r="P515" i="27"/>
  <c r="P345" i="27"/>
  <c r="P517" i="27"/>
  <c r="P518" i="27"/>
  <c r="P519" i="27"/>
  <c r="P520" i="27"/>
  <c r="P521" i="27"/>
  <c r="P522" i="27"/>
  <c r="P523" i="27"/>
  <c r="P524" i="27"/>
  <c r="P525" i="27"/>
  <c r="P526" i="27"/>
  <c r="P527" i="27"/>
  <c r="P528" i="27"/>
  <c r="P529" i="27"/>
  <c r="P530" i="27"/>
  <c r="P531" i="27"/>
  <c r="P532" i="27"/>
  <c r="P357" i="27"/>
  <c r="P534" i="27"/>
  <c r="P358" i="27"/>
  <c r="P536" i="27"/>
  <c r="P537" i="27"/>
  <c r="P538" i="27"/>
  <c r="P539" i="27"/>
  <c r="P540" i="27"/>
  <c r="P541" i="27"/>
  <c r="P542" i="27"/>
  <c r="P543" i="27"/>
  <c r="P544" i="27"/>
  <c r="P545" i="27"/>
  <c r="P546" i="27"/>
  <c r="P547" i="27"/>
  <c r="P548" i="27"/>
  <c r="P549" i="27"/>
  <c r="P550" i="27"/>
  <c r="P551" i="27"/>
  <c r="P552" i="27"/>
  <c r="P553" i="27"/>
  <c r="P554" i="27"/>
  <c r="P555" i="27"/>
  <c r="P556" i="27"/>
  <c r="P557" i="27"/>
  <c r="P558" i="27"/>
  <c r="P559" i="27"/>
  <c r="P560" i="27"/>
  <c r="P561" i="27"/>
  <c r="P562" i="27"/>
  <c r="P563" i="27"/>
  <c r="P564" i="27"/>
  <c r="P565" i="27"/>
  <c r="P566" i="27"/>
  <c r="P567" i="27"/>
  <c r="P568" i="27"/>
  <c r="P569" i="27"/>
  <c r="P570" i="27"/>
  <c r="P571" i="27"/>
  <c r="P572" i="27"/>
  <c r="P573" i="27"/>
  <c r="P574" i="27"/>
  <c r="P575" i="27"/>
  <c r="P576" i="27"/>
  <c r="P577" i="27"/>
  <c r="P578" i="27"/>
  <c r="P579" i="27"/>
  <c r="P580" i="27"/>
  <c r="P581" i="27"/>
  <c r="P582" i="27"/>
  <c r="P583" i="27"/>
  <c r="P584" i="27"/>
  <c r="P585" i="27"/>
  <c r="P586" i="27"/>
  <c r="P587" i="27"/>
  <c r="P588" i="27"/>
  <c r="P589" i="27"/>
  <c r="P590" i="27"/>
  <c r="P591" i="27"/>
  <c r="P592" i="27"/>
  <c r="P593" i="27"/>
  <c r="P594" i="27"/>
  <c r="P595" i="27"/>
  <c r="P596" i="27"/>
  <c r="P597" i="27"/>
  <c r="P598" i="27"/>
  <c r="P599" i="27"/>
  <c r="P600" i="27"/>
  <c r="P601" i="27"/>
  <c r="P602" i="27"/>
  <c r="P603" i="27"/>
  <c r="P604" i="27"/>
  <c r="P605" i="27"/>
  <c r="P606" i="27"/>
  <c r="P607" i="27"/>
  <c r="P608" i="27"/>
  <c r="P609" i="27"/>
  <c r="P610" i="27"/>
  <c r="P611" i="27"/>
  <c r="P612" i="27"/>
  <c r="P613" i="27"/>
  <c r="P614" i="27"/>
  <c r="P615" i="27"/>
  <c r="P616" i="27"/>
  <c r="P617" i="27"/>
  <c r="P618" i="27"/>
  <c r="P619" i="27"/>
  <c r="P620" i="27"/>
  <c r="P621" i="27"/>
  <c r="P622" i="27"/>
  <c r="P623" i="27"/>
  <c r="P624" i="27"/>
  <c r="P625" i="27"/>
  <c r="P626" i="27"/>
  <c r="P627" i="27"/>
  <c r="P628" i="27"/>
  <c r="P629" i="27"/>
  <c r="P630" i="27"/>
  <c r="P631" i="27"/>
  <c r="P632" i="27"/>
  <c r="P633" i="27"/>
  <c r="P634" i="27"/>
  <c r="P635" i="27"/>
  <c r="P636" i="27"/>
  <c r="P637" i="27"/>
  <c r="P638" i="27"/>
  <c r="P639" i="27"/>
  <c r="P640" i="27"/>
  <c r="P641" i="27"/>
  <c r="P642" i="27"/>
  <c r="P643" i="27"/>
  <c r="P644" i="27"/>
  <c r="P645" i="27"/>
  <c r="P646" i="27"/>
  <c r="P647" i="27"/>
  <c r="P648" i="27"/>
  <c r="P649" i="27"/>
  <c r="P650" i="27"/>
  <c r="P651" i="27"/>
  <c r="P652" i="27"/>
  <c r="P653" i="27"/>
  <c r="P654" i="27"/>
  <c r="P655" i="27"/>
  <c r="P656" i="27"/>
  <c r="P657" i="27"/>
  <c r="P658" i="27"/>
  <c r="P659" i="27"/>
  <c r="P660" i="27"/>
  <c r="P661" i="27"/>
  <c r="P662" i="27"/>
  <c r="P663" i="27"/>
  <c r="P664" i="27"/>
  <c r="P665" i="27"/>
  <c r="P666" i="27"/>
  <c r="P667" i="27"/>
  <c r="P668" i="27"/>
  <c r="P669" i="27"/>
  <c r="P670" i="27"/>
  <c r="P671" i="27"/>
  <c r="P672" i="27"/>
  <c r="P673" i="27"/>
  <c r="P674" i="27"/>
  <c r="P675" i="27"/>
  <c r="P676" i="27"/>
  <c r="P677" i="27"/>
  <c r="P678" i="27"/>
  <c r="P679" i="27"/>
  <c r="P680" i="27"/>
  <c r="P681" i="27"/>
  <c r="P682" i="27"/>
  <c r="P683" i="27"/>
  <c r="P684" i="27"/>
  <c r="P685" i="27"/>
  <c r="P686" i="27"/>
  <c r="P687" i="27"/>
  <c r="P688" i="27"/>
  <c r="P689" i="27"/>
  <c r="P690" i="27"/>
  <c r="P691" i="27"/>
  <c r="P692" i="27"/>
  <c r="P693" i="27"/>
  <c r="P694" i="27"/>
  <c r="P695" i="27"/>
  <c r="P696" i="27"/>
  <c r="P697" i="27"/>
  <c r="P698" i="27"/>
  <c r="P699" i="27"/>
  <c r="P700" i="27"/>
  <c r="P701" i="27"/>
  <c r="P702" i="27"/>
  <c r="P703" i="27"/>
  <c r="P704" i="27"/>
  <c r="P705" i="27"/>
  <c r="P706" i="27"/>
  <c r="P707" i="27"/>
  <c r="P708" i="27"/>
  <c r="P709" i="27"/>
  <c r="P710" i="27"/>
  <c r="P711" i="27"/>
  <c r="P712" i="27"/>
  <c r="P713" i="27"/>
  <c r="P714" i="27"/>
  <c r="P715" i="27"/>
  <c r="P716" i="27"/>
  <c r="P717" i="27"/>
  <c r="P718" i="27"/>
  <c r="P719" i="27"/>
  <c r="P720" i="27"/>
  <c r="P721" i="27"/>
  <c r="P722" i="27"/>
  <c r="P723" i="27"/>
  <c r="P724" i="27"/>
  <c r="P725" i="27"/>
  <c r="P726" i="27"/>
  <c r="P727" i="27"/>
  <c r="P728" i="27"/>
  <c r="P729" i="27"/>
  <c r="P730" i="27"/>
  <c r="P731" i="27"/>
  <c r="P732" i="27"/>
  <c r="P733" i="27"/>
  <c r="P734" i="27"/>
  <c r="P735" i="27"/>
  <c r="P736" i="27"/>
  <c r="P737" i="27"/>
  <c r="H81" i="12" l="1"/>
  <c r="H82" i="12"/>
  <c r="H83" i="12"/>
  <c r="H87" i="12"/>
  <c r="H89" i="12"/>
  <c r="H90" i="12"/>
  <c r="H91" i="12"/>
  <c r="H92" i="12"/>
  <c r="H94" i="12"/>
  <c r="H2" i="12"/>
  <c r="H8" i="12"/>
  <c r="H10" i="12"/>
  <c r="H18" i="12"/>
  <c r="H19" i="12"/>
  <c r="H20" i="12"/>
  <c r="H21" i="12"/>
  <c r="H22" i="12"/>
  <c r="H23" i="12"/>
  <c r="H24" i="12"/>
  <c r="H26" i="12"/>
  <c r="H30" i="12"/>
  <c r="H34" i="12"/>
  <c r="H36" i="12"/>
  <c r="H43" i="12"/>
  <c r="H47" i="12"/>
  <c r="H48" i="12"/>
  <c r="H29" i="12"/>
  <c r="H46" i="12"/>
  <c r="H79" i="12"/>
  <c r="E74" i="24"/>
  <c r="F74" i="24"/>
  <c r="G74" i="24"/>
  <c r="H74" i="24"/>
  <c r="I74" i="24"/>
  <c r="J74" i="24"/>
  <c r="K74" i="24"/>
  <c r="L74" i="24"/>
  <c r="M74" i="24"/>
  <c r="D74" i="24"/>
  <c r="N74" i="24"/>
  <c r="N68" i="24"/>
  <c r="N69" i="24"/>
  <c r="N70" i="24"/>
  <c r="N71" i="24"/>
  <c r="N72" i="24"/>
  <c r="N73" i="24"/>
  <c r="N67" i="24"/>
  <c r="G750" i="23" l="1"/>
  <c r="N750" i="23"/>
  <c r="M11" i="29"/>
  <c r="N11" i="29"/>
  <c r="O11" i="29"/>
  <c r="M9" i="29"/>
  <c r="N9" i="29"/>
  <c r="O9" i="29"/>
  <c r="M10" i="29"/>
  <c r="N10" i="29"/>
  <c r="O10" i="29"/>
  <c r="N44" i="37"/>
  <c r="N49" i="37"/>
  <c r="O2" i="29"/>
  <c r="O3" i="29"/>
  <c r="O4" i="29"/>
  <c r="O5" i="29"/>
  <c r="O6" i="29"/>
  <c r="O7" i="29"/>
  <c r="O8" i="29"/>
  <c r="N2" i="29"/>
  <c r="N3" i="29"/>
  <c r="N4" i="29"/>
  <c r="N5" i="29"/>
  <c r="N6" i="29"/>
  <c r="N7" i="29"/>
  <c r="N8" i="29"/>
  <c r="M3" i="29"/>
  <c r="M4" i="29"/>
  <c r="M5" i="29"/>
  <c r="M6" i="29"/>
  <c r="M7" i="29"/>
  <c r="M8" i="29"/>
  <c r="M2" i="29"/>
  <c r="N50" i="37"/>
  <c r="N48" i="37"/>
  <c r="N45" i="37"/>
  <c r="N43" i="37"/>
  <c r="N5" i="36" l="1"/>
  <c r="N6" i="36"/>
  <c r="N7" i="36"/>
  <c r="N8" i="36"/>
  <c r="N9" i="36"/>
  <c r="N10" i="36"/>
  <c r="N4" i="36"/>
  <c r="N11" i="36" l="1"/>
  <c r="G747" i="23" l="1"/>
  <c r="G748" i="23"/>
  <c r="G749" i="23"/>
  <c r="N747" i="23"/>
  <c r="N748" i="23"/>
  <c r="N749" i="23"/>
  <c r="G724" i="23" l="1"/>
  <c r="G725" i="23"/>
  <c r="G726" i="23"/>
  <c r="G727" i="23"/>
  <c r="G728" i="23"/>
  <c r="G729" i="23"/>
  <c r="G730" i="23"/>
  <c r="G731" i="23"/>
  <c r="G732" i="23"/>
  <c r="G733" i="23"/>
  <c r="G734" i="23"/>
  <c r="G735" i="23"/>
  <c r="G736" i="23"/>
  <c r="G737" i="23"/>
  <c r="G738" i="23"/>
  <c r="G739" i="23"/>
  <c r="G740" i="23"/>
  <c r="G741" i="23"/>
  <c r="G742" i="23"/>
  <c r="G743" i="23"/>
  <c r="G744" i="23"/>
  <c r="G745" i="23"/>
  <c r="G746" i="23"/>
  <c r="N724" i="23"/>
  <c r="N725" i="23"/>
  <c r="N726" i="23"/>
  <c r="N727" i="23"/>
  <c r="N728" i="23"/>
  <c r="N729" i="23"/>
  <c r="N730" i="23"/>
  <c r="N731" i="23"/>
  <c r="N732" i="23"/>
  <c r="N733" i="23"/>
  <c r="N734" i="23"/>
  <c r="N735" i="23"/>
  <c r="N736" i="23"/>
  <c r="N737" i="23"/>
  <c r="N738" i="23"/>
  <c r="N739" i="23"/>
  <c r="N740" i="23"/>
  <c r="N741" i="23"/>
  <c r="N742" i="23"/>
  <c r="N743" i="23"/>
  <c r="N744" i="23"/>
  <c r="N745" i="23"/>
  <c r="N746" i="23"/>
  <c r="L2" i="34" l="1"/>
  <c r="F46" i="34" l="1"/>
  <c r="F47" i="34"/>
  <c r="F48" i="34"/>
  <c r="F49" i="34"/>
  <c r="F50" i="34"/>
  <c r="F51" i="34"/>
  <c r="F52" i="34"/>
  <c r="F53" i="34"/>
  <c r="F54" i="34"/>
  <c r="F55" i="34"/>
  <c r="F56" i="34"/>
  <c r="F57" i="34"/>
  <c r="F58" i="34"/>
  <c r="F59" i="34"/>
  <c r="F44" i="34" s="1"/>
  <c r="F60" i="34"/>
  <c r="F61" i="34"/>
  <c r="F62" i="34"/>
  <c r="F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45" i="34"/>
  <c r="J2" i="34"/>
  <c r="K2" i="34" s="1"/>
  <c r="J3" i="34"/>
  <c r="K3" i="34" s="1"/>
  <c r="J4" i="34"/>
  <c r="K4" i="34" s="1"/>
  <c r="J5" i="34"/>
  <c r="K5" i="34" s="1"/>
  <c r="J6" i="34"/>
  <c r="K6" i="34" s="1"/>
  <c r="J7" i="34"/>
  <c r="K7" i="34" s="1"/>
  <c r="J8" i="34"/>
  <c r="K8" i="34" s="1"/>
  <c r="J9" i="34"/>
  <c r="K9" i="34" s="1"/>
  <c r="J10" i="34"/>
  <c r="K10" i="34" s="1"/>
  <c r="J11" i="34"/>
  <c r="K11" i="34" s="1"/>
  <c r="J12" i="34"/>
  <c r="K12" i="34" s="1"/>
  <c r="J13" i="34"/>
  <c r="K13" i="34" s="1"/>
  <c r="J14" i="34"/>
  <c r="K14" i="34" s="1"/>
  <c r="J15" i="34"/>
  <c r="K15" i="34" s="1"/>
  <c r="J16" i="34"/>
  <c r="K16" i="34" s="1"/>
  <c r="J17" i="34"/>
  <c r="K17" i="34" s="1"/>
  <c r="J18" i="34"/>
  <c r="K18" i="34" s="1"/>
  <c r="J19" i="34"/>
  <c r="K19" i="34" s="1"/>
  <c r="J20" i="34"/>
  <c r="K20" i="34" s="1"/>
  <c r="J21" i="34"/>
  <c r="K21" i="34" s="1"/>
  <c r="J22" i="34"/>
  <c r="K22" i="34" s="1"/>
  <c r="J23" i="34"/>
  <c r="K23" i="34" s="1"/>
  <c r="J24" i="34"/>
  <c r="K24" i="34" s="1"/>
  <c r="J25" i="34"/>
  <c r="K25" i="34" s="1"/>
  <c r="J26" i="34"/>
  <c r="K26" i="34" s="1"/>
  <c r="J27" i="34"/>
  <c r="K27" i="34" s="1"/>
  <c r="J28" i="34"/>
  <c r="K28" i="34" s="1"/>
  <c r="J29" i="34"/>
  <c r="K29" i="34" s="1"/>
  <c r="J30" i="34"/>
  <c r="K30" i="34" s="1"/>
  <c r="J31" i="34"/>
  <c r="K31" i="34" s="1"/>
  <c r="J32" i="34"/>
  <c r="K32" i="34" s="1"/>
  <c r="J33" i="34"/>
  <c r="K33" i="34" s="1"/>
  <c r="J34" i="34"/>
  <c r="K34" i="34" s="1"/>
  <c r="J35" i="34"/>
  <c r="K35" i="34" s="1"/>
  <c r="J36" i="34"/>
  <c r="K36" i="34" s="1"/>
  <c r="J37" i="34"/>
  <c r="K37" i="34" s="1"/>
  <c r="J38" i="34"/>
  <c r="K38" i="34" s="1"/>
  <c r="J39" i="34"/>
  <c r="K39" i="34" s="1"/>
  <c r="Y3" i="34"/>
  <c r="Y4" i="34"/>
  <c r="Y5" i="34"/>
  <c r="Y6" i="34"/>
  <c r="Q7" i="34"/>
  <c r="R7" i="34"/>
  <c r="S7" i="34"/>
  <c r="T7" i="34"/>
  <c r="U7" i="34"/>
  <c r="V7" i="34"/>
  <c r="W7" i="34"/>
  <c r="X7" i="34"/>
  <c r="X11" i="34"/>
  <c r="Y11" i="34" s="1"/>
  <c r="U12" i="34"/>
  <c r="U15" i="34" s="1"/>
  <c r="X13" i="34"/>
  <c r="Y13" i="34" s="1"/>
  <c r="Y14" i="34"/>
  <c r="Q15" i="34"/>
  <c r="R15" i="34"/>
  <c r="S15" i="34"/>
  <c r="T15" i="34"/>
  <c r="V15" i="34"/>
  <c r="W15" i="34"/>
  <c r="C44" i="34" l="1"/>
  <c r="Y12" i="34"/>
  <c r="X15" i="34"/>
  <c r="Y15" i="34" s="1"/>
  <c r="Y7" i="34"/>
  <c r="G443" i="23" l="1"/>
  <c r="N443" i="23"/>
  <c r="H3" i="28" l="1"/>
  <c r="H4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29" i="28"/>
  <c r="H30" i="28"/>
  <c r="H31" i="28"/>
  <c r="H32" i="28"/>
  <c r="H33" i="28"/>
  <c r="H34" i="28"/>
  <c r="H35" i="28"/>
  <c r="H36" i="28"/>
  <c r="H37" i="28"/>
  <c r="H38" i="28"/>
  <c r="H39" i="28"/>
  <c r="H40" i="28"/>
  <c r="H41" i="28"/>
  <c r="H42" i="28"/>
  <c r="H43" i="28"/>
  <c r="H44" i="28"/>
  <c r="H45" i="28"/>
  <c r="H46" i="28"/>
  <c r="H47" i="28"/>
  <c r="H48" i="28"/>
  <c r="H49" i="28"/>
  <c r="H50" i="28"/>
  <c r="H51" i="28"/>
  <c r="H52" i="28"/>
  <c r="H53" i="28"/>
  <c r="H54" i="28"/>
  <c r="H55" i="28"/>
  <c r="H56" i="28"/>
  <c r="H57" i="28"/>
  <c r="H58" i="28"/>
  <c r="H59" i="28"/>
  <c r="H60" i="28"/>
  <c r="H61" i="28"/>
  <c r="H62" i="28"/>
  <c r="H63" i="28"/>
  <c r="H64" i="28"/>
  <c r="H65" i="28"/>
  <c r="H66" i="28"/>
  <c r="H67" i="28"/>
  <c r="H68" i="28"/>
  <c r="H69" i="28"/>
  <c r="H70" i="28"/>
  <c r="H71" i="28"/>
  <c r="H72" i="28"/>
  <c r="H73" i="28"/>
  <c r="H74" i="28"/>
  <c r="H75" i="28"/>
  <c r="H76" i="28"/>
  <c r="H77" i="28"/>
  <c r="H78" i="28"/>
  <c r="H79" i="28"/>
  <c r="H80" i="28"/>
  <c r="H81" i="28"/>
  <c r="H82" i="28"/>
  <c r="H83" i="28"/>
  <c r="H84" i="28"/>
  <c r="H85" i="28"/>
  <c r="H86" i="28"/>
  <c r="H87" i="28"/>
  <c r="H88" i="28"/>
  <c r="H89" i="28"/>
  <c r="H90" i="28"/>
  <c r="H91" i="28"/>
  <c r="H92" i="28"/>
  <c r="H93" i="28"/>
  <c r="H94" i="28"/>
  <c r="H95" i="28"/>
  <c r="H96" i="28"/>
  <c r="H97" i="28"/>
  <c r="H98" i="28"/>
  <c r="H99" i="28"/>
  <c r="H100" i="28"/>
  <c r="H101" i="28"/>
  <c r="H102" i="28"/>
  <c r="H103" i="28"/>
  <c r="H104" i="28"/>
  <c r="H105" i="28"/>
  <c r="H106" i="28"/>
  <c r="H107" i="28"/>
  <c r="H108" i="28"/>
  <c r="H109" i="28"/>
  <c r="H110" i="28"/>
  <c r="H111" i="28"/>
  <c r="H112" i="28"/>
  <c r="H113" i="28"/>
  <c r="H114" i="28"/>
  <c r="H115" i="28"/>
  <c r="H116" i="28"/>
  <c r="H117" i="28"/>
  <c r="H118" i="28"/>
  <c r="H119" i="28"/>
  <c r="H120" i="28"/>
  <c r="H121" i="28"/>
  <c r="H122" i="28"/>
  <c r="H123" i="28"/>
  <c r="H124" i="28"/>
  <c r="H125" i="28"/>
  <c r="H126" i="28"/>
  <c r="H127" i="28"/>
  <c r="H128" i="28"/>
  <c r="H129" i="28"/>
  <c r="H130" i="28"/>
  <c r="H131" i="28"/>
  <c r="H132" i="28"/>
  <c r="H2" i="28"/>
  <c r="D83" i="26" l="1"/>
  <c r="F82" i="26"/>
  <c r="F81" i="26"/>
  <c r="F80" i="26"/>
  <c r="F79" i="26"/>
  <c r="F78" i="26"/>
  <c r="F77" i="26"/>
  <c r="F76" i="26"/>
  <c r="F75" i="26"/>
  <c r="F74" i="26"/>
  <c r="F73" i="26"/>
  <c r="F72" i="26"/>
  <c r="F71" i="26"/>
  <c r="F70" i="26"/>
  <c r="F69" i="26"/>
  <c r="F68" i="26"/>
  <c r="F67" i="26"/>
  <c r="F66" i="26"/>
  <c r="F65" i="26"/>
  <c r="F64" i="26"/>
  <c r="F63" i="26"/>
  <c r="F62" i="26"/>
  <c r="F61" i="26"/>
  <c r="F60" i="26"/>
  <c r="F59" i="26"/>
  <c r="F58" i="26"/>
  <c r="F57" i="26"/>
  <c r="F56" i="26"/>
  <c r="F55" i="26"/>
  <c r="F54" i="26"/>
  <c r="F53" i="26"/>
  <c r="F52" i="26"/>
  <c r="F51" i="26"/>
  <c r="F50" i="26"/>
  <c r="F49" i="26"/>
  <c r="F48" i="26"/>
  <c r="Y12" i="26"/>
  <c r="F83" i="26"/>
  <c r="E83" i="26"/>
  <c r="N2" i="23"/>
  <c r="N3" i="23"/>
  <c r="N4" i="23"/>
  <c r="N5" i="23"/>
  <c r="N6" i="23"/>
  <c r="N7" i="23"/>
  <c r="N8" i="23"/>
  <c r="N9" i="23"/>
  <c r="N10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N40" i="23"/>
  <c r="N41" i="23"/>
  <c r="N42" i="23"/>
  <c r="N43" i="23"/>
  <c r="N44" i="23"/>
  <c r="N45" i="23"/>
  <c r="N46" i="23"/>
  <c r="N47" i="23"/>
  <c r="N48" i="23"/>
  <c r="N49" i="23"/>
  <c r="N50" i="23"/>
  <c r="N51" i="23"/>
  <c r="N52" i="23"/>
  <c r="N53" i="23"/>
  <c r="N54" i="23"/>
  <c r="N55" i="23"/>
  <c r="N56" i="23"/>
  <c r="N57" i="23"/>
  <c r="N58" i="23"/>
  <c r="N59" i="23"/>
  <c r="N60" i="23"/>
  <c r="N61" i="23"/>
  <c r="N62" i="23"/>
  <c r="N63" i="23"/>
  <c r="N64" i="23"/>
  <c r="N65" i="23"/>
  <c r="N66" i="23"/>
  <c r="N67" i="23"/>
  <c r="N68" i="23"/>
  <c r="N69" i="23"/>
  <c r="N70" i="23"/>
  <c r="N71" i="23"/>
  <c r="N72" i="23"/>
  <c r="N73" i="23"/>
  <c r="N74" i="23"/>
  <c r="N75" i="23"/>
  <c r="N76" i="23"/>
  <c r="N77" i="23"/>
  <c r="N78" i="23"/>
  <c r="N79" i="23"/>
  <c r="N80" i="23"/>
  <c r="N81" i="23"/>
  <c r="N82" i="23"/>
  <c r="N83" i="23"/>
  <c r="N84" i="23"/>
  <c r="N85" i="23"/>
  <c r="N86" i="23"/>
  <c r="N87" i="23"/>
  <c r="N88" i="23"/>
  <c r="N89" i="23"/>
  <c r="N90" i="23"/>
  <c r="N91" i="23"/>
  <c r="N92" i="23"/>
  <c r="N93" i="23"/>
  <c r="N94" i="23"/>
  <c r="N95" i="23"/>
  <c r="N96" i="23"/>
  <c r="N97" i="23"/>
  <c r="N98" i="23"/>
  <c r="N99" i="23"/>
  <c r="N100" i="23"/>
  <c r="N101" i="23"/>
  <c r="N102" i="23"/>
  <c r="N103" i="23"/>
  <c r="N104" i="23"/>
  <c r="N105" i="23"/>
  <c r="N106" i="23"/>
  <c r="N107" i="23"/>
  <c r="N108" i="23"/>
  <c r="N109" i="23"/>
  <c r="N110" i="23"/>
  <c r="N111" i="23"/>
  <c r="N112" i="23"/>
  <c r="N113" i="23"/>
  <c r="N114" i="23"/>
  <c r="N115" i="23"/>
  <c r="N116" i="23"/>
  <c r="N117" i="23"/>
  <c r="N118" i="23"/>
  <c r="N119" i="23"/>
  <c r="N120" i="23"/>
  <c r="N121" i="23"/>
  <c r="N122" i="23"/>
  <c r="N123" i="23"/>
  <c r="N124" i="23"/>
  <c r="N125" i="23"/>
  <c r="N126" i="23"/>
  <c r="N127" i="23"/>
  <c r="N128" i="23"/>
  <c r="N129" i="23"/>
  <c r="N130" i="23"/>
  <c r="N131" i="23"/>
  <c r="N132" i="23"/>
  <c r="N133" i="23"/>
  <c r="N134" i="23"/>
  <c r="N135" i="23"/>
  <c r="N136" i="23"/>
  <c r="N137" i="23"/>
  <c r="N138" i="23"/>
  <c r="N139" i="23"/>
  <c r="N140" i="23"/>
  <c r="N141" i="23"/>
  <c r="N142" i="23"/>
  <c r="N143" i="23"/>
  <c r="N144" i="23"/>
  <c r="N145" i="23"/>
  <c r="N146" i="23"/>
  <c r="N147" i="23"/>
  <c r="N148" i="23"/>
  <c r="N149" i="23"/>
  <c r="N150" i="23"/>
  <c r="N151" i="23"/>
  <c r="N152" i="23"/>
  <c r="N153" i="23"/>
  <c r="N154" i="23"/>
  <c r="N155" i="23"/>
  <c r="N156" i="23"/>
  <c r="N157" i="23"/>
  <c r="N158" i="23"/>
  <c r="N159" i="23"/>
  <c r="N160" i="23"/>
  <c r="N161" i="23"/>
  <c r="N162" i="23"/>
  <c r="N163" i="23"/>
  <c r="N164" i="23"/>
  <c r="N165" i="23"/>
  <c r="N166" i="23"/>
  <c r="N167" i="23"/>
  <c r="N168" i="23"/>
  <c r="N169" i="23"/>
  <c r="N170" i="23"/>
  <c r="N171" i="23"/>
  <c r="N172" i="23"/>
  <c r="N173" i="23"/>
  <c r="N174" i="23"/>
  <c r="N175" i="23"/>
  <c r="N176" i="23"/>
  <c r="N177" i="23"/>
  <c r="N178" i="23"/>
  <c r="N179" i="23"/>
  <c r="N180" i="23"/>
  <c r="N181" i="23"/>
  <c r="N182" i="23"/>
  <c r="N183" i="23"/>
  <c r="N184" i="23"/>
  <c r="N185" i="23"/>
  <c r="N186" i="23"/>
  <c r="N187" i="23"/>
  <c r="N188" i="23"/>
  <c r="N189" i="23"/>
  <c r="N190" i="23"/>
  <c r="N191" i="23"/>
  <c r="N192" i="23"/>
  <c r="N193" i="23"/>
  <c r="N194" i="23"/>
  <c r="N195" i="23"/>
  <c r="N196" i="23"/>
  <c r="N197" i="23"/>
  <c r="N198" i="23"/>
  <c r="N199" i="23"/>
  <c r="N200" i="23"/>
  <c r="N201" i="23"/>
  <c r="N202" i="23"/>
  <c r="N203" i="23"/>
  <c r="N204" i="23"/>
  <c r="N205" i="23"/>
  <c r="N206" i="23"/>
  <c r="N207" i="23"/>
  <c r="N208" i="23"/>
  <c r="N209" i="23"/>
  <c r="N210" i="23"/>
  <c r="N211" i="23"/>
  <c r="N212" i="23"/>
  <c r="N213" i="23"/>
  <c r="N214" i="23"/>
  <c r="N215" i="23"/>
  <c r="N216" i="23"/>
  <c r="N217" i="23"/>
  <c r="N218" i="23"/>
  <c r="N219" i="23"/>
  <c r="N220" i="23"/>
  <c r="N221" i="23"/>
  <c r="N222" i="23"/>
  <c r="N223" i="23"/>
  <c r="N224" i="23"/>
  <c r="N225" i="23"/>
  <c r="N226" i="23"/>
  <c r="N227" i="23"/>
  <c r="N228" i="23"/>
  <c r="N229" i="23"/>
  <c r="N230" i="23"/>
  <c r="N231" i="23"/>
  <c r="N232" i="23"/>
  <c r="N233" i="23"/>
  <c r="N234" i="23"/>
  <c r="N235" i="23"/>
  <c r="N236" i="23"/>
  <c r="N237" i="23"/>
  <c r="N238" i="23"/>
  <c r="N239" i="23"/>
  <c r="N240" i="23"/>
  <c r="N241" i="23"/>
  <c r="N242" i="23"/>
  <c r="N243" i="23"/>
  <c r="N244" i="23"/>
  <c r="N245" i="23"/>
  <c r="N246" i="23"/>
  <c r="N247" i="23"/>
  <c r="N248" i="23"/>
  <c r="N249" i="23"/>
  <c r="N250" i="23"/>
  <c r="N251" i="23"/>
  <c r="N252" i="23"/>
  <c r="N253" i="23"/>
  <c r="N254" i="23"/>
  <c r="N255" i="23"/>
  <c r="N256" i="23"/>
  <c r="N257" i="23"/>
  <c r="N258" i="23"/>
  <c r="N259" i="23"/>
  <c r="N260" i="23"/>
  <c r="N261" i="23"/>
  <c r="N262" i="23"/>
  <c r="N263" i="23"/>
  <c r="N264" i="23"/>
  <c r="N265" i="23"/>
  <c r="N266" i="23"/>
  <c r="N267" i="23"/>
  <c r="N268" i="23"/>
  <c r="N269" i="23"/>
  <c r="N270" i="23"/>
  <c r="N271" i="23"/>
  <c r="N272" i="23"/>
  <c r="N273" i="23"/>
  <c r="N274" i="23"/>
  <c r="N275" i="23"/>
  <c r="N276" i="23"/>
  <c r="N277" i="23"/>
  <c r="N278" i="23"/>
  <c r="N279" i="23"/>
  <c r="N280" i="23"/>
  <c r="N281" i="23"/>
  <c r="N282" i="23"/>
  <c r="N283" i="23"/>
  <c r="N284" i="23"/>
  <c r="N285" i="23"/>
  <c r="N286" i="23"/>
  <c r="N287" i="23"/>
  <c r="N288" i="23"/>
  <c r="N289" i="23"/>
  <c r="N290" i="23"/>
  <c r="N291" i="23"/>
  <c r="N292" i="23"/>
  <c r="N293" i="23"/>
  <c r="N294" i="23"/>
  <c r="N295" i="23"/>
  <c r="N296" i="23"/>
  <c r="N297" i="23"/>
  <c r="N298" i="23"/>
  <c r="N299" i="23"/>
  <c r="N300" i="23"/>
  <c r="N301" i="23"/>
  <c r="N302" i="23"/>
  <c r="N303" i="23"/>
  <c r="N304" i="23"/>
  <c r="N305" i="23"/>
  <c r="N306" i="23"/>
  <c r="N307" i="23"/>
  <c r="N308" i="23"/>
  <c r="N309" i="23"/>
  <c r="N310" i="23"/>
  <c r="N311" i="23"/>
  <c r="N312" i="23"/>
  <c r="N313" i="23"/>
  <c r="N314" i="23"/>
  <c r="N315" i="23"/>
  <c r="N316" i="23"/>
  <c r="N317" i="23"/>
  <c r="N318" i="23"/>
  <c r="N319" i="23"/>
  <c r="N320" i="23"/>
  <c r="N321" i="23"/>
  <c r="N322" i="23"/>
  <c r="N323" i="23"/>
  <c r="N324" i="23"/>
  <c r="N325" i="23"/>
  <c r="N326" i="23"/>
  <c r="N327" i="23"/>
  <c r="N328" i="23"/>
  <c r="N329" i="23"/>
  <c r="N330" i="23"/>
  <c r="N331" i="23"/>
  <c r="N332" i="23"/>
  <c r="N333" i="23"/>
  <c r="N334" i="23"/>
  <c r="N335" i="23"/>
  <c r="N336" i="23"/>
  <c r="N337" i="23"/>
  <c r="N338" i="23"/>
  <c r="N339" i="23"/>
  <c r="N340" i="23"/>
  <c r="N341" i="23"/>
  <c r="N342" i="23"/>
  <c r="N343" i="23"/>
  <c r="N344" i="23"/>
  <c r="N345" i="23"/>
  <c r="N346" i="23"/>
  <c r="N347" i="23"/>
  <c r="N348" i="23"/>
  <c r="N349" i="23"/>
  <c r="N350" i="23"/>
  <c r="N351" i="23"/>
  <c r="N352" i="23"/>
  <c r="N353" i="23"/>
  <c r="N354" i="23"/>
  <c r="N355" i="23"/>
  <c r="N356" i="23"/>
  <c r="N357" i="23"/>
  <c r="N358" i="23"/>
  <c r="N359" i="23"/>
  <c r="N360" i="23"/>
  <c r="N361" i="23"/>
  <c r="N362" i="23"/>
  <c r="N363" i="23"/>
  <c r="N364" i="23"/>
  <c r="N365" i="23"/>
  <c r="N366" i="23"/>
  <c r="N367" i="23"/>
  <c r="N368" i="23"/>
  <c r="N369" i="23"/>
  <c r="N370" i="23"/>
  <c r="N371" i="23"/>
  <c r="N372" i="23"/>
  <c r="N373" i="23"/>
  <c r="N374" i="23"/>
  <c r="N375" i="23"/>
  <c r="N376" i="23"/>
  <c r="N377" i="23"/>
  <c r="N378" i="23"/>
  <c r="N379" i="23"/>
  <c r="N380" i="23"/>
  <c r="N381" i="23"/>
  <c r="N382" i="23"/>
  <c r="N383" i="23"/>
  <c r="N384" i="23"/>
  <c r="N385" i="23"/>
  <c r="N386" i="23"/>
  <c r="N387" i="23"/>
  <c r="N388" i="23"/>
  <c r="N389" i="23"/>
  <c r="N390" i="23"/>
  <c r="N391" i="23"/>
  <c r="N392" i="23"/>
  <c r="N393" i="23"/>
  <c r="N394" i="23"/>
  <c r="N395" i="23"/>
  <c r="N396" i="23"/>
  <c r="N397" i="23"/>
  <c r="N398" i="23"/>
  <c r="N399" i="23"/>
  <c r="N400" i="23"/>
  <c r="N401" i="23"/>
  <c r="N402" i="23"/>
  <c r="N403" i="23"/>
  <c r="N404" i="23"/>
  <c r="N405" i="23"/>
  <c r="N406" i="23"/>
  <c r="N407" i="23"/>
  <c r="N408" i="23"/>
  <c r="N409" i="23"/>
  <c r="N410" i="23"/>
  <c r="N411" i="23"/>
  <c r="N412" i="23"/>
  <c r="N413" i="23"/>
  <c r="N414" i="23"/>
  <c r="N415" i="23"/>
  <c r="N416" i="23"/>
  <c r="N417" i="23"/>
  <c r="N418" i="23"/>
  <c r="N419" i="23"/>
  <c r="N420" i="23"/>
  <c r="N421" i="23"/>
  <c r="N422" i="23"/>
  <c r="N423" i="23"/>
  <c r="N424" i="23"/>
  <c r="N425" i="23"/>
  <c r="N426" i="23"/>
  <c r="N427" i="23"/>
  <c r="N428" i="23"/>
  <c r="N429" i="23"/>
  <c r="N430" i="23"/>
  <c r="N431" i="23"/>
  <c r="N432" i="23"/>
  <c r="N433" i="23"/>
  <c r="N434" i="23"/>
  <c r="N435" i="23"/>
  <c r="N436" i="23"/>
  <c r="N437" i="23"/>
  <c r="N438" i="23"/>
  <c r="N439" i="23"/>
  <c r="N440" i="23"/>
  <c r="N441" i="23"/>
  <c r="N442" i="23"/>
  <c r="N444" i="23"/>
  <c r="N445" i="23"/>
  <c r="N446" i="23"/>
  <c r="N447" i="23"/>
  <c r="N448" i="23"/>
  <c r="N449" i="23"/>
  <c r="N450" i="23"/>
  <c r="N451" i="23"/>
  <c r="N452" i="23"/>
  <c r="N453" i="23"/>
  <c r="N454" i="23"/>
  <c r="N455" i="23"/>
  <c r="N456" i="23"/>
  <c r="N457" i="23"/>
  <c r="N458" i="23"/>
  <c r="N459" i="23"/>
  <c r="N460" i="23"/>
  <c r="N461" i="23"/>
  <c r="N462" i="23"/>
  <c r="N463" i="23"/>
  <c r="N464" i="23"/>
  <c r="N465" i="23"/>
  <c r="N466" i="23"/>
  <c r="N467" i="23"/>
  <c r="N468" i="23"/>
  <c r="N469" i="23"/>
  <c r="N470" i="23"/>
  <c r="N471" i="23"/>
  <c r="N472" i="23"/>
  <c r="N473" i="23"/>
  <c r="N474" i="23"/>
  <c r="N475" i="23"/>
  <c r="N476" i="23"/>
  <c r="N477" i="23"/>
  <c r="N478" i="23"/>
  <c r="N479" i="23"/>
  <c r="N480" i="23"/>
  <c r="N481" i="23"/>
  <c r="N482" i="23"/>
  <c r="N483" i="23"/>
  <c r="N484" i="23"/>
  <c r="N485" i="23"/>
  <c r="N486" i="23"/>
  <c r="N487" i="23"/>
  <c r="N488" i="23"/>
  <c r="N489" i="23"/>
  <c r="N490" i="23"/>
  <c r="N491" i="23"/>
  <c r="N492" i="23"/>
  <c r="N493" i="23"/>
  <c r="N494" i="23"/>
  <c r="N495" i="23"/>
  <c r="N496" i="23"/>
  <c r="N497" i="23"/>
  <c r="N498" i="23"/>
  <c r="N499" i="23"/>
  <c r="N500" i="23"/>
  <c r="N501" i="23"/>
  <c r="N502" i="23"/>
  <c r="N503" i="23"/>
  <c r="N504" i="23"/>
  <c r="N505" i="23"/>
  <c r="N506" i="23"/>
  <c r="N507" i="23"/>
  <c r="N508" i="23"/>
  <c r="N509" i="23"/>
  <c r="N510" i="23"/>
  <c r="N511" i="23"/>
  <c r="N512" i="23"/>
  <c r="N513" i="23"/>
  <c r="N514" i="23"/>
  <c r="N515" i="23"/>
  <c r="N516" i="23"/>
  <c r="N517" i="23"/>
  <c r="N518" i="23"/>
  <c r="N519" i="23"/>
  <c r="N520" i="23"/>
  <c r="N521" i="23"/>
  <c r="N522" i="23"/>
  <c r="N523" i="23"/>
  <c r="N524" i="23"/>
  <c r="N525" i="23"/>
  <c r="N526" i="23"/>
  <c r="N527" i="23"/>
  <c r="N528" i="23"/>
  <c r="N529" i="23"/>
  <c r="N530" i="23"/>
  <c r="N531" i="23"/>
  <c r="N532" i="23"/>
  <c r="N533" i="23"/>
  <c r="N534" i="23"/>
  <c r="N535" i="23"/>
  <c r="N536" i="23"/>
  <c r="N537" i="23"/>
  <c r="N538" i="23"/>
  <c r="N539" i="23"/>
  <c r="N540" i="23"/>
  <c r="N541" i="23"/>
  <c r="N542" i="23"/>
  <c r="N543" i="23"/>
  <c r="N544" i="23"/>
  <c r="N545" i="23"/>
  <c r="N546" i="23"/>
  <c r="N547" i="23"/>
  <c r="N548" i="23"/>
  <c r="N549" i="23"/>
  <c r="N550" i="23"/>
  <c r="N551" i="23"/>
  <c r="N552" i="23"/>
  <c r="N553" i="23"/>
  <c r="N554" i="23"/>
  <c r="N555" i="23"/>
  <c r="N556" i="23"/>
  <c r="N557" i="23"/>
  <c r="N558" i="23"/>
  <c r="N559" i="23"/>
  <c r="N560" i="23"/>
  <c r="N561" i="23"/>
  <c r="N562" i="23"/>
  <c r="N563" i="23"/>
  <c r="N564" i="23"/>
  <c r="N565" i="23"/>
  <c r="N566" i="23"/>
  <c r="N567" i="23"/>
  <c r="N568" i="23"/>
  <c r="N569" i="23"/>
  <c r="N570" i="23"/>
  <c r="N571" i="23"/>
  <c r="N572" i="23"/>
  <c r="N573" i="23"/>
  <c r="N574" i="23"/>
  <c r="N575" i="23"/>
  <c r="N576" i="23"/>
  <c r="N577" i="23"/>
  <c r="N578" i="23"/>
  <c r="N579" i="23"/>
  <c r="N580" i="23"/>
  <c r="N581" i="23"/>
  <c r="N582" i="23"/>
  <c r="N583" i="23"/>
  <c r="N584" i="23"/>
  <c r="N585" i="23"/>
  <c r="N586" i="23"/>
  <c r="N587" i="23"/>
  <c r="N588" i="23"/>
  <c r="N589" i="23"/>
  <c r="N590" i="23"/>
  <c r="N591" i="23"/>
  <c r="N592" i="23"/>
  <c r="N593" i="23"/>
  <c r="N594" i="23"/>
  <c r="N595" i="23"/>
  <c r="N596" i="23"/>
  <c r="N597" i="23"/>
  <c r="N598" i="23"/>
  <c r="N599" i="23"/>
  <c r="N600" i="23"/>
  <c r="N601" i="23"/>
  <c r="N602" i="23"/>
  <c r="N603" i="23"/>
  <c r="N604" i="23"/>
  <c r="N605" i="23"/>
  <c r="N606" i="23"/>
  <c r="N607" i="23"/>
  <c r="N608" i="23"/>
  <c r="N609" i="23"/>
  <c r="N610" i="23"/>
  <c r="N611" i="23"/>
  <c r="N612" i="23"/>
  <c r="N613" i="23"/>
  <c r="N614" i="23"/>
  <c r="N615" i="23"/>
  <c r="N616" i="23"/>
  <c r="N617" i="23"/>
  <c r="N618" i="23"/>
  <c r="N619" i="23"/>
  <c r="N620" i="23"/>
  <c r="N621" i="23"/>
  <c r="N622" i="23"/>
  <c r="N623" i="23"/>
  <c r="N624" i="23"/>
  <c r="N625" i="23"/>
  <c r="N626" i="23"/>
  <c r="N627" i="23"/>
  <c r="N628" i="23"/>
  <c r="N629" i="23"/>
  <c r="N630" i="23"/>
  <c r="N631" i="23"/>
  <c r="N632" i="23"/>
  <c r="N633" i="23"/>
  <c r="N634" i="23"/>
  <c r="N635" i="23"/>
  <c r="N636" i="23"/>
  <c r="N637" i="23"/>
  <c r="N638" i="23"/>
  <c r="N639" i="23"/>
  <c r="N640" i="23"/>
  <c r="N641" i="23"/>
  <c r="N642" i="23"/>
  <c r="N643" i="23"/>
  <c r="N644" i="23"/>
  <c r="N645" i="23"/>
  <c r="N646" i="23"/>
  <c r="N647" i="23"/>
  <c r="N648" i="23"/>
  <c r="N649" i="23"/>
  <c r="N650" i="23"/>
  <c r="N651" i="23"/>
  <c r="N652" i="23"/>
  <c r="N653" i="23"/>
  <c r="N654" i="23"/>
  <c r="N655" i="23"/>
  <c r="N656" i="23"/>
  <c r="N657" i="23"/>
  <c r="N658" i="23"/>
  <c r="N659" i="23"/>
  <c r="N660" i="23"/>
  <c r="N661" i="23"/>
  <c r="N662" i="23"/>
  <c r="N663" i="23"/>
  <c r="N664" i="23"/>
  <c r="N665" i="23"/>
  <c r="N666" i="23"/>
  <c r="N667" i="23"/>
  <c r="N668" i="23"/>
  <c r="N669" i="23"/>
  <c r="N670" i="23"/>
  <c r="N671" i="23"/>
  <c r="N672" i="23"/>
  <c r="N673" i="23"/>
  <c r="N674" i="23"/>
  <c r="N675" i="23"/>
  <c r="N676" i="23"/>
  <c r="N677" i="23"/>
  <c r="N678" i="23"/>
  <c r="N679" i="23"/>
  <c r="N680" i="23"/>
  <c r="N681" i="23"/>
  <c r="N682" i="23"/>
  <c r="N683" i="23"/>
  <c r="N684" i="23"/>
  <c r="N685" i="23"/>
  <c r="N686" i="23"/>
  <c r="N687" i="23"/>
  <c r="N688" i="23"/>
  <c r="N689" i="23"/>
  <c r="N690" i="23"/>
  <c r="N691" i="23"/>
  <c r="N692" i="23"/>
  <c r="N693" i="23"/>
  <c r="N694" i="23"/>
  <c r="N695" i="23"/>
  <c r="N696" i="23"/>
  <c r="N697" i="23"/>
  <c r="N698" i="23"/>
  <c r="N699" i="23"/>
  <c r="N700" i="23"/>
  <c r="N701" i="23"/>
  <c r="N702" i="23"/>
  <c r="N703" i="23"/>
  <c r="N704" i="23"/>
  <c r="N705" i="23"/>
  <c r="N706" i="23"/>
  <c r="N707" i="23"/>
  <c r="N708" i="23"/>
  <c r="N709" i="23"/>
  <c r="N710" i="23"/>
  <c r="N711" i="23"/>
  <c r="N712" i="23"/>
  <c r="N713" i="23"/>
  <c r="N714" i="23"/>
  <c r="N715" i="23"/>
  <c r="N716" i="23"/>
  <c r="N717" i="23"/>
  <c r="N718" i="23"/>
  <c r="N719" i="23"/>
  <c r="N720" i="23"/>
  <c r="N721" i="23"/>
  <c r="N722" i="23"/>
  <c r="N723" i="23"/>
  <c r="G2" i="23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48" i="23"/>
  <c r="G249" i="23"/>
  <c r="G250" i="23"/>
  <c r="G251" i="23"/>
  <c r="G252" i="23"/>
  <c r="G253" i="23"/>
  <c r="G254" i="23"/>
  <c r="G255" i="23"/>
  <c r="G256" i="23"/>
  <c r="G257" i="23"/>
  <c r="G258" i="23"/>
  <c r="G259" i="23"/>
  <c r="G260" i="23"/>
  <c r="G261" i="23"/>
  <c r="G262" i="23"/>
  <c r="G263" i="23"/>
  <c r="G264" i="23"/>
  <c r="G265" i="23"/>
  <c r="G266" i="23"/>
  <c r="G267" i="23"/>
  <c r="G268" i="23"/>
  <c r="G269" i="23"/>
  <c r="G270" i="23"/>
  <c r="G271" i="23"/>
  <c r="G272" i="23"/>
  <c r="G273" i="23"/>
  <c r="G274" i="23"/>
  <c r="G275" i="23"/>
  <c r="G276" i="23"/>
  <c r="G277" i="23"/>
  <c r="G278" i="23"/>
  <c r="G279" i="23"/>
  <c r="G280" i="23"/>
  <c r="G281" i="23"/>
  <c r="G282" i="23"/>
  <c r="G283" i="23"/>
  <c r="G284" i="23"/>
  <c r="G285" i="23"/>
  <c r="G286" i="23"/>
  <c r="G287" i="23"/>
  <c r="G288" i="23"/>
  <c r="G289" i="23"/>
  <c r="G290" i="23"/>
  <c r="G291" i="23"/>
  <c r="G292" i="23"/>
  <c r="G293" i="23"/>
  <c r="G294" i="23"/>
  <c r="G295" i="23"/>
  <c r="G296" i="23"/>
  <c r="G297" i="23"/>
  <c r="G298" i="23"/>
  <c r="G299" i="23"/>
  <c r="G300" i="23"/>
  <c r="G301" i="23"/>
  <c r="G302" i="23"/>
  <c r="G303" i="23"/>
  <c r="G304" i="23"/>
  <c r="G305" i="23"/>
  <c r="G306" i="23"/>
  <c r="G307" i="23"/>
  <c r="G308" i="23"/>
  <c r="G309" i="23"/>
  <c r="G310" i="23"/>
  <c r="G311" i="23"/>
  <c r="G312" i="23"/>
  <c r="G313" i="23"/>
  <c r="G314" i="23"/>
  <c r="G315" i="23"/>
  <c r="G316" i="23"/>
  <c r="G317" i="23"/>
  <c r="G318" i="23"/>
  <c r="G319" i="23"/>
  <c r="G320" i="23"/>
  <c r="G321" i="23"/>
  <c r="G322" i="23"/>
  <c r="G323" i="23"/>
  <c r="G324" i="23"/>
  <c r="G325" i="23"/>
  <c r="G326" i="23"/>
  <c r="G327" i="23"/>
  <c r="G328" i="23"/>
  <c r="G329" i="23"/>
  <c r="G330" i="23"/>
  <c r="G331" i="23"/>
  <c r="G332" i="23"/>
  <c r="G333" i="23"/>
  <c r="G334" i="23"/>
  <c r="G335" i="23"/>
  <c r="G336" i="23"/>
  <c r="G337" i="23"/>
  <c r="G338" i="23"/>
  <c r="G339" i="23"/>
  <c r="G340" i="23"/>
  <c r="G341" i="23"/>
  <c r="G342" i="23"/>
  <c r="G343" i="23"/>
  <c r="G344" i="23"/>
  <c r="G345" i="23"/>
  <c r="G346" i="23"/>
  <c r="G347" i="23"/>
  <c r="G348" i="23"/>
  <c r="G349" i="23"/>
  <c r="G350" i="23"/>
  <c r="G351" i="23"/>
  <c r="G352" i="23"/>
  <c r="G353" i="23"/>
  <c r="G354" i="23"/>
  <c r="G355" i="23"/>
  <c r="G356" i="23"/>
  <c r="G357" i="23"/>
  <c r="G358" i="23"/>
  <c r="G359" i="23"/>
  <c r="G360" i="23"/>
  <c r="G361" i="23"/>
  <c r="G362" i="23"/>
  <c r="G363" i="23"/>
  <c r="G364" i="23"/>
  <c r="G365" i="23"/>
  <c r="G366" i="23"/>
  <c r="G367" i="23"/>
  <c r="G368" i="23"/>
  <c r="G369" i="23"/>
  <c r="G370" i="23"/>
  <c r="G371" i="23"/>
  <c r="G372" i="23"/>
  <c r="G373" i="23"/>
  <c r="G374" i="23"/>
  <c r="G375" i="23"/>
  <c r="G376" i="23"/>
  <c r="G377" i="23"/>
  <c r="G378" i="23"/>
  <c r="G379" i="23"/>
  <c r="G380" i="23"/>
  <c r="G381" i="23"/>
  <c r="G382" i="23"/>
  <c r="G383" i="23"/>
  <c r="G384" i="23"/>
  <c r="G385" i="23"/>
  <c r="G386" i="23"/>
  <c r="G387" i="23"/>
  <c r="G388" i="23"/>
  <c r="G389" i="23"/>
  <c r="G390" i="23"/>
  <c r="G391" i="23"/>
  <c r="G392" i="23"/>
  <c r="G393" i="23"/>
  <c r="G394" i="23"/>
  <c r="G395" i="23"/>
  <c r="G396" i="23"/>
  <c r="G397" i="23"/>
  <c r="G398" i="23"/>
  <c r="G399" i="23"/>
  <c r="G400" i="23"/>
  <c r="G401" i="23"/>
  <c r="G402" i="23"/>
  <c r="G403" i="23"/>
  <c r="G404" i="23"/>
  <c r="G405" i="23"/>
  <c r="G406" i="23"/>
  <c r="G407" i="23"/>
  <c r="G408" i="23"/>
  <c r="G409" i="23"/>
  <c r="G410" i="23"/>
  <c r="G411" i="23"/>
  <c r="G412" i="23"/>
  <c r="G413" i="23"/>
  <c r="G414" i="23"/>
  <c r="G415" i="23"/>
  <c r="G416" i="23"/>
  <c r="G417" i="23"/>
  <c r="G418" i="23"/>
  <c r="G419" i="23"/>
  <c r="G420" i="23"/>
  <c r="G421" i="23"/>
  <c r="G422" i="23"/>
  <c r="G423" i="23"/>
  <c r="G424" i="23"/>
  <c r="G425" i="23"/>
  <c r="G426" i="23"/>
  <c r="G427" i="23"/>
  <c r="G428" i="23"/>
  <c r="G429" i="23"/>
  <c r="G430" i="23"/>
  <c r="G431" i="23"/>
  <c r="G432" i="23"/>
  <c r="G433" i="23"/>
  <c r="G434" i="23"/>
  <c r="G435" i="23"/>
  <c r="G436" i="23"/>
  <c r="G437" i="23"/>
  <c r="G438" i="23"/>
  <c r="G439" i="23"/>
  <c r="G440" i="23"/>
  <c r="G441" i="23"/>
  <c r="G442" i="23"/>
  <c r="G444" i="23"/>
  <c r="G445" i="23"/>
  <c r="G446" i="23"/>
  <c r="G447" i="23"/>
  <c r="G448" i="23"/>
  <c r="G449" i="23"/>
  <c r="G450" i="23"/>
  <c r="G451" i="23"/>
  <c r="G452" i="23"/>
  <c r="G453" i="23"/>
  <c r="G454" i="23"/>
  <c r="G455" i="23"/>
  <c r="G456" i="23"/>
  <c r="G457" i="23"/>
  <c r="G458" i="23"/>
  <c r="G459" i="23"/>
  <c r="G460" i="23"/>
  <c r="G461" i="23"/>
  <c r="G462" i="23"/>
  <c r="G463" i="23"/>
  <c r="G464" i="23"/>
  <c r="G465" i="23"/>
  <c r="G466" i="23"/>
  <c r="G467" i="23"/>
  <c r="G468" i="23"/>
  <c r="G469" i="23"/>
  <c r="G470" i="23"/>
  <c r="G471" i="23"/>
  <c r="G472" i="23"/>
  <c r="G473" i="23"/>
  <c r="G474" i="23"/>
  <c r="G475" i="23"/>
  <c r="G476" i="23"/>
  <c r="G477" i="23"/>
  <c r="G478" i="23"/>
  <c r="G479" i="23"/>
  <c r="G480" i="23"/>
  <c r="G481" i="23"/>
  <c r="G482" i="23"/>
  <c r="G483" i="23"/>
  <c r="G484" i="23"/>
  <c r="G485" i="23"/>
  <c r="G486" i="23"/>
  <c r="G487" i="23"/>
  <c r="G488" i="23"/>
  <c r="G489" i="23"/>
  <c r="G490" i="23"/>
  <c r="G491" i="23"/>
  <c r="G492" i="23"/>
  <c r="G493" i="23"/>
  <c r="G494" i="23"/>
  <c r="G495" i="23"/>
  <c r="G496" i="23"/>
  <c r="G497" i="23"/>
  <c r="G498" i="23"/>
  <c r="G499" i="23"/>
  <c r="G500" i="23"/>
  <c r="G501" i="23"/>
  <c r="G502" i="23"/>
  <c r="G503" i="23"/>
  <c r="G504" i="23"/>
  <c r="G505" i="23"/>
  <c r="G506" i="23"/>
  <c r="G507" i="23"/>
  <c r="G508" i="23"/>
  <c r="G509" i="23"/>
  <c r="G510" i="23"/>
  <c r="G511" i="23"/>
  <c r="G512" i="23"/>
  <c r="G513" i="23"/>
  <c r="G514" i="23"/>
  <c r="G515" i="23"/>
  <c r="G516" i="23"/>
  <c r="G517" i="23"/>
  <c r="G518" i="23"/>
  <c r="G519" i="23"/>
  <c r="G520" i="23"/>
  <c r="G521" i="23"/>
  <c r="G522" i="23"/>
  <c r="G523" i="23"/>
  <c r="G524" i="23"/>
  <c r="G525" i="23"/>
  <c r="G526" i="23"/>
  <c r="G527" i="23"/>
  <c r="G528" i="23"/>
  <c r="G529" i="23"/>
  <c r="G530" i="23"/>
  <c r="G531" i="23"/>
  <c r="G532" i="23"/>
  <c r="G533" i="23"/>
  <c r="G534" i="23"/>
  <c r="G535" i="23"/>
  <c r="G536" i="23"/>
  <c r="G537" i="23"/>
  <c r="G538" i="23"/>
  <c r="G539" i="23"/>
  <c r="G540" i="23"/>
  <c r="G541" i="23"/>
  <c r="G542" i="23"/>
  <c r="G543" i="23"/>
  <c r="G544" i="23"/>
  <c r="G545" i="23"/>
  <c r="G546" i="23"/>
  <c r="G547" i="23"/>
  <c r="G548" i="23"/>
  <c r="G549" i="23"/>
  <c r="G550" i="23"/>
  <c r="G551" i="23"/>
  <c r="G552" i="23"/>
  <c r="G553" i="23"/>
  <c r="G554" i="23"/>
  <c r="G555" i="23"/>
  <c r="G556" i="23"/>
  <c r="G557" i="23"/>
  <c r="G558" i="23"/>
  <c r="G559" i="23"/>
  <c r="G560" i="23"/>
  <c r="G561" i="23"/>
  <c r="G562" i="23"/>
  <c r="G563" i="23"/>
  <c r="G564" i="23"/>
  <c r="G565" i="23"/>
  <c r="G566" i="23"/>
  <c r="G567" i="23"/>
  <c r="G568" i="23"/>
  <c r="G569" i="23"/>
  <c r="G570" i="23"/>
  <c r="G571" i="23"/>
  <c r="G572" i="23"/>
  <c r="G573" i="23"/>
  <c r="G574" i="23"/>
  <c r="G575" i="23"/>
  <c r="G576" i="23"/>
  <c r="G577" i="23"/>
  <c r="G578" i="23"/>
  <c r="G579" i="23"/>
  <c r="G580" i="23"/>
  <c r="G581" i="23"/>
  <c r="G582" i="23"/>
  <c r="G583" i="23"/>
  <c r="G584" i="23"/>
  <c r="G585" i="23"/>
  <c r="G586" i="23"/>
  <c r="G587" i="23"/>
  <c r="G588" i="23"/>
  <c r="G589" i="23"/>
  <c r="G590" i="23"/>
  <c r="G591" i="23"/>
  <c r="G592" i="23"/>
  <c r="G593" i="23"/>
  <c r="G594" i="23"/>
  <c r="G595" i="23"/>
  <c r="G596" i="23"/>
  <c r="G597" i="23"/>
  <c r="G598" i="23"/>
  <c r="G599" i="23"/>
  <c r="G600" i="23"/>
  <c r="G601" i="23"/>
  <c r="G602" i="23"/>
  <c r="G603" i="23"/>
  <c r="G604" i="23"/>
  <c r="G605" i="23"/>
  <c r="G606" i="23"/>
  <c r="G607" i="23"/>
  <c r="G608" i="23"/>
  <c r="G609" i="23"/>
  <c r="G610" i="23"/>
  <c r="G611" i="23"/>
  <c r="G612" i="23"/>
  <c r="G613" i="23"/>
  <c r="G614" i="23"/>
  <c r="G615" i="23"/>
  <c r="G616" i="23"/>
  <c r="G617" i="23"/>
  <c r="G618" i="23"/>
  <c r="G619" i="23"/>
  <c r="G620" i="23"/>
  <c r="G621" i="23"/>
  <c r="G622" i="23"/>
  <c r="G623" i="23"/>
  <c r="G624" i="23"/>
  <c r="G625" i="23"/>
  <c r="G626" i="23"/>
  <c r="G627" i="23"/>
  <c r="G628" i="23"/>
  <c r="G629" i="23"/>
  <c r="G630" i="23"/>
  <c r="G631" i="23"/>
  <c r="G632" i="23"/>
  <c r="G633" i="23"/>
  <c r="G634" i="23"/>
  <c r="G635" i="23"/>
  <c r="G636" i="23"/>
  <c r="G637" i="23"/>
  <c r="G638" i="23"/>
  <c r="G639" i="23"/>
  <c r="G640" i="23"/>
  <c r="G641" i="23"/>
  <c r="G642" i="23"/>
  <c r="G643" i="23"/>
  <c r="G644" i="23"/>
  <c r="G645" i="23"/>
  <c r="G646" i="23"/>
  <c r="G647" i="23"/>
  <c r="G648" i="23"/>
  <c r="G649" i="23"/>
  <c r="G650" i="23"/>
  <c r="G651" i="23"/>
  <c r="G652" i="23"/>
  <c r="G653" i="23"/>
  <c r="G654" i="23"/>
  <c r="G655" i="23"/>
  <c r="G656" i="23"/>
  <c r="G657" i="23"/>
  <c r="G658" i="23"/>
  <c r="G659" i="23"/>
  <c r="G660" i="23"/>
  <c r="G661" i="23"/>
  <c r="G662" i="23"/>
  <c r="G663" i="23"/>
  <c r="G664" i="23"/>
  <c r="G665" i="23"/>
  <c r="G666" i="23"/>
  <c r="G667" i="23"/>
  <c r="G668" i="23"/>
  <c r="G669" i="23"/>
  <c r="G670" i="23"/>
  <c r="G671" i="23"/>
  <c r="G672" i="23"/>
  <c r="G673" i="23"/>
  <c r="G674" i="23"/>
  <c r="G675" i="23"/>
  <c r="G676" i="23"/>
  <c r="G677" i="23"/>
  <c r="G678" i="23"/>
  <c r="G679" i="23"/>
  <c r="G680" i="23"/>
  <c r="G681" i="23"/>
  <c r="G682" i="23"/>
  <c r="G683" i="23"/>
  <c r="G684" i="23"/>
  <c r="G685" i="23"/>
  <c r="G686" i="23"/>
  <c r="G687" i="23"/>
  <c r="G688" i="23"/>
  <c r="G689" i="23"/>
  <c r="G690" i="23"/>
  <c r="G691" i="23"/>
  <c r="G692" i="23"/>
  <c r="G693" i="23"/>
  <c r="G694" i="23"/>
  <c r="G695" i="23"/>
  <c r="G696" i="23"/>
  <c r="G697" i="23"/>
  <c r="G698" i="23"/>
  <c r="G699" i="23"/>
  <c r="G700" i="23"/>
  <c r="G701" i="23"/>
  <c r="G702" i="23"/>
  <c r="G703" i="23"/>
  <c r="G704" i="23"/>
  <c r="G705" i="23"/>
  <c r="G706" i="23"/>
  <c r="G707" i="23"/>
  <c r="G708" i="23"/>
  <c r="G709" i="23"/>
  <c r="G710" i="23"/>
  <c r="G711" i="23"/>
  <c r="G712" i="23"/>
  <c r="G713" i="23"/>
  <c r="G714" i="23"/>
  <c r="G715" i="23"/>
  <c r="G716" i="23"/>
  <c r="G717" i="23"/>
  <c r="G718" i="23"/>
  <c r="G719" i="23"/>
  <c r="G720" i="23"/>
  <c r="G721" i="23"/>
  <c r="G722" i="23"/>
  <c r="G723" i="23"/>
  <c r="C6" i="25"/>
  <c r="C7" i="25"/>
  <c r="C5" i="25"/>
  <c r="W11" i="26"/>
  <c r="V11" i="26"/>
  <c r="U11" i="26"/>
  <c r="T11" i="26"/>
  <c r="S11" i="26"/>
  <c r="R11" i="26"/>
  <c r="Q11" i="26"/>
  <c r="P11" i="26"/>
  <c r="O11" i="26"/>
  <c r="W6" i="26"/>
  <c r="U6" i="26"/>
  <c r="V6" i="26"/>
  <c r="R6" i="26"/>
  <c r="Q6" i="26"/>
  <c r="O6" i="26"/>
  <c r="P6" i="26"/>
  <c r="T6" i="26"/>
  <c r="S6" i="26"/>
  <c r="R8" i="26"/>
  <c r="Q8" i="26"/>
  <c r="P8" i="26"/>
  <c r="O8" i="26"/>
  <c r="W8" i="26"/>
  <c r="V8" i="26"/>
  <c r="U8" i="26"/>
  <c r="S8" i="26"/>
  <c r="T8" i="26"/>
  <c r="O7" i="26"/>
  <c r="W7" i="26"/>
  <c r="U7" i="26"/>
  <c r="S7" i="26"/>
  <c r="R7" i="26"/>
  <c r="P7" i="26"/>
  <c r="V7" i="26"/>
  <c r="T7" i="26"/>
  <c r="Q7" i="26"/>
  <c r="U5" i="26"/>
  <c r="T5" i="26"/>
  <c r="R5" i="26"/>
  <c r="S5" i="26"/>
  <c r="P5" i="26"/>
  <c r="O5" i="26"/>
  <c r="Q5" i="26"/>
  <c r="V5" i="26"/>
  <c r="W5" i="26"/>
  <c r="U9" i="26"/>
  <c r="Q9" i="26"/>
  <c r="T9" i="26"/>
  <c r="S9" i="26"/>
  <c r="R9" i="26"/>
  <c r="O9" i="26"/>
  <c r="P9" i="26"/>
  <c r="W9" i="26"/>
  <c r="V9" i="26"/>
  <c r="W10" i="26"/>
  <c r="V10" i="26"/>
  <c r="U10" i="26"/>
  <c r="T10" i="26"/>
  <c r="S10" i="26"/>
  <c r="R10" i="26"/>
  <c r="Q10" i="26"/>
  <c r="P10" i="26"/>
  <c r="O10" i="26"/>
  <c r="S12" i="26"/>
  <c r="R12" i="26"/>
  <c r="U12" i="26"/>
  <c r="T12" i="26"/>
  <c r="V12" i="26"/>
  <c r="W12" i="26"/>
  <c r="Q12" i="26"/>
  <c r="X8" i="26"/>
  <c r="X11" i="26"/>
  <c r="X5" i="26"/>
  <c r="X7" i="26"/>
  <c r="X9" i="26"/>
  <c r="X6" i="26"/>
  <c r="P12" i="26"/>
  <c r="X10" i="26"/>
  <c r="O12" i="26"/>
  <c r="S15" i="23"/>
  <c r="T15" i="23"/>
  <c r="T14" i="23"/>
  <c r="S14" i="23"/>
  <c r="U8" i="23"/>
  <c r="G4" i="8"/>
  <c r="X12" i="26"/>
  <c r="X8" i="23"/>
  <c r="W8" i="23"/>
  <c r="T8" i="23"/>
  <c r="AA8" i="23"/>
  <c r="Z8" i="23"/>
  <c r="S8" i="23"/>
  <c r="Y8" i="23"/>
  <c r="V8" i="23"/>
  <c r="Q14" i="8"/>
  <c r="O14" i="8"/>
  <c r="M14" i="8"/>
  <c r="Q36" i="8"/>
  <c r="O36" i="8"/>
  <c r="M36" i="8"/>
  <c r="K34" i="8"/>
  <c r="C34" i="8"/>
  <c r="K33" i="8"/>
  <c r="I33" i="8"/>
  <c r="G33" i="8"/>
  <c r="E33" i="8"/>
  <c r="C33" i="8"/>
  <c r="K32" i="8"/>
  <c r="I32" i="8"/>
  <c r="G32" i="8"/>
  <c r="E32" i="8"/>
  <c r="C32" i="8"/>
  <c r="K31" i="8"/>
  <c r="I31" i="8"/>
  <c r="G31" i="8"/>
  <c r="E31" i="8"/>
  <c r="C31" i="8"/>
  <c r="K30" i="8"/>
  <c r="I30" i="8"/>
  <c r="G30" i="8"/>
  <c r="E30" i="8"/>
  <c r="C30" i="8"/>
  <c r="K29" i="8"/>
  <c r="I29" i="8"/>
  <c r="G29" i="8"/>
  <c r="E29" i="8"/>
  <c r="C29" i="8"/>
  <c r="K28" i="8"/>
  <c r="I28" i="8"/>
  <c r="G28" i="8"/>
  <c r="E28" i="8"/>
  <c r="C28" i="8"/>
  <c r="K27" i="8"/>
  <c r="I27" i="8"/>
  <c r="G27" i="8"/>
  <c r="E27" i="8"/>
  <c r="C27" i="8"/>
  <c r="K26" i="8"/>
  <c r="I26" i="8"/>
  <c r="G26" i="8"/>
  <c r="E26" i="8"/>
  <c r="C26" i="8"/>
  <c r="K10" i="8"/>
  <c r="K9" i="8"/>
  <c r="K8" i="8"/>
  <c r="K7" i="8"/>
  <c r="K6" i="8"/>
  <c r="K5" i="8"/>
  <c r="K11" i="8"/>
  <c r="K12" i="8"/>
  <c r="K4" i="8"/>
  <c r="I11" i="8"/>
  <c r="I10" i="8"/>
  <c r="I7" i="8"/>
  <c r="G7" i="8"/>
  <c r="I9" i="8"/>
  <c r="I8" i="8"/>
  <c r="I6" i="8"/>
  <c r="I5" i="8"/>
  <c r="I4" i="8"/>
  <c r="G10" i="8"/>
  <c r="G9" i="8"/>
  <c r="G8" i="8"/>
  <c r="G6" i="8"/>
  <c r="G5" i="8"/>
  <c r="G11" i="8"/>
  <c r="E8" i="8"/>
  <c r="E9" i="8"/>
  <c r="C9" i="8"/>
  <c r="C8" i="8"/>
  <c r="C6" i="8"/>
  <c r="E6" i="8"/>
  <c r="E5" i="8"/>
  <c r="E7" i="8"/>
  <c r="E10" i="8"/>
  <c r="E11" i="8"/>
  <c r="E4" i="8"/>
  <c r="C10" i="8"/>
  <c r="C5" i="8"/>
  <c r="C7" i="8"/>
  <c r="C11" i="8"/>
  <c r="C4" i="8"/>
  <c r="C12" i="8"/>
  <c r="I36" i="8"/>
  <c r="I14" i="8"/>
  <c r="E36" i="8" l="1"/>
  <c r="E14" i="8"/>
  <c r="L10" i="24"/>
  <c r="L6" i="24"/>
  <c r="L4" i="24"/>
  <c r="K4" i="24"/>
  <c r="L8" i="24"/>
  <c r="L7" i="24"/>
  <c r="L9" i="24"/>
  <c r="L5" i="24"/>
  <c r="I6" i="24"/>
  <c r="E7" i="24"/>
  <c r="S32" i="8"/>
  <c r="K6" i="24"/>
  <c r="C36" i="8"/>
  <c r="G14" i="8"/>
  <c r="C14" i="8"/>
  <c r="G36" i="8"/>
  <c r="S26" i="8"/>
  <c r="S31" i="8"/>
  <c r="S28" i="8"/>
  <c r="S4" i="8"/>
  <c r="S33" i="8"/>
  <c r="S11" i="8"/>
  <c r="S6" i="8"/>
  <c r="S7" i="8"/>
  <c r="S9" i="8"/>
  <c r="S10" i="8"/>
  <c r="S27" i="8"/>
  <c r="S5" i="8"/>
  <c r="X2" i="23"/>
  <c r="S4" i="23"/>
  <c r="Z6" i="23"/>
  <c r="E5" i="24"/>
  <c r="K36" i="8"/>
  <c r="K14" i="8"/>
  <c r="S29" i="8"/>
  <c r="C8" i="25"/>
  <c r="D5" i="25" s="1"/>
  <c r="S22" i="23"/>
  <c r="W9" i="23"/>
  <c r="Z7" i="23"/>
  <c r="Y3" i="23"/>
  <c r="S7" i="23"/>
  <c r="V7" i="23"/>
  <c r="Z5" i="23"/>
  <c r="S2" i="23"/>
  <c r="AA10" i="23"/>
  <c r="X3" i="23"/>
  <c r="Y2" i="23"/>
  <c r="U3" i="23"/>
  <c r="Y10" i="23"/>
  <c r="V6" i="23"/>
  <c r="AA9" i="23"/>
  <c r="W5" i="23"/>
  <c r="X7" i="23"/>
  <c r="W3" i="23"/>
  <c r="W4" i="23"/>
  <c r="U4" i="23"/>
  <c r="Y5" i="23"/>
  <c r="S10" i="23"/>
  <c r="S6" i="23"/>
  <c r="T6" i="23"/>
  <c r="T3" i="23"/>
  <c r="Y6" i="23"/>
  <c r="Z4" i="23"/>
  <c r="Y7" i="23"/>
  <c r="AA4" i="23"/>
  <c r="X4" i="23"/>
  <c r="Z9" i="23"/>
  <c r="S5" i="23"/>
  <c r="Z10" i="23"/>
  <c r="V3" i="23"/>
  <c r="AA2" i="23"/>
  <c r="X9" i="23"/>
  <c r="Y4" i="23"/>
  <c r="V10" i="23"/>
  <c r="W10" i="23"/>
  <c r="U5" i="23"/>
  <c r="U6" i="23"/>
  <c r="S9" i="23"/>
  <c r="U7" i="23"/>
  <c r="V2" i="23"/>
  <c r="Y9" i="23"/>
  <c r="Z2" i="23"/>
  <c r="S3" i="23"/>
  <c r="T4" i="23"/>
  <c r="AA3" i="23"/>
  <c r="V9" i="23"/>
  <c r="Z3" i="23"/>
  <c r="U2" i="23"/>
  <c r="AA5" i="23"/>
  <c r="T10" i="23"/>
  <c r="T7" i="23"/>
  <c r="X10" i="23"/>
  <c r="U10" i="23"/>
  <c r="W6" i="23"/>
  <c r="X5" i="23"/>
  <c r="AA6" i="23"/>
  <c r="V5" i="23"/>
  <c r="X6" i="23"/>
  <c r="AA7" i="23"/>
  <c r="W7" i="23"/>
  <c r="V4" i="23"/>
  <c r="T9" i="23"/>
  <c r="T2" i="23"/>
  <c r="W2" i="23"/>
  <c r="T5" i="23"/>
  <c r="U9" i="23"/>
  <c r="D8" i="24"/>
  <c r="E6" i="24"/>
  <c r="H7" i="24"/>
  <c r="H4" i="24"/>
  <c r="E9" i="24"/>
  <c r="E10" i="24"/>
  <c r="K5" i="24"/>
  <c r="I5" i="24"/>
  <c r="M8" i="24"/>
  <c r="D6" i="24"/>
  <c r="G5" i="24"/>
  <c r="M9" i="24"/>
  <c r="M6" i="24"/>
  <c r="G4" i="24"/>
  <c r="D9" i="24"/>
  <c r="F4" i="24"/>
  <c r="E8" i="24"/>
  <c r="K9" i="24"/>
  <c r="F5" i="24"/>
  <c r="K8" i="24"/>
  <c r="J6" i="24"/>
  <c r="E4" i="24"/>
  <c r="M10" i="24"/>
  <c r="I9" i="24"/>
  <c r="G7" i="24"/>
  <c r="D4" i="24"/>
  <c r="D10" i="24"/>
  <c r="G9" i="24"/>
  <c r="D5" i="24"/>
  <c r="D7" i="24"/>
  <c r="M4" i="24"/>
  <c r="G10" i="24"/>
  <c r="H9" i="24"/>
  <c r="H5" i="24"/>
  <c r="F7" i="24"/>
  <c r="H6" i="24"/>
  <c r="J10" i="24"/>
  <c r="F9" i="24"/>
  <c r="J8" i="24"/>
  <c r="G6" i="24"/>
  <c r="I10" i="24"/>
  <c r="J9" i="24"/>
  <c r="I8" i="24"/>
  <c r="M7" i="24"/>
  <c r="F6" i="24"/>
  <c r="H10" i="24"/>
  <c r="H8" i="24"/>
  <c r="K7" i="24"/>
  <c r="K10" i="24"/>
  <c r="M5" i="24"/>
  <c r="G8" i="24"/>
  <c r="J7" i="24"/>
  <c r="J4" i="24"/>
  <c r="F10" i="24"/>
  <c r="J5" i="24"/>
  <c r="F8" i="24"/>
  <c r="I7" i="24"/>
  <c r="I4" i="24"/>
  <c r="L11" i="24" l="1"/>
  <c r="L40" i="24" s="1"/>
  <c r="D11" i="24"/>
  <c r="D37" i="24" s="1"/>
  <c r="C16" i="8"/>
  <c r="S36" i="8"/>
  <c r="C38" i="8"/>
  <c r="S14" i="8"/>
  <c r="D6" i="25"/>
  <c r="D7" i="25"/>
  <c r="N5" i="24"/>
  <c r="H50" i="24" s="1"/>
  <c r="N6" i="24"/>
  <c r="K51" i="24" s="1"/>
  <c r="E11" i="24"/>
  <c r="E42" i="24" s="1"/>
  <c r="M11" i="24"/>
  <c r="M38" i="24" s="1"/>
  <c r="J11" i="24"/>
  <c r="J37" i="24" s="1"/>
  <c r="G11" i="24"/>
  <c r="G39" i="24" s="1"/>
  <c r="N9" i="24"/>
  <c r="I54" i="24" s="1"/>
  <c r="N8" i="24"/>
  <c r="E53" i="24" s="1"/>
  <c r="K11" i="24"/>
  <c r="K38" i="24" s="1"/>
  <c r="F11" i="24"/>
  <c r="F42" i="24" s="1"/>
  <c r="H11" i="24"/>
  <c r="H38" i="24" s="1"/>
  <c r="N7" i="24"/>
  <c r="D52" i="24" s="1"/>
  <c r="N10" i="24"/>
  <c r="F55" i="24" s="1"/>
  <c r="N4" i="24"/>
  <c r="J49" i="24" s="1"/>
  <c r="I11" i="24"/>
  <c r="I39" i="24" s="1"/>
  <c r="F49" i="24" l="1"/>
  <c r="G51" i="24"/>
  <c r="E41" i="24"/>
  <c r="E40" i="24"/>
  <c r="L52" i="24"/>
  <c r="I37" i="24"/>
  <c r="K40" i="24"/>
  <c r="J51" i="24"/>
  <c r="I36" i="24"/>
  <c r="I51" i="24"/>
  <c r="K39" i="24"/>
  <c r="L54" i="24"/>
  <c r="I55" i="24"/>
  <c r="L41" i="24"/>
  <c r="E52" i="24"/>
  <c r="K36" i="24"/>
  <c r="M40" i="24"/>
  <c r="J42" i="24"/>
  <c r="K50" i="24"/>
  <c r="J55" i="24"/>
  <c r="K37" i="24"/>
  <c r="I49" i="24"/>
  <c r="K42" i="24"/>
  <c r="E54" i="24"/>
  <c r="F37" i="24"/>
  <c r="L55" i="24"/>
  <c r="F50" i="24"/>
  <c r="E50" i="24"/>
  <c r="F41" i="24"/>
  <c r="H39" i="24"/>
  <c r="M49" i="24"/>
  <c r="H55" i="24"/>
  <c r="E51" i="24"/>
  <c r="K52" i="24"/>
  <c r="K55" i="24"/>
  <c r="F36" i="24"/>
  <c r="F40" i="24"/>
  <c r="H42" i="24"/>
  <c r="E38" i="24"/>
  <c r="J53" i="24"/>
  <c r="G41" i="24"/>
  <c r="L39" i="24"/>
  <c r="M53" i="24"/>
  <c r="L50" i="24"/>
  <c r="I38" i="24"/>
  <c r="I42" i="24"/>
  <c r="G53" i="24"/>
  <c r="G49" i="24"/>
  <c r="G36" i="24"/>
  <c r="G38" i="24"/>
  <c r="D50" i="24"/>
  <c r="M36" i="24"/>
  <c r="I50" i="24"/>
  <c r="J38" i="24"/>
  <c r="E37" i="24"/>
  <c r="G50" i="24"/>
  <c r="E39" i="24"/>
  <c r="J41" i="24"/>
  <c r="F54" i="24"/>
  <c r="D49" i="24"/>
  <c r="F53" i="24"/>
  <c r="G54" i="24"/>
  <c r="H52" i="24"/>
  <c r="J52" i="24"/>
  <c r="K49" i="24"/>
  <c r="I53" i="24"/>
  <c r="K53" i="24"/>
  <c r="H41" i="24"/>
  <c r="D38" i="24"/>
  <c r="M55" i="24"/>
  <c r="M54" i="24"/>
  <c r="D40" i="24"/>
  <c r="D41" i="24"/>
  <c r="M50" i="24"/>
  <c r="L42" i="24"/>
  <c r="H54" i="24"/>
  <c r="D51" i="24"/>
  <c r="M42" i="24"/>
  <c r="M41" i="24"/>
  <c r="D53" i="24"/>
  <c r="D54" i="24"/>
  <c r="M37" i="24"/>
  <c r="L37" i="24"/>
  <c r="J54" i="24"/>
  <c r="L38" i="24"/>
  <c r="J50" i="24"/>
  <c r="M39" i="24"/>
  <c r="F51" i="24"/>
  <c r="E36" i="24"/>
  <c r="F52" i="24"/>
  <c r="I41" i="24"/>
  <c r="M51" i="24"/>
  <c r="K54" i="24"/>
  <c r="D42" i="24"/>
  <c r="G40" i="24"/>
  <c r="J39" i="24"/>
  <c r="M52" i="24"/>
  <c r="E49" i="24"/>
  <c r="F39" i="24"/>
  <c r="K41" i="24"/>
  <c r="D55" i="24"/>
  <c r="J40" i="24"/>
  <c r="D36" i="24"/>
  <c r="E55" i="24"/>
  <c r="J36" i="24"/>
  <c r="H49" i="24"/>
  <c r="L49" i="24"/>
  <c r="L53" i="24"/>
  <c r="G55" i="24"/>
  <c r="I52" i="24"/>
  <c r="H37" i="24"/>
  <c r="H53" i="24"/>
  <c r="H51" i="24"/>
  <c r="G52" i="24"/>
  <c r="D39" i="24"/>
  <c r="G37" i="24"/>
  <c r="I40" i="24"/>
  <c r="L51" i="24"/>
  <c r="F38" i="24"/>
  <c r="H36" i="24"/>
  <c r="L36" i="24"/>
  <c r="G42" i="24"/>
  <c r="H40" i="24"/>
  <c r="N11" i="24"/>
  <c r="K43" i="24" l="1"/>
  <c r="N54" i="24"/>
  <c r="N53" i="24"/>
  <c r="N52" i="24"/>
  <c r="N55" i="24"/>
  <c r="N51" i="24"/>
  <c r="N50" i="24"/>
  <c r="F43" i="24"/>
  <c r="N49" i="24"/>
  <c r="H43" i="24"/>
  <c r="G43" i="24"/>
  <c r="D43" i="24"/>
  <c r="I43" i="24"/>
  <c r="E43" i="24"/>
  <c r="J43" i="24"/>
  <c r="L43" i="24"/>
  <c r="M43" i="24"/>
</calcChain>
</file>

<file path=xl/sharedStrings.xml><?xml version="1.0" encoding="utf-8"?>
<sst xmlns="http://schemas.openxmlformats.org/spreadsheetml/2006/main" count="25509" uniqueCount="1413">
  <si>
    <t>EMPRESA</t>
  </si>
  <si>
    <t>PPU</t>
  </si>
  <si>
    <t>INTERNO</t>
  </si>
  <si>
    <t>TIPO BUS</t>
  </si>
  <si>
    <t>TIPO FLOTA</t>
  </si>
  <si>
    <t>MARCA CHASIS</t>
  </si>
  <si>
    <t>TERMINAL OP</t>
  </si>
  <si>
    <t>Inicio Operación</t>
  </si>
  <si>
    <t>Cargo</t>
  </si>
  <si>
    <t>Nombre</t>
  </si>
  <si>
    <t>US1</t>
  </si>
  <si>
    <t>SHCY11</t>
  </si>
  <si>
    <t>A2</t>
  </si>
  <si>
    <t>FOB</t>
  </si>
  <si>
    <t>VOLVO</t>
  </si>
  <si>
    <t>EL RETIRO</t>
  </si>
  <si>
    <t>Jefe de Terminal</t>
  </si>
  <si>
    <t>Jose Lagunas</t>
  </si>
  <si>
    <t>SHCY32</t>
  </si>
  <si>
    <t>Supervisor de Flota</t>
  </si>
  <si>
    <t>Giovanni Nicoletti</t>
  </si>
  <si>
    <t>SHCY33</t>
  </si>
  <si>
    <t>John Santibáñez</t>
  </si>
  <si>
    <t>SHCY34</t>
  </si>
  <si>
    <t>SHCY39</t>
  </si>
  <si>
    <t>FR</t>
  </si>
  <si>
    <t>SHCY40</t>
  </si>
  <si>
    <t>SHCY46</t>
  </si>
  <si>
    <t>SHCY47</t>
  </si>
  <si>
    <t>Bus</t>
  </si>
  <si>
    <t>Cuenta de MARCA CHASIS</t>
  </si>
  <si>
    <t>SHCY49</t>
  </si>
  <si>
    <t>SHCY50</t>
  </si>
  <si>
    <t>SHCY55</t>
  </si>
  <si>
    <t>B2</t>
  </si>
  <si>
    <t>LXDH97</t>
  </si>
  <si>
    <t>SCANIA</t>
  </si>
  <si>
    <t>LXDJ16</t>
  </si>
  <si>
    <t>C2</t>
  </si>
  <si>
    <t>LXDJ22</t>
  </si>
  <si>
    <t>SHXF30</t>
  </si>
  <si>
    <t>Total general</t>
  </si>
  <si>
    <t>SHXG17</t>
  </si>
  <si>
    <t>SHXG31</t>
  </si>
  <si>
    <t>SHXG34</t>
  </si>
  <si>
    <t>BUS QUEMADO</t>
  </si>
  <si>
    <t>SJPC36</t>
  </si>
  <si>
    <t>LXDJ23</t>
  </si>
  <si>
    <t>SJPC37</t>
  </si>
  <si>
    <t>SJPC41</t>
  </si>
  <si>
    <t>SJPC45</t>
  </si>
  <si>
    <t>SJPC48</t>
  </si>
  <si>
    <t>SJPC49</t>
  </si>
  <si>
    <t>SJPC52</t>
  </si>
  <si>
    <t>SJPD89</t>
  </si>
  <si>
    <t>SJPD90</t>
  </si>
  <si>
    <t>SJPD91</t>
  </si>
  <si>
    <t>SJPD93</t>
  </si>
  <si>
    <t>SJPD95</t>
  </si>
  <si>
    <t>SJPD96</t>
  </si>
  <si>
    <t>SJPC68</t>
  </si>
  <si>
    <t>SJPF87</t>
  </si>
  <si>
    <t>LXDH84</t>
  </si>
  <si>
    <t>LXDH85</t>
  </si>
  <si>
    <t>LXDH98</t>
  </si>
  <si>
    <t>LXDH86</t>
  </si>
  <si>
    <t>LXDH87</t>
  </si>
  <si>
    <t>LXDH89</t>
  </si>
  <si>
    <t>LXDH90</t>
  </si>
  <si>
    <t>LXDH91</t>
  </si>
  <si>
    <t>LXDH92</t>
  </si>
  <si>
    <t>LXDH93</t>
  </si>
  <si>
    <t>LXDH94</t>
  </si>
  <si>
    <t>LXDH95</t>
  </si>
  <si>
    <t>LXDH96</t>
  </si>
  <si>
    <t>LXDJ10</t>
  </si>
  <si>
    <t>LXDJ11</t>
  </si>
  <si>
    <t>LXDJ21</t>
  </si>
  <si>
    <t>LXDJ12</t>
  </si>
  <si>
    <t>LXDJ25</t>
  </si>
  <si>
    <t>LXDJ24</t>
  </si>
  <si>
    <t>LXDH99</t>
  </si>
  <si>
    <t>LXDJ13</t>
  </si>
  <si>
    <t>LXDJ14</t>
  </si>
  <si>
    <t>LXDJ15</t>
  </si>
  <si>
    <t>LXDJ19</t>
  </si>
  <si>
    <t>LXDJ20</t>
  </si>
  <si>
    <t>PLACA</t>
  </si>
  <si>
    <t>LXDH88</t>
  </si>
  <si>
    <t>SANTA MARGARITA</t>
  </si>
  <si>
    <t>LXDJ28</t>
  </si>
  <si>
    <t>LXDJ30</t>
  </si>
  <si>
    <t>LXDJ17</t>
  </si>
  <si>
    <t>LXDJ18</t>
  </si>
  <si>
    <t>LXDJ26</t>
  </si>
  <si>
    <t>LXDJ27</t>
  </si>
  <si>
    <t>BUS</t>
  </si>
  <si>
    <t>CANTIDAD</t>
  </si>
  <si>
    <t>LXDJ29</t>
  </si>
  <si>
    <t>LXDJ31</t>
  </si>
  <si>
    <t>SHCY17</t>
  </si>
  <si>
    <t>SHCY18</t>
  </si>
  <si>
    <t>SHXC20</t>
  </si>
  <si>
    <t>SHXD76</t>
  </si>
  <si>
    <t>SHXD78</t>
  </si>
  <si>
    <t>SHXF26</t>
  </si>
  <si>
    <t>SHXF27</t>
  </si>
  <si>
    <t>SHXF28</t>
  </si>
  <si>
    <t>SHXG32</t>
  </si>
  <si>
    <t>SJPC38</t>
  </si>
  <si>
    <t>SHXF24</t>
  </si>
  <si>
    <t>SHXG30</t>
  </si>
  <si>
    <t>SJPC44</t>
  </si>
  <si>
    <t>SJPC56</t>
  </si>
  <si>
    <t>SJPC66</t>
  </si>
  <si>
    <t>SJPC67</t>
  </si>
  <si>
    <t>SJPD92</t>
  </si>
  <si>
    <t>SJPD94</t>
  </si>
  <si>
    <t>SJPD99</t>
  </si>
  <si>
    <t>Teléfono</t>
  </si>
  <si>
    <t>Subgerente Flota</t>
  </si>
  <si>
    <t>Fabián Contreras</t>
  </si>
  <si>
    <t>9 82461903</t>
  </si>
  <si>
    <t>Gustavo Rojas</t>
  </si>
  <si>
    <t>9 32007087</t>
  </si>
  <si>
    <t>Jefe Taller</t>
  </si>
  <si>
    <t>Roberto Padilla</t>
  </si>
  <si>
    <t>9 45814567</t>
  </si>
  <si>
    <t>(en blanco)</t>
  </si>
  <si>
    <t>SHCX53</t>
  </si>
  <si>
    <t>CONDELL</t>
  </si>
  <si>
    <t>Boris Caceres</t>
  </si>
  <si>
    <t>SHCY10</t>
  </si>
  <si>
    <t>Francisco Fayos</t>
  </si>
  <si>
    <t>SHXF83</t>
  </si>
  <si>
    <t>Jorge Villagra</t>
  </si>
  <si>
    <t>SHXG99</t>
  </si>
  <si>
    <t>Juan Martini</t>
  </si>
  <si>
    <t>SHCY62</t>
  </si>
  <si>
    <t>SHCY45</t>
  </si>
  <si>
    <t>SHCY44</t>
  </si>
  <si>
    <t>SHCY43</t>
  </si>
  <si>
    <t>SHXD83</t>
  </si>
  <si>
    <t>SHCY38</t>
  </si>
  <si>
    <t>LDJP73</t>
  </si>
  <si>
    <t>MERCEDES BENZ</t>
  </si>
  <si>
    <t>LDJV43</t>
  </si>
  <si>
    <t>BE</t>
  </si>
  <si>
    <t>LDJV46</t>
  </si>
  <si>
    <t>FOTON</t>
  </si>
  <si>
    <t>LDJV48</t>
  </si>
  <si>
    <t>LDJV49</t>
  </si>
  <si>
    <t>LDJV51</t>
  </si>
  <si>
    <t>LDJV52</t>
  </si>
  <si>
    <t>LDJW29</t>
  </si>
  <si>
    <t>LDJW48</t>
  </si>
  <si>
    <t>SJTD55</t>
  </si>
  <si>
    <t>SJTD58</t>
  </si>
  <si>
    <t>SJTD56</t>
  </si>
  <si>
    <t>SJTD57</t>
  </si>
  <si>
    <t>SJTD61</t>
  </si>
  <si>
    <t>SJTD62</t>
  </si>
  <si>
    <t>SJTD63</t>
  </si>
  <si>
    <t>SJTD64</t>
  </si>
  <si>
    <t>SJTD65</t>
  </si>
  <si>
    <t>SJTD66</t>
  </si>
  <si>
    <t>SKHF49</t>
  </si>
  <si>
    <t>SKHF84</t>
  </si>
  <si>
    <t>SKHF87</t>
  </si>
  <si>
    <t>SKHF91</t>
  </si>
  <si>
    <t>SKHF92</t>
  </si>
  <si>
    <t>SKHG14</t>
  </si>
  <si>
    <t>SKHG17</t>
  </si>
  <si>
    <t>SKHG20</t>
  </si>
  <si>
    <t>SKHG33</t>
  </si>
  <si>
    <t>SKHG37</t>
  </si>
  <si>
    <t>SKHG39</t>
  </si>
  <si>
    <t>SKHG40</t>
  </si>
  <si>
    <t>SKHG42</t>
  </si>
  <si>
    <t>SKHG47</t>
  </si>
  <si>
    <t>SKHG55</t>
  </si>
  <si>
    <t>SKHG57</t>
  </si>
  <si>
    <t>SKHG59</t>
  </si>
  <si>
    <t>SKHG62</t>
  </si>
  <si>
    <t>SKHG65</t>
  </si>
  <si>
    <t>SKHG69</t>
  </si>
  <si>
    <t>SKHG70</t>
  </si>
  <si>
    <t>SKHG73</t>
  </si>
  <si>
    <t>SKHG74</t>
  </si>
  <si>
    <t>SKHG79</t>
  </si>
  <si>
    <t>SKHG80</t>
  </si>
  <si>
    <t>SKHG82</t>
  </si>
  <si>
    <t>SKHG85</t>
  </si>
  <si>
    <t>SKHG89</t>
  </si>
  <si>
    <t>SKHG90</t>
  </si>
  <si>
    <t>SKHG92</t>
  </si>
  <si>
    <t>SKHG93</t>
  </si>
  <si>
    <t>SKHG95</t>
  </si>
  <si>
    <t>SPZX34</t>
  </si>
  <si>
    <t>SPZX36</t>
  </si>
  <si>
    <t>SPZX39</t>
  </si>
  <si>
    <t>SPZX41</t>
  </si>
  <si>
    <t>SPZX42</t>
  </si>
  <si>
    <t>SPZX46</t>
  </si>
  <si>
    <t>SPZX51</t>
  </si>
  <si>
    <t>SPZX55</t>
  </si>
  <si>
    <t>SPZX56</t>
  </si>
  <si>
    <t>SPZX58</t>
  </si>
  <si>
    <t>STHB50</t>
  </si>
  <si>
    <t>STHD21</t>
  </si>
  <si>
    <t>STHD35</t>
  </si>
  <si>
    <t>STHD47</t>
  </si>
  <si>
    <t>STHD54</t>
  </si>
  <si>
    <t>STHD65</t>
  </si>
  <si>
    <t>STHD72</t>
  </si>
  <si>
    <t>STHF13</t>
  </si>
  <si>
    <t>STHF15</t>
  </si>
  <si>
    <t>STHF35</t>
  </si>
  <si>
    <t>STHF42</t>
  </si>
  <si>
    <t>STHF45</t>
  </si>
  <si>
    <t>STHF49</t>
  </si>
  <si>
    <t>STHF62</t>
  </si>
  <si>
    <t>STHF76</t>
  </si>
  <si>
    <t>VTFK64</t>
  </si>
  <si>
    <t>LDJX67</t>
  </si>
  <si>
    <t>LDSW88</t>
  </si>
  <si>
    <t>LDSX94</t>
  </si>
  <si>
    <t>LDSX95</t>
  </si>
  <si>
    <t>LDSX96</t>
  </si>
  <si>
    <t>LDTG63</t>
  </si>
  <si>
    <t>LDTG64</t>
  </si>
  <si>
    <t>LDTG65</t>
  </si>
  <si>
    <t>LDTG66</t>
  </si>
  <si>
    <t>LDTG67</t>
  </si>
  <si>
    <t>LFGJ89</t>
  </si>
  <si>
    <t>LFGJ90</t>
  </si>
  <si>
    <t>LFGJ91</t>
  </si>
  <si>
    <t>LFGJ92</t>
  </si>
  <si>
    <t>LFGJ93</t>
  </si>
  <si>
    <t>LFGJ94</t>
  </si>
  <si>
    <t>LFGJ95</t>
  </si>
  <si>
    <t>LFGJ97</t>
  </si>
  <si>
    <t>LFGW21</t>
  </si>
  <si>
    <t>LFGW22</t>
  </si>
  <si>
    <t>LFGW31</t>
  </si>
  <si>
    <t>LFGW32</t>
  </si>
  <si>
    <t>LFGW33</t>
  </si>
  <si>
    <t>LFGW34</t>
  </si>
  <si>
    <t>SHXF25</t>
  </si>
  <si>
    <t>SHXG87</t>
  </si>
  <si>
    <t>SJPC35</t>
  </si>
  <si>
    <t>SJPC50</t>
  </si>
  <si>
    <t>SJPD73</t>
  </si>
  <si>
    <t>SJPF88</t>
  </si>
  <si>
    <t>SJPF86</t>
  </si>
  <si>
    <t>LDJV50</t>
  </si>
  <si>
    <t>LDJW30</t>
  </si>
  <si>
    <t>LDJW31</t>
  </si>
  <si>
    <t>TXZH33</t>
  </si>
  <si>
    <t>TXZH34</t>
  </si>
  <si>
    <t>TXZH35</t>
  </si>
  <si>
    <t>TXZH36</t>
  </si>
  <si>
    <t>TXZH37</t>
  </si>
  <si>
    <t>TXZH38</t>
  </si>
  <si>
    <t>TXZH39</t>
  </si>
  <si>
    <t>TXZK38</t>
  </si>
  <si>
    <t>SHCY36</t>
  </si>
  <si>
    <t>STA MARTA</t>
  </si>
  <si>
    <t xml:space="preserve">Margarita Tafall </t>
  </si>
  <si>
    <t>SHCY37</t>
  </si>
  <si>
    <t>Luis Vargas</t>
  </si>
  <si>
    <t>SHCY51</t>
  </si>
  <si>
    <t>Carlos Moya</t>
  </si>
  <si>
    <t>SHCY16</t>
  </si>
  <si>
    <t>Jose Vargas</t>
  </si>
  <si>
    <t>SHCY35</t>
  </si>
  <si>
    <t xml:space="preserve">Darochs Diaz </t>
  </si>
  <si>
    <t>SHCX43</t>
  </si>
  <si>
    <t>SHCY59</t>
  </si>
  <si>
    <t>SHCX54</t>
  </si>
  <si>
    <t>SHCY58</t>
  </si>
  <si>
    <t>SHXF23</t>
  </si>
  <si>
    <t>SHCY64</t>
  </si>
  <si>
    <t>SHCY57</t>
  </si>
  <si>
    <t>SHXF45</t>
  </si>
  <si>
    <t>BPAL</t>
  </si>
  <si>
    <t>SHXF19</t>
  </si>
  <si>
    <t>SJPB20</t>
  </si>
  <si>
    <t>SJPC30</t>
  </si>
  <si>
    <t>FLXS43</t>
  </si>
  <si>
    <t>FLXS44</t>
  </si>
  <si>
    <t>FLXS45</t>
  </si>
  <si>
    <t>FLXS46</t>
  </si>
  <si>
    <t>FLXS47</t>
  </si>
  <si>
    <t>FLXS48</t>
  </si>
  <si>
    <t>FLXS49</t>
  </si>
  <si>
    <t>FLXS50</t>
  </si>
  <si>
    <t>FLXS51</t>
  </si>
  <si>
    <t>FLXS52</t>
  </si>
  <si>
    <t>FLXS53</t>
  </si>
  <si>
    <t>FLXS54</t>
  </si>
  <si>
    <t>FLXS55</t>
  </si>
  <si>
    <t>FLXS56</t>
  </si>
  <si>
    <t>FLXS57</t>
  </si>
  <si>
    <t>FLXS58</t>
  </si>
  <si>
    <t>FLXS59</t>
  </si>
  <si>
    <t>FLXS61</t>
  </si>
  <si>
    <t>FLXS63</t>
  </si>
  <si>
    <t>FLXP83</t>
  </si>
  <si>
    <t>FLXP84</t>
  </si>
  <si>
    <t>FLXP85</t>
  </si>
  <si>
    <t>FLXP86</t>
  </si>
  <si>
    <t>FLXP87</t>
  </si>
  <si>
    <t>STGZ28</t>
  </si>
  <si>
    <t>STGZ62</t>
  </si>
  <si>
    <t>STGZ85</t>
  </si>
  <si>
    <t>STHB12</t>
  </si>
  <si>
    <t>STHB21</t>
  </si>
  <si>
    <t>STHB29</t>
  </si>
  <si>
    <t>STHB36</t>
  </si>
  <si>
    <t>STHB62</t>
  </si>
  <si>
    <t>STHC45</t>
  </si>
  <si>
    <t>STHC51</t>
  </si>
  <si>
    <t>STHC54</t>
  </si>
  <si>
    <t>STHC69</t>
  </si>
  <si>
    <t>STHF31</t>
  </si>
  <si>
    <t>STHF54</t>
  </si>
  <si>
    <t>STHF70</t>
  </si>
  <si>
    <t>STHF77</t>
  </si>
  <si>
    <t>STHF78</t>
  </si>
  <si>
    <t>STHF82</t>
  </si>
  <si>
    <t>STHF84</t>
  </si>
  <si>
    <t>STHF88</t>
  </si>
  <si>
    <t>STHJ61</t>
  </si>
  <si>
    <t>STHJ68</t>
  </si>
  <si>
    <t>STHJ72</t>
  </si>
  <si>
    <t>STHJ74</t>
  </si>
  <si>
    <t>STHJ81</t>
  </si>
  <si>
    <t>STHJ86</t>
  </si>
  <si>
    <t>STHJ89</t>
  </si>
  <si>
    <t>STHJ98</t>
  </si>
  <si>
    <t>STHJ99</t>
  </si>
  <si>
    <t>STHK10</t>
  </si>
  <si>
    <t>STHK12</t>
  </si>
  <si>
    <t>STHK13</t>
  </si>
  <si>
    <t>STHK20</t>
  </si>
  <si>
    <t>STHK27</t>
  </si>
  <si>
    <t>STHK28</t>
  </si>
  <si>
    <t>STHK36</t>
  </si>
  <si>
    <t>STHK38</t>
  </si>
  <si>
    <t>STHK39</t>
  </si>
  <si>
    <t>STHK53</t>
  </si>
  <si>
    <t>STHK62</t>
  </si>
  <si>
    <t>STHK69</t>
  </si>
  <si>
    <t>STHK70</t>
  </si>
  <si>
    <t>STHL11</t>
  </si>
  <si>
    <t>STHL27</t>
  </si>
  <si>
    <t>STHL29</t>
  </si>
  <si>
    <t>STHL35</t>
  </si>
  <si>
    <t>STHL42</t>
  </si>
  <si>
    <t>STHL46</t>
  </si>
  <si>
    <t>STHL51</t>
  </si>
  <si>
    <t>STHL95</t>
  </si>
  <si>
    <t>STHP12</t>
  </si>
  <si>
    <t>STHP52</t>
  </si>
  <si>
    <t>STHP97</t>
  </si>
  <si>
    <t>STHR18</t>
  </si>
  <si>
    <t>STHR23</t>
  </si>
  <si>
    <t>STHR36</t>
  </si>
  <si>
    <t>STHR46</t>
  </si>
  <si>
    <t>STHR60</t>
  </si>
  <si>
    <t>STHR72</t>
  </si>
  <si>
    <t>STHR80</t>
  </si>
  <si>
    <t>LDJW34</t>
  </si>
  <si>
    <t>LDJW35</t>
  </si>
  <si>
    <t>LDJW36</t>
  </si>
  <si>
    <t>LDJW37</t>
  </si>
  <si>
    <t>LDJW38</t>
  </si>
  <si>
    <t>LDJW39</t>
  </si>
  <si>
    <t>LDJW40</t>
  </si>
  <si>
    <t>LDJW41</t>
  </si>
  <si>
    <t>LDJW42</t>
  </si>
  <si>
    <t>LDJW43</t>
  </si>
  <si>
    <t>LDJW44</t>
  </si>
  <si>
    <t>LDJW45</t>
  </si>
  <si>
    <t>LDJW46</t>
  </si>
  <si>
    <t>LDJW47</t>
  </si>
  <si>
    <t>LJDL48</t>
  </si>
  <si>
    <t>LDJP67</t>
  </si>
  <si>
    <t>LDJP70</t>
  </si>
  <si>
    <t>LDJP71</t>
  </si>
  <si>
    <t>LDJP72</t>
  </si>
  <si>
    <t>LDJV44</t>
  </si>
  <si>
    <t>LDJV45</t>
  </si>
  <si>
    <t>TXZH25</t>
  </si>
  <si>
    <t>TXZH26</t>
  </si>
  <si>
    <t>TXZH28</t>
  </si>
  <si>
    <t>TXZH30</t>
  </si>
  <si>
    <t>TXZH31</t>
  </si>
  <si>
    <t>TXZH32</t>
  </si>
  <si>
    <t>LDJW49</t>
  </si>
  <si>
    <t>HYFL60</t>
  </si>
  <si>
    <t>HVFH32</t>
  </si>
  <si>
    <t>HVFH33</t>
  </si>
  <si>
    <t>FLXP66</t>
  </si>
  <si>
    <t>FS</t>
  </si>
  <si>
    <t>FLXP67</t>
  </si>
  <si>
    <t>FLXP68</t>
  </si>
  <si>
    <t>FLXP69</t>
  </si>
  <si>
    <t>FLXP70</t>
  </si>
  <si>
    <t>FLXP71</t>
  </si>
  <si>
    <t>FLXP72</t>
  </si>
  <si>
    <t>FLXP73</t>
  </si>
  <si>
    <t>FLXP75</t>
  </si>
  <si>
    <t>FLXP76</t>
  </si>
  <si>
    <t>FLXP77</t>
  </si>
  <si>
    <t>FLXP78</t>
  </si>
  <si>
    <t>FLXP79</t>
  </si>
  <si>
    <t>FLXP80</t>
  </si>
  <si>
    <t>FLXP81</t>
  </si>
  <si>
    <t>FLXP82</t>
  </si>
  <si>
    <t>US2</t>
  </si>
  <si>
    <t>SHCX61</t>
  </si>
  <si>
    <t>A. LUCO</t>
  </si>
  <si>
    <t>Segundo Burgos</t>
  </si>
  <si>
    <t>SHCX44</t>
  </si>
  <si>
    <t>SHCY41</t>
  </si>
  <si>
    <t>SHCY56</t>
  </si>
  <si>
    <t>SHXF37</t>
  </si>
  <si>
    <t>TPWW72</t>
  </si>
  <si>
    <t>FLXR78</t>
  </si>
  <si>
    <t>FLXR79</t>
  </si>
  <si>
    <t>FLXR80</t>
  </si>
  <si>
    <t>FLXR81</t>
  </si>
  <si>
    <t>FLXR82</t>
  </si>
  <si>
    <t>FLXR83</t>
  </si>
  <si>
    <t>FLXR85</t>
  </si>
  <si>
    <t>FLXR86</t>
  </si>
  <si>
    <t>SHCX41</t>
  </si>
  <si>
    <t>FLXR87</t>
  </si>
  <si>
    <t>SHCW73</t>
  </si>
  <si>
    <t>FLXR89</t>
  </si>
  <si>
    <t>FLXR84</t>
  </si>
  <si>
    <t>FLXR90</t>
  </si>
  <si>
    <t>FLXR88</t>
  </si>
  <si>
    <t>FLXR91</t>
  </si>
  <si>
    <t>FLXR92</t>
  </si>
  <si>
    <t>FLXR93</t>
  </si>
  <si>
    <t>SHCW61</t>
  </si>
  <si>
    <t>SHCW64</t>
  </si>
  <si>
    <t>SHCW71</t>
  </si>
  <si>
    <t>SHCW75</t>
  </si>
  <si>
    <t>SHCW76</t>
  </si>
  <si>
    <t>SHCW77</t>
  </si>
  <si>
    <t>SHCW79</t>
  </si>
  <si>
    <t>SHCX26</t>
  </si>
  <si>
    <t>SHCX27</t>
  </si>
  <si>
    <t>SHCX29</t>
  </si>
  <si>
    <t>SHCX30</t>
  </si>
  <si>
    <t>SHCX34</t>
  </si>
  <si>
    <t>SHCX35</t>
  </si>
  <si>
    <t>SHXD87</t>
  </si>
  <si>
    <t>SHXD90</t>
  </si>
  <si>
    <t>SHXD91</t>
  </si>
  <si>
    <t>SHXD93</t>
  </si>
  <si>
    <t>SHXD94</t>
  </si>
  <si>
    <t>SHXD95</t>
  </si>
  <si>
    <t>SHXF21</t>
  </si>
  <si>
    <t>SHXF42</t>
  </si>
  <si>
    <t>SHXF43</t>
  </si>
  <si>
    <t>SHXF44</t>
  </si>
  <si>
    <t>SHXG18</t>
  </si>
  <si>
    <t>SHXG90</t>
  </si>
  <si>
    <t>SHXG91</t>
  </si>
  <si>
    <t>SHXG94</t>
  </si>
  <si>
    <t>SJPC31</t>
  </si>
  <si>
    <t>SJPC33</t>
  </si>
  <si>
    <t>SJPC34</t>
  </si>
  <si>
    <t>SKPP55</t>
  </si>
  <si>
    <t>SHXD86</t>
  </si>
  <si>
    <t>SHXF20</t>
  </si>
  <si>
    <t>SHXF41</t>
  </si>
  <si>
    <t>SKPH71</t>
  </si>
  <si>
    <t>SHCX31</t>
  </si>
  <si>
    <t>FLXR73</t>
  </si>
  <si>
    <t>FLXR74</t>
  </si>
  <si>
    <t>FLXR75</t>
  </si>
  <si>
    <t>FLXR76</t>
  </si>
  <si>
    <t>FLXR77</t>
  </si>
  <si>
    <t>FLXS32</t>
  </si>
  <si>
    <t>FLXS38</t>
  </si>
  <si>
    <t>FLXS41</t>
  </si>
  <si>
    <t>SHCX60</t>
  </si>
  <si>
    <t>PIE ANDINO</t>
  </si>
  <si>
    <t>Jefe de terminal</t>
  </si>
  <si>
    <t>Patricio Veas</t>
  </si>
  <si>
    <t>SHCY42</t>
  </si>
  <si>
    <t xml:space="preserve">Yorshua </t>
  </si>
  <si>
    <t>SHCY60</t>
  </si>
  <si>
    <t>Miguel Tapia</t>
  </si>
  <si>
    <t>SHXD57</t>
  </si>
  <si>
    <t>Francisco Imio</t>
  </si>
  <si>
    <t>SHXF18</t>
  </si>
  <si>
    <t>SHXF36</t>
  </si>
  <si>
    <t>SHXF39</t>
  </si>
  <si>
    <t>SHXF40</t>
  </si>
  <si>
    <t>Etiquetas de fila</t>
  </si>
  <si>
    <t>SHXG86</t>
  </si>
  <si>
    <t>SHCY61</t>
  </si>
  <si>
    <t>SHCY63</t>
  </si>
  <si>
    <t>SHXD82</t>
  </si>
  <si>
    <t>SHXD84</t>
  </si>
  <si>
    <t>SHXF22</t>
  </si>
  <si>
    <t>SHCY65</t>
  </si>
  <si>
    <t>LBTS75</t>
  </si>
  <si>
    <t>LBTS76</t>
  </si>
  <si>
    <t>LBTS77</t>
  </si>
  <si>
    <t>LBTS78</t>
  </si>
  <si>
    <t>LBTS86</t>
  </si>
  <si>
    <t>LBTS88</t>
  </si>
  <si>
    <t>SHCY48</t>
  </si>
  <si>
    <t>LBTS97</t>
  </si>
  <si>
    <t>LBTS93</t>
  </si>
  <si>
    <t>LBTS98</t>
  </si>
  <si>
    <t>SHXF38</t>
  </si>
  <si>
    <t>LBTS99</t>
  </si>
  <si>
    <t>SPZY72</t>
  </si>
  <si>
    <t>LBTT10</t>
  </si>
  <si>
    <t>LBTT11</t>
  </si>
  <si>
    <t>LBTT12</t>
  </si>
  <si>
    <t>LBTT13</t>
  </si>
  <si>
    <t>LBTT14</t>
  </si>
  <si>
    <t>LBTT19</t>
  </si>
  <si>
    <t>LBTT20</t>
  </si>
  <si>
    <t>LBTT22</t>
  </si>
  <si>
    <t>LBTT25</t>
  </si>
  <si>
    <t>LCPG32</t>
  </si>
  <si>
    <t>LCPG33</t>
  </si>
  <si>
    <t>LCPG41</t>
  </si>
  <si>
    <t>LCPG46</t>
  </si>
  <si>
    <t>LCPG47</t>
  </si>
  <si>
    <t>LCPG48</t>
  </si>
  <si>
    <t>LCPW28</t>
  </si>
  <si>
    <t>LCPW29</t>
  </si>
  <si>
    <t>FLXS33</t>
  </si>
  <si>
    <t>FLXS39</t>
  </si>
  <si>
    <t>FLXS40</t>
  </si>
  <si>
    <t>SHCW69</t>
  </si>
  <si>
    <t>SHCW74</t>
  </si>
  <si>
    <t>SHCW62</t>
  </si>
  <si>
    <t>SHCW63</t>
  </si>
  <si>
    <t>SHCW65</t>
  </si>
  <si>
    <t>SHCW67</t>
  </si>
  <si>
    <t>SHCW68</t>
  </si>
  <si>
    <t>SHCW70</t>
  </si>
  <si>
    <t>SHCW72</t>
  </si>
  <si>
    <t>SHCW78</t>
  </si>
  <si>
    <t>SHCW80</t>
  </si>
  <si>
    <t>SHCW81</t>
  </si>
  <si>
    <t>SHCX28</t>
  </si>
  <si>
    <t>SHCX32</t>
  </si>
  <si>
    <t>SHCX33</t>
  </si>
  <si>
    <t>SHCY15</t>
  </si>
  <si>
    <t>SHXD89</t>
  </si>
  <si>
    <t>SHXD92</t>
  </si>
  <si>
    <t>SHXG92</t>
  </si>
  <si>
    <t>SHXG93</t>
  </si>
  <si>
    <t>SHXG95</t>
  </si>
  <si>
    <t>SJPC39</t>
  </si>
  <si>
    <t>SJPC40</t>
  </si>
  <si>
    <t>SJPC42</t>
  </si>
  <si>
    <t>SJPC43</t>
  </si>
  <si>
    <t>SJPC75</t>
  </si>
  <si>
    <t>SJPD87</t>
  </si>
  <si>
    <t>SJPD98</t>
  </si>
  <si>
    <t>SJPF89</t>
  </si>
  <si>
    <t>SJPF90</t>
  </si>
  <si>
    <t>SHCY19</t>
  </si>
  <si>
    <t>SHXG89</t>
  </si>
  <si>
    <t>SJPD86</t>
  </si>
  <si>
    <t>SPZX47</t>
  </si>
  <si>
    <t>SPZX48</t>
  </si>
  <si>
    <t>SPZX53</t>
  </si>
  <si>
    <t>SPZX57</t>
  </si>
  <si>
    <t>SPZX62</t>
  </si>
  <si>
    <t>SPZX63</t>
  </si>
  <si>
    <t>SPZX64</t>
  </si>
  <si>
    <t>SPZX65</t>
  </si>
  <si>
    <t>SPZX66</t>
  </si>
  <si>
    <t>SPZX67</t>
  </si>
  <si>
    <t>SPZX68</t>
  </si>
  <si>
    <t>SPZX69</t>
  </si>
  <si>
    <t>SPZX72</t>
  </si>
  <si>
    <t>SPZX75</t>
  </si>
  <si>
    <t>SPZX76</t>
  </si>
  <si>
    <t>SPZX77</t>
  </si>
  <si>
    <t>SPZX78</t>
  </si>
  <si>
    <t>SPZX79</t>
  </si>
  <si>
    <t>SPZX80</t>
  </si>
  <si>
    <t>SPZX81</t>
  </si>
  <si>
    <t>SPZX82</t>
  </si>
  <si>
    <t>SPZX83</t>
  </si>
  <si>
    <t>SPZX84</t>
  </si>
  <si>
    <t>SPZX85</t>
  </si>
  <si>
    <t>SPZX93</t>
  </si>
  <si>
    <t>SPZX95</t>
  </si>
  <si>
    <t>SPZX96</t>
  </si>
  <si>
    <t>SPZY13</t>
  </si>
  <si>
    <t>SPZY15</t>
  </si>
  <si>
    <t>SPZY16</t>
  </si>
  <si>
    <t>SPZY18</t>
  </si>
  <si>
    <t>SPZY23</t>
  </si>
  <si>
    <t>SPZY27</t>
  </si>
  <si>
    <t>SPZY31</t>
  </si>
  <si>
    <t>SPZY37</t>
  </si>
  <si>
    <t>SPZY42</t>
  </si>
  <si>
    <t>SPZY43</t>
  </si>
  <si>
    <t>SPZY44</t>
  </si>
  <si>
    <t>SPZY45</t>
  </si>
  <si>
    <t>SPZY48</t>
  </si>
  <si>
    <t>SPZY49</t>
  </si>
  <si>
    <t>SPZY50</t>
  </si>
  <si>
    <t>SPZY51</t>
  </si>
  <si>
    <t>SPZY53</t>
  </si>
  <si>
    <t>SPZY54</t>
  </si>
  <si>
    <t>SPZY55</t>
  </si>
  <si>
    <t>SPZY56</t>
  </si>
  <si>
    <t>SPZY57</t>
  </si>
  <si>
    <t>SPZY58</t>
  </si>
  <si>
    <t>SPZY60</t>
  </si>
  <si>
    <t>SPZY61</t>
  </si>
  <si>
    <t>SPZY64</t>
  </si>
  <si>
    <t>SPZY65</t>
  </si>
  <si>
    <t>SPZY66</t>
  </si>
  <si>
    <t>SPZY67</t>
  </si>
  <si>
    <t>SPZY69</t>
  </si>
  <si>
    <t>SPZY70</t>
  </si>
  <si>
    <t>SPZY71</t>
  </si>
  <si>
    <t>SPZY75</t>
  </si>
  <si>
    <t>SPZY78</t>
  </si>
  <si>
    <t>SPZY79</t>
  </si>
  <si>
    <t>SPZY81</t>
  </si>
  <si>
    <t>SPZY85</t>
  </si>
  <si>
    <t>SPZY86</t>
  </si>
  <si>
    <t>SPZY87</t>
  </si>
  <si>
    <t>SRVH33</t>
  </si>
  <si>
    <t>SRVH40</t>
  </si>
  <si>
    <t>SRVJ17</t>
  </si>
  <si>
    <t>SRVJ25</t>
  </si>
  <si>
    <t>SRVJ48</t>
  </si>
  <si>
    <t>SRVJ72</t>
  </si>
  <si>
    <t>SRVK25</t>
  </si>
  <si>
    <t>SRVK73</t>
  </si>
  <si>
    <t>SRVK82</t>
  </si>
  <si>
    <t>SRVL13</t>
  </si>
  <si>
    <t>SRVL29</t>
  </si>
  <si>
    <t>SRVL59</t>
  </si>
  <si>
    <t>SRVL70</t>
  </si>
  <si>
    <t>SRVL81</t>
  </si>
  <si>
    <t>TFYL48</t>
  </si>
  <si>
    <t>TXZH46</t>
  </si>
  <si>
    <t>TXZH47</t>
  </si>
  <si>
    <t>TXZH48</t>
  </si>
  <si>
    <t>LBTS79</t>
  </si>
  <si>
    <t>LBTS81</t>
  </si>
  <si>
    <t>LBTS91</t>
  </si>
  <si>
    <t>LBTT16</t>
  </si>
  <si>
    <t>LBTT18</t>
  </si>
  <si>
    <t>LCPG34</t>
  </si>
  <si>
    <t>LCPG43</t>
  </si>
  <si>
    <t>LCPG44</t>
  </si>
  <si>
    <t>LCPG45</t>
  </si>
  <si>
    <t>LCPG49</t>
  </si>
  <si>
    <t>LBTS80</t>
  </si>
  <si>
    <t>JUANITA</t>
  </si>
  <si>
    <t>Esteban Barra</t>
  </si>
  <si>
    <t>LBTS82</t>
  </si>
  <si>
    <t>Sebastián Icarte</t>
  </si>
  <si>
    <t>LBTS83</t>
  </si>
  <si>
    <t>Carlos Oyarce</t>
  </si>
  <si>
    <t>LBTS85</t>
  </si>
  <si>
    <t>Victor Carvajal</t>
  </si>
  <si>
    <t>LBTS87</t>
  </si>
  <si>
    <t>LBTS89</t>
  </si>
  <si>
    <t>LBTS90</t>
  </si>
  <si>
    <t>LBTS92</t>
  </si>
  <si>
    <t>LBTS94</t>
  </si>
  <si>
    <t>LBTS95</t>
  </si>
  <si>
    <t>LBTS96</t>
  </si>
  <si>
    <t>LBTT15</t>
  </si>
  <si>
    <t>YUTONG</t>
  </si>
  <si>
    <t>LBTT17</t>
  </si>
  <si>
    <t>LBTT21</t>
  </si>
  <si>
    <t>LBTT23</t>
  </si>
  <si>
    <t>LBTT24</t>
  </si>
  <si>
    <t>LCPG31</t>
  </si>
  <si>
    <t>LCPG36</t>
  </si>
  <si>
    <t>LCPG37</t>
  </si>
  <si>
    <t>LCPG38</t>
  </si>
  <si>
    <t>LCPG39</t>
  </si>
  <si>
    <t>LCPG40</t>
  </si>
  <si>
    <t>LCPG42</t>
  </si>
  <si>
    <t>LCPG50</t>
  </si>
  <si>
    <t>LCPG51</t>
  </si>
  <si>
    <t>LCPG52</t>
  </si>
  <si>
    <t>LCTG23</t>
  </si>
  <si>
    <t>LCTG24</t>
  </si>
  <si>
    <t>LCTG25</t>
  </si>
  <si>
    <t>LCTG26</t>
  </si>
  <si>
    <t>LCTG27</t>
  </si>
  <si>
    <t>LCTG28</t>
  </si>
  <si>
    <t>LCTG29</t>
  </si>
  <si>
    <t>LCTG30</t>
  </si>
  <si>
    <t>LCTG31</t>
  </si>
  <si>
    <t>LCTG32</t>
  </si>
  <si>
    <t>LCTG33</t>
  </si>
  <si>
    <t>LCTG34</t>
  </si>
  <si>
    <t>LCTG35</t>
  </si>
  <si>
    <t>LCTG36</t>
  </si>
  <si>
    <t>LCTG37</t>
  </si>
  <si>
    <t>LCTG38</t>
  </si>
  <si>
    <t>LCTG39</t>
  </si>
  <si>
    <t>LCTG40</t>
  </si>
  <si>
    <t>LCTG41</t>
  </si>
  <si>
    <t>LCTG42</t>
  </si>
  <si>
    <t>LCTG43</t>
  </si>
  <si>
    <t>LCTG44</t>
  </si>
  <si>
    <t>LCTG45</t>
  </si>
  <si>
    <t>LCTG46</t>
  </si>
  <si>
    <t>LCTG47</t>
  </si>
  <si>
    <t>SPZX43</t>
  </si>
  <si>
    <t>SPZX52</t>
  </si>
  <si>
    <t>SPZX70</t>
  </si>
  <si>
    <t>SPZY41</t>
  </si>
  <si>
    <t>SPZY68</t>
  </si>
  <si>
    <t>SRVJ10</t>
  </si>
  <si>
    <t>SRVF74</t>
  </si>
  <si>
    <t>SRVF76</t>
  </si>
  <si>
    <t>SRVF79</t>
  </si>
  <si>
    <t>SRVF81</t>
  </si>
  <si>
    <t>SRVF83</t>
  </si>
  <si>
    <t>SRVF84</t>
  </si>
  <si>
    <t>SRVF90</t>
  </si>
  <si>
    <t>SRVF96</t>
  </si>
  <si>
    <t>SRVG10</t>
  </si>
  <si>
    <t>SRVG25</t>
  </si>
  <si>
    <t>SRVG32</t>
  </si>
  <si>
    <t>SRVG44</t>
  </si>
  <si>
    <t>SRVG48</t>
  </si>
  <si>
    <t>SRVG49</t>
  </si>
  <si>
    <t>SRVG53</t>
  </si>
  <si>
    <t>SRVG65</t>
  </si>
  <si>
    <t>SRVG68</t>
  </si>
  <si>
    <t>SRVG70</t>
  </si>
  <si>
    <t>SRVG76</t>
  </si>
  <si>
    <t>SRVG77</t>
  </si>
  <si>
    <t>SRVG81</t>
  </si>
  <si>
    <t>SRVG83</t>
  </si>
  <si>
    <t>SRVG86</t>
  </si>
  <si>
    <t>SRVG88</t>
  </si>
  <si>
    <t>SRVG91</t>
  </si>
  <si>
    <t>SRVG92</t>
  </si>
  <si>
    <t>SRVG94</t>
  </si>
  <si>
    <t>SRVG98</t>
  </si>
  <si>
    <t>SRVH10</t>
  </si>
  <si>
    <t>SRVH11</t>
  </si>
  <si>
    <t>SRVH13</t>
  </si>
  <si>
    <t>SRVH19</t>
  </si>
  <si>
    <t>SRVH22</t>
  </si>
  <si>
    <t>SRVH45</t>
  </si>
  <si>
    <t>SRVH71</t>
  </si>
  <si>
    <t>SRVH73</t>
  </si>
  <si>
    <t>SRVJ34</t>
  </si>
  <si>
    <t>SRVJ39</t>
  </si>
  <si>
    <t>SRVJ43</t>
  </si>
  <si>
    <t>SRVJ55</t>
  </si>
  <si>
    <t>SRVJ64</t>
  </si>
  <si>
    <t>SRVJ78</t>
  </si>
  <si>
    <t>SRVJ82</t>
  </si>
  <si>
    <t>SRVJ90</t>
  </si>
  <si>
    <t>SRVK11</t>
  </si>
  <si>
    <t>SRVK42</t>
  </si>
  <si>
    <t>SRVK61</t>
  </si>
  <si>
    <t>SRVK90</t>
  </si>
  <si>
    <t>SRVK97</t>
  </si>
  <si>
    <t>SRVL11</t>
  </si>
  <si>
    <t>SRVL15</t>
  </si>
  <si>
    <t>SRVL21</t>
  </si>
  <si>
    <t>SRVL24</t>
  </si>
  <si>
    <t>SRVL25</t>
  </si>
  <si>
    <t>SRVL35</t>
  </si>
  <si>
    <t>SRVL40</t>
  </si>
  <si>
    <t>SRVL45</t>
  </si>
  <si>
    <t>SRVL72</t>
  </si>
  <si>
    <t>SRVL75</t>
  </si>
  <si>
    <t>SRVL78</t>
  </si>
  <si>
    <t>STHC57</t>
  </si>
  <si>
    <t>STHC95</t>
  </si>
  <si>
    <t>STHD12</t>
  </si>
  <si>
    <t>STHD50</t>
  </si>
  <si>
    <t>STHD26</t>
  </si>
  <si>
    <t>STHF36</t>
  </si>
  <si>
    <t>STHF56</t>
  </si>
  <si>
    <t>STHF57</t>
  </si>
  <si>
    <t>STHF67</t>
  </si>
  <si>
    <t>STHF69</t>
  </si>
  <si>
    <t>TXZH40</t>
  </si>
  <si>
    <t>TXZH41</t>
  </si>
  <si>
    <t>TXZH42</t>
  </si>
  <si>
    <t>TXZH43</t>
  </si>
  <si>
    <t>TXZH44</t>
  </si>
  <si>
    <t>TXZH45</t>
  </si>
  <si>
    <t>SPZX59</t>
  </si>
  <si>
    <t>SPZX71</t>
  </si>
  <si>
    <t>SPZX73</t>
  </si>
  <si>
    <t>SPZX74</t>
  </si>
  <si>
    <t>SPZX98</t>
  </si>
  <si>
    <t>SPZY24</t>
  </si>
  <si>
    <t>SPZY25</t>
  </si>
  <si>
    <t>SPZY28</t>
  </si>
  <si>
    <t>SPZY59</t>
  </si>
  <si>
    <t>SPZY63</t>
  </si>
  <si>
    <t>TERMINAL APOYO</t>
  </si>
  <si>
    <t>Observaciones</t>
  </si>
  <si>
    <t>ACTUALIZACIÓN</t>
  </si>
  <si>
    <t>Bus FS / eliminado del consolidado</t>
  </si>
  <si>
    <t>BUS PRÉSTAMO DE PIE ANDINO</t>
  </si>
  <si>
    <t>ORIGEN</t>
  </si>
  <si>
    <t>FLXS60</t>
  </si>
  <si>
    <t>FAUX</t>
  </si>
  <si>
    <t>PROVISIÓN</t>
  </si>
  <si>
    <t>FLXS62</t>
  </si>
  <si>
    <t>Cuenta de INTERNO</t>
  </si>
  <si>
    <t>Cuenta de TERMINAL OP</t>
  </si>
  <si>
    <t>Etiquetas de columna</t>
  </si>
  <si>
    <t>Cuenta de PLACA</t>
  </si>
  <si>
    <t>ALCON</t>
  </si>
  <si>
    <t>ALRET</t>
  </si>
  <si>
    <t>ALSMT</t>
  </si>
  <si>
    <t>OMJJA</t>
  </si>
  <si>
    <t>OMJNT</t>
  </si>
  <si>
    <t>OMPAN</t>
  </si>
  <si>
    <t>Cuenta de ORIGEN</t>
  </si>
  <si>
    <t>ALFA</t>
  </si>
  <si>
    <t>OMEGA</t>
  </si>
  <si>
    <t>El Retiro</t>
  </si>
  <si>
    <t>Cantidad</t>
  </si>
  <si>
    <t>Sta Margarita</t>
  </si>
  <si>
    <t>A Luco</t>
  </si>
  <si>
    <t>Pie Andino</t>
  </si>
  <si>
    <t>Coca-Cola</t>
  </si>
  <si>
    <t>Condell</t>
  </si>
  <si>
    <t>Sta Marta</t>
  </si>
  <si>
    <t>Juanita</t>
  </si>
  <si>
    <t>BE-FOTON</t>
  </si>
  <si>
    <t>A2-VOLVO</t>
  </si>
  <si>
    <t>B2-VOLVO</t>
  </si>
  <si>
    <t>C2-VOLVO</t>
  </si>
  <si>
    <t>B2-MERCEDES BENZ</t>
  </si>
  <si>
    <t>BPAL-MERCEDES BENZ</t>
  </si>
  <si>
    <t>C2-MERCEDES BENZ</t>
  </si>
  <si>
    <t>B2-SCANIA</t>
  </si>
  <si>
    <t>BPAL-SCANIA</t>
  </si>
  <si>
    <t>BE-YUTONG</t>
  </si>
  <si>
    <t>Empresa</t>
  </si>
  <si>
    <t>Terminal</t>
  </si>
  <si>
    <t>Foton</t>
  </si>
  <si>
    <t>Volvo</t>
  </si>
  <si>
    <t>Mercedes Benz</t>
  </si>
  <si>
    <t>Scania</t>
  </si>
  <si>
    <t>Yutong</t>
  </si>
  <si>
    <t>Total</t>
  </si>
  <si>
    <t xml:space="preserve">PPU </t>
  </si>
  <si>
    <t>Modelo</t>
  </si>
  <si>
    <t>Motivo</t>
  </si>
  <si>
    <t>Observación</t>
  </si>
  <si>
    <t>Santa Marta</t>
  </si>
  <si>
    <t>MB - BPAL</t>
  </si>
  <si>
    <t>Sistema de Motor</t>
  </si>
  <si>
    <t>MOTOR  MALO</t>
  </si>
  <si>
    <t>Alfa</t>
  </si>
  <si>
    <t>LFGJ96</t>
  </si>
  <si>
    <t>MB - C2</t>
  </si>
  <si>
    <t>Quemado</t>
  </si>
  <si>
    <t>No Entregado</t>
  </si>
  <si>
    <t>Aguirre Luco</t>
  </si>
  <si>
    <t>Volvo - B2</t>
  </si>
  <si>
    <t>SINIESTRO</t>
  </si>
  <si>
    <t>Bus Quemado</t>
  </si>
  <si>
    <t>Santa Margarita</t>
  </si>
  <si>
    <t>Volvo - A2</t>
  </si>
  <si>
    <t>Omega</t>
  </si>
  <si>
    <t>LCPG35</t>
  </si>
  <si>
    <t>MB - B2</t>
  </si>
  <si>
    <t>MOTOR</t>
  </si>
  <si>
    <t>Para envia</t>
  </si>
  <si>
    <t>STA MARGARITA</t>
  </si>
  <si>
    <t>SANTA MARTA</t>
  </si>
  <si>
    <t>PATENTE</t>
  </si>
  <si>
    <t>TIPO DE BUS</t>
  </si>
  <si>
    <t>MARCA</t>
  </si>
  <si>
    <t>TERMINAL</t>
  </si>
  <si>
    <t>Where is it?</t>
  </si>
  <si>
    <t>B2D</t>
  </si>
  <si>
    <t>Mercedes</t>
  </si>
  <si>
    <t>Reemplazo al LBTT19</t>
  </si>
  <si>
    <t>STP (SINIESTRADO)</t>
  </si>
  <si>
    <t>BUS DE REEMPLAZO</t>
  </si>
  <si>
    <t>Cuenta de TIPO BUS</t>
  </si>
  <si>
    <t>Estado</t>
  </si>
  <si>
    <t>TERMINAL Actual</t>
  </si>
  <si>
    <t>Terminal Destino</t>
  </si>
  <si>
    <t>Movimiento</t>
  </si>
  <si>
    <t>Servicio</t>
  </si>
  <si>
    <t>terminal alicia</t>
  </si>
  <si>
    <t>OP</t>
  </si>
  <si>
    <t>ok</t>
  </si>
  <si>
    <t>Distribución de los nuevos foton</t>
  </si>
  <si>
    <t>Agregar 6 a sta marta y mandar 6 scania a el retiro</t>
  </si>
  <si>
    <t>Movimientos</t>
  </si>
  <si>
    <t>B2 -Mercedes Benz</t>
  </si>
  <si>
    <t>B2 - Scania</t>
  </si>
  <si>
    <t xml:space="preserve">MARCA </t>
  </si>
  <si>
    <t>TERMINA</t>
  </si>
  <si>
    <t>Codigo Bus</t>
  </si>
  <si>
    <t>Patente Bus</t>
  </si>
  <si>
    <t xml:space="preserve">Servicio </t>
  </si>
  <si>
    <t>Km Comerciales Recorridos</t>
  </si>
  <si>
    <t>KM Total Recorrido del Periodo</t>
  </si>
  <si>
    <t>SERVICIO</t>
  </si>
  <si>
    <t>CÓDIGO TS</t>
  </si>
  <si>
    <t>SIN MOV (hasta que sea reparado)</t>
  </si>
  <si>
    <t>CO-1B2081</t>
  </si>
  <si>
    <t>T801</t>
  </si>
  <si>
    <t>B03</t>
  </si>
  <si>
    <t>T803</t>
  </si>
  <si>
    <t>CO-1B2082</t>
  </si>
  <si>
    <t>B30N</t>
  </si>
  <si>
    <t>T830E3</t>
  </si>
  <si>
    <t>CO-1B2083</t>
  </si>
  <si>
    <t>B09</t>
  </si>
  <si>
    <t>T809</t>
  </si>
  <si>
    <t>CO-1B2091</t>
  </si>
  <si>
    <t>T805</t>
  </si>
  <si>
    <t>ER-1A1001</t>
  </si>
  <si>
    <t>CO-1A1029</t>
  </si>
  <si>
    <t>105c</t>
  </si>
  <si>
    <t>T805C</t>
  </si>
  <si>
    <t>CO-1A1023</t>
  </si>
  <si>
    <t>B17</t>
  </si>
  <si>
    <t>T817</t>
  </si>
  <si>
    <t>CO-1A1022</t>
  </si>
  <si>
    <t>T812</t>
  </si>
  <si>
    <t>CO-1A1018</t>
  </si>
  <si>
    <t>T841</t>
  </si>
  <si>
    <t>CO-1E3001</t>
  </si>
  <si>
    <t>410e</t>
  </si>
  <si>
    <t>T841E</t>
  </si>
  <si>
    <t>CO-1E3005</t>
  </si>
  <si>
    <t>410 inyección</t>
  </si>
  <si>
    <t>T841C2</t>
  </si>
  <si>
    <t>CO-1E3010</t>
  </si>
  <si>
    <t>B20</t>
  </si>
  <si>
    <t>T820</t>
  </si>
  <si>
    <t>CO-1E3012</t>
  </si>
  <si>
    <t>B29</t>
  </si>
  <si>
    <t>T829</t>
  </si>
  <si>
    <t>CO-1E3014</t>
  </si>
  <si>
    <t>B01</t>
  </si>
  <si>
    <t>CO-1E3016</t>
  </si>
  <si>
    <t xml:space="preserve"> </t>
  </si>
  <si>
    <t>B24</t>
  </si>
  <si>
    <t>T824</t>
  </si>
  <si>
    <t>CO-1E3020</t>
  </si>
  <si>
    <t>B28</t>
  </si>
  <si>
    <t>T828</t>
  </si>
  <si>
    <t>CO-1E3022</t>
  </si>
  <si>
    <t>SIN MOV (hasta que sea reparado 2112)</t>
  </si>
  <si>
    <t>CO-1E3026</t>
  </si>
  <si>
    <t>AGUIRRE LUCO</t>
  </si>
  <si>
    <t>B02</t>
  </si>
  <si>
    <t>T902</t>
  </si>
  <si>
    <t>CO-1E3030</t>
  </si>
  <si>
    <t>B02N</t>
  </si>
  <si>
    <t>T902E3</t>
  </si>
  <si>
    <t>NO  ok</t>
  </si>
  <si>
    <t>STM-1B3046</t>
  </si>
  <si>
    <t>B04</t>
  </si>
  <si>
    <t>T904</t>
  </si>
  <si>
    <t>STM-1B3047</t>
  </si>
  <si>
    <t>C18</t>
  </si>
  <si>
    <t>T918</t>
  </si>
  <si>
    <t>STM-1E3072</t>
  </si>
  <si>
    <t>B19</t>
  </si>
  <si>
    <t>T919</t>
  </si>
  <si>
    <t>STM-1E3074</t>
  </si>
  <si>
    <t>T962</t>
  </si>
  <si>
    <t>STM-1E3077</t>
  </si>
  <si>
    <t>T967</t>
  </si>
  <si>
    <t>STM-1E3081</t>
  </si>
  <si>
    <t>F02</t>
  </si>
  <si>
    <t>T922</t>
  </si>
  <si>
    <t>F03c</t>
  </si>
  <si>
    <t>T923C</t>
  </si>
  <si>
    <t>CL</t>
  </si>
  <si>
    <t>CO-1B2084</t>
  </si>
  <si>
    <t>F05</t>
  </si>
  <si>
    <t>T925</t>
  </si>
  <si>
    <t>CO-1B2086</t>
  </si>
  <si>
    <t>F06</t>
  </si>
  <si>
    <t>T926</t>
  </si>
  <si>
    <t>CO-1B2090</t>
  </si>
  <si>
    <t>F09</t>
  </si>
  <si>
    <t>T929</t>
  </si>
  <si>
    <t>F20</t>
  </si>
  <si>
    <t>T940</t>
  </si>
  <si>
    <t>CO-1B2096</t>
  </si>
  <si>
    <t>213e</t>
  </si>
  <si>
    <t>T963E</t>
  </si>
  <si>
    <t>T964</t>
  </si>
  <si>
    <t>F10c</t>
  </si>
  <si>
    <t>T930C</t>
  </si>
  <si>
    <t>CO-1A1020</t>
  </si>
  <si>
    <t>F12c</t>
  </si>
  <si>
    <t>T932C</t>
  </si>
  <si>
    <t>F15</t>
  </si>
  <si>
    <t>T935</t>
  </si>
  <si>
    <t>CO-1E3006</t>
  </si>
  <si>
    <t>F18</t>
  </si>
  <si>
    <t>T938</t>
  </si>
  <si>
    <t>F25</t>
  </si>
  <si>
    <t>T945</t>
  </si>
  <si>
    <t>CO-1E3015</t>
  </si>
  <si>
    <t>F25e</t>
  </si>
  <si>
    <t>T945E</t>
  </si>
  <si>
    <t>CO-1E3018</t>
  </si>
  <si>
    <t>F30N</t>
  </si>
  <si>
    <t>T950E3</t>
  </si>
  <si>
    <t>B36</t>
  </si>
  <si>
    <t>T836</t>
  </si>
  <si>
    <t>CO-1E3025</t>
  </si>
  <si>
    <t>B08</t>
  </si>
  <si>
    <t>T808</t>
  </si>
  <si>
    <t>B25</t>
  </si>
  <si>
    <t>T825</t>
  </si>
  <si>
    <t>CO-1E3027</t>
  </si>
  <si>
    <t>T822</t>
  </si>
  <si>
    <t>CO-1E3032</t>
  </si>
  <si>
    <t>B26</t>
  </si>
  <si>
    <t>T826</t>
  </si>
  <si>
    <t>CO-1E3036</t>
  </si>
  <si>
    <t>B10</t>
  </si>
  <si>
    <t>T810</t>
  </si>
  <si>
    <t>CO-1E3040</t>
  </si>
  <si>
    <t>B16</t>
  </si>
  <si>
    <t>T816</t>
  </si>
  <si>
    <t>STM-1B3045</t>
  </si>
  <si>
    <t>B07</t>
  </si>
  <si>
    <t>T807</t>
  </si>
  <si>
    <t>B13</t>
  </si>
  <si>
    <t>T813</t>
  </si>
  <si>
    <t>STM-1E3066</t>
  </si>
  <si>
    <t>B18</t>
  </si>
  <si>
    <t>T818</t>
  </si>
  <si>
    <t>STM-1E3067</t>
  </si>
  <si>
    <t>B18E</t>
  </si>
  <si>
    <t>T818E</t>
  </si>
  <si>
    <t>STM-1E3068</t>
  </si>
  <si>
    <t>B32</t>
  </si>
  <si>
    <t>T832</t>
  </si>
  <si>
    <t>STM-1E3069</t>
  </si>
  <si>
    <t>STM-1E3071</t>
  </si>
  <si>
    <t>STM-1E3075</t>
  </si>
  <si>
    <t>STM-1E3076</t>
  </si>
  <si>
    <t>STM-1E3079</t>
  </si>
  <si>
    <t>ER-1B2043</t>
  </si>
  <si>
    <t>ER-1B2045</t>
  </si>
  <si>
    <t>ER-1B2047</t>
  </si>
  <si>
    <t>ER-1B2048</t>
  </si>
  <si>
    <t>ER-1B2049</t>
  </si>
  <si>
    <t>ER-1B2050</t>
  </si>
  <si>
    <t>ER-1B2051</t>
  </si>
  <si>
    <t>ER-1B2052</t>
  </si>
  <si>
    <t>ER-1B2054</t>
  </si>
  <si>
    <t>ER-1B2058</t>
  </si>
  <si>
    <t>SM-1B2059</t>
  </si>
  <si>
    <t>SM-1B2064</t>
  </si>
  <si>
    <t>SM-1B2069</t>
  </si>
  <si>
    <t>ER-1B2071</t>
  </si>
  <si>
    <t>SM-1B2073</t>
  </si>
  <si>
    <t>SM-1B2075</t>
  </si>
  <si>
    <t>SM-1B2079</t>
  </si>
  <si>
    <t>ER-1C4033</t>
  </si>
  <si>
    <t>SM-1C4048</t>
  </si>
  <si>
    <t>ER-1C4058</t>
  </si>
  <si>
    <t>ER-1C4059</t>
  </si>
  <si>
    <t>ER-1C4063</t>
  </si>
  <si>
    <t>CO-1E3007</t>
  </si>
  <si>
    <t>CO-1E3019</t>
  </si>
  <si>
    <t>CO-1E3024</t>
  </si>
  <si>
    <t>CO-1E3029</t>
  </si>
  <si>
    <t>CO-1E3033</t>
  </si>
  <si>
    <t>CO-1E3034</t>
  </si>
  <si>
    <t>CO-1E3035</t>
  </si>
  <si>
    <t>CO-1E3039</t>
  </si>
  <si>
    <t>CO-1E3041</t>
  </si>
  <si>
    <t>STM-1B3042</t>
  </si>
  <si>
    <t>STM-1B3048</t>
  </si>
  <si>
    <t>STM-1B3051</t>
  </si>
  <si>
    <t>STM-1E3059</t>
  </si>
  <si>
    <t>STM-1E3070</t>
  </si>
  <si>
    <t>SM-1B2044</t>
  </si>
  <si>
    <t>ER-1B2056</t>
  </si>
  <si>
    <t>SM-1B2077</t>
  </si>
  <si>
    <t>ER-1A1008</t>
  </si>
  <si>
    <t>ER-1C4029</t>
  </si>
  <si>
    <t>SM-1C4052</t>
  </si>
  <si>
    <t>SM-1C4054</t>
  </si>
  <si>
    <t>CO-1E3002</t>
  </si>
  <si>
    <t>CO-1E3028</t>
  </si>
  <si>
    <t>CO-1E3031</t>
  </si>
  <si>
    <t>CO-1E3037</t>
  </si>
  <si>
    <t>STM-1B3050</t>
  </si>
  <si>
    <t>STM-1E3065</t>
  </si>
  <si>
    <t>ER-1B2053</t>
  </si>
  <si>
    <t>ER-1C4025</t>
  </si>
  <si>
    <t>ER-1C4026</t>
  </si>
  <si>
    <t>ER-1C4028</t>
  </si>
  <si>
    <t>ER-1C4032</t>
  </si>
  <si>
    <t>ER-1C4034</t>
  </si>
  <si>
    <t>ER-1C4035</t>
  </si>
  <si>
    <t>ER-1C4036</t>
  </si>
  <si>
    <t>ER-1C4037</t>
  </si>
  <si>
    <t>ER-1C4038</t>
  </si>
  <si>
    <t>SM-1C4040</t>
  </si>
  <si>
    <t>ER-1C4043</t>
  </si>
  <si>
    <t>ER-1C4045</t>
  </si>
  <si>
    <t>SM-1C4046</t>
  </si>
  <si>
    <t>SM-1C4047</t>
  </si>
  <si>
    <t>SM-1C4049</t>
  </si>
  <si>
    <t>SM-1C4050</t>
  </si>
  <si>
    <t>SM-1C4053</t>
  </si>
  <si>
    <t>SM-1C4057</t>
  </si>
  <si>
    <t>SM-1C4060</t>
  </si>
  <si>
    <t>SM-1C4061</t>
  </si>
  <si>
    <t>ER-1C4064</t>
  </si>
  <si>
    <t>SM-1C4065</t>
  </si>
  <si>
    <t>CO-1A4069</t>
  </si>
  <si>
    <t>SM-1B2066</t>
  </si>
  <si>
    <t>SM-1B2076</t>
  </si>
  <si>
    <t>SM-1B2078</t>
  </si>
  <si>
    <t>ER-1C4027</t>
  </si>
  <si>
    <t>ER-1C4044</t>
  </si>
  <si>
    <t>SM-1C4062</t>
  </si>
  <si>
    <t>T805c</t>
  </si>
  <si>
    <t>SM-1B2074</t>
  </si>
  <si>
    <t>FS-1B2029</t>
  </si>
  <si>
    <t>FS-1B2040</t>
  </si>
  <si>
    <t>FLXS-61</t>
  </si>
  <si>
    <t>CO-1B2101</t>
  </si>
  <si>
    <t>CO-1B2103</t>
  </si>
  <si>
    <t>ER-1B2063</t>
  </si>
  <si>
    <t>STM-1E3057</t>
  </si>
  <si>
    <t>STM-1E3061</t>
  </si>
  <si>
    <t>STM-1E3098</t>
  </si>
  <si>
    <t>STM-1E3112</t>
  </si>
  <si>
    <t>STM-1E3113</t>
  </si>
  <si>
    <t>STM-1E3115</t>
  </si>
  <si>
    <t>STM-1E3120</t>
  </si>
  <si>
    <t>STM-1E3125</t>
  </si>
  <si>
    <t>FS-1B2028</t>
  </si>
  <si>
    <t>FS-1B2032</t>
  </si>
  <si>
    <t>STM-1B2023</t>
  </si>
  <si>
    <t>STM-1B2007</t>
  </si>
  <si>
    <t>STM-1B2011</t>
  </si>
  <si>
    <t>STM-1B2012</t>
  </si>
  <si>
    <t>CO-1B2105</t>
  </si>
  <si>
    <t>SM-1B2113</t>
  </si>
  <si>
    <t>SM-1B2067</t>
  </si>
  <si>
    <t>STM-1E3064</t>
  </si>
  <si>
    <t>STM-1E3078</t>
  </si>
  <si>
    <t>STM-1E3083</t>
  </si>
  <si>
    <t>STM-1E3095</t>
  </si>
  <si>
    <t>STM-1E3105</t>
  </si>
  <si>
    <t>STM-1E3107</t>
  </si>
  <si>
    <t>STM-1E3108</t>
  </si>
  <si>
    <t>STM-1E3117</t>
  </si>
  <si>
    <t>STM-1E3119</t>
  </si>
  <si>
    <t>CO-1B2097</t>
  </si>
  <si>
    <t>STM-1A1024</t>
  </si>
  <si>
    <t>STM-1A1026</t>
  </si>
  <si>
    <t>STM-1A1016</t>
  </si>
  <si>
    <t>STM-1A1017</t>
  </si>
  <si>
    <t>STM-1A1006</t>
  </si>
  <si>
    <t>STM-1A1014</t>
  </si>
  <si>
    <t>STM-1A1032</t>
  </si>
  <si>
    <t>STM-1A1027</t>
  </si>
  <si>
    <t>STM-1A1025</t>
  </si>
  <si>
    <t>STM-1A1031</t>
  </si>
  <si>
    <t>STM-1A1034</t>
  </si>
  <si>
    <t>STM-1A1030</t>
  </si>
  <si>
    <t>STM-1A1033</t>
  </si>
  <si>
    <t>STM-1A1036</t>
  </si>
  <si>
    <t>STM-1E3052</t>
  </si>
  <si>
    <t>STM-1E3053</t>
  </si>
  <si>
    <t>STM-1E3084</t>
  </si>
  <si>
    <t>STM-1E3086</t>
  </si>
  <si>
    <t>STM-1E3094</t>
  </si>
  <si>
    <t>STM-1E3122</t>
  </si>
  <si>
    <t>STM-1B2025</t>
  </si>
  <si>
    <t>STM-1B2003</t>
  </si>
  <si>
    <t>STM-1A1035</t>
  </si>
  <si>
    <t>STM-1E3082</t>
  </si>
  <si>
    <t>STM-1E3099</t>
  </si>
  <si>
    <t>STM-1E3101</t>
  </si>
  <si>
    <t>STM-1E3102</t>
  </si>
  <si>
    <t>STM-1E3123</t>
  </si>
  <si>
    <t>STM-1E3126</t>
  </si>
  <si>
    <t>ER-1A1002</t>
  </si>
  <si>
    <t>ER-1A1004</t>
  </si>
  <si>
    <t>ER-1A1005</t>
  </si>
  <si>
    <t>ER-1A1010</t>
  </si>
  <si>
    <t>ER-1A1011</t>
  </si>
  <si>
    <t>ER-1A1013</t>
  </si>
  <si>
    <t>ER-1A1015</t>
  </si>
  <si>
    <t>SM-1B2068</t>
  </si>
  <si>
    <t>STM-1E3056</t>
  </si>
  <si>
    <t>STM-1E3092</t>
  </si>
  <si>
    <t>STM-1E3093</t>
  </si>
  <si>
    <t>STM-1E3096</t>
  </si>
  <si>
    <t>STM-1E3097</t>
  </si>
  <si>
    <t>STM-1E3104</t>
  </si>
  <si>
    <t>STM-1E3118</t>
  </si>
  <si>
    <t>CO-1B2107</t>
  </si>
  <si>
    <t>CO-1B2108</t>
  </si>
  <si>
    <t>STM-1E3087</t>
  </si>
  <si>
    <t>STM-1E3088</t>
  </si>
  <si>
    <t>STM-1E3100</t>
  </si>
  <si>
    <t>STM-1E3109</t>
  </si>
  <si>
    <t>STM-1E3110</t>
  </si>
  <si>
    <t>STM-1E3114</t>
  </si>
  <si>
    <t>STM-1E3121</t>
  </si>
  <si>
    <t>CO-1B2089</t>
  </si>
  <si>
    <t>CO-1C4002</t>
  </si>
  <si>
    <t>CO-1C4003</t>
  </si>
  <si>
    <t>CO-1C4013</t>
  </si>
  <si>
    <t>ER-1C4031</t>
  </si>
  <si>
    <t>SM-1C4051</t>
  </si>
  <si>
    <t>CO-1E3008</t>
  </si>
  <si>
    <t>CO-1E3009</t>
  </si>
  <si>
    <t>CO-1E3021</t>
  </si>
  <si>
    <t>CO-1E3023</t>
  </si>
  <si>
    <t>STM-1B3044</t>
  </si>
  <si>
    <t>CO-1C4005</t>
  </si>
  <si>
    <t>CO-1C4022</t>
  </si>
  <si>
    <t>SM-1C4056</t>
  </si>
  <si>
    <t>CO-1E3004</t>
  </si>
  <si>
    <t>CO-1E3011</t>
  </si>
  <si>
    <t>CO-1E3038</t>
  </si>
  <si>
    <t>STM-1B3043</t>
  </si>
  <si>
    <t>STM-1E3055</t>
  </si>
  <si>
    <t>STM-1E3085</t>
  </si>
  <si>
    <t>STM-1E3090</t>
  </si>
  <si>
    <t>STM-1E3111</t>
  </si>
  <si>
    <t>STM-1E3124</t>
  </si>
  <si>
    <t>STM-1E3054</t>
  </si>
  <si>
    <t>STM-1E3060</t>
  </si>
  <si>
    <t>STM-1E3073</t>
  </si>
  <si>
    <t>STM-1E3106</t>
  </si>
  <si>
    <t>STM-1E3116</t>
  </si>
  <si>
    <t>FS-1B2031</t>
  </si>
  <si>
    <t>STM-1B2014</t>
  </si>
  <si>
    <t>STM-1E3058</t>
  </si>
  <si>
    <t>STM-1E3063</t>
  </si>
  <si>
    <t>FS-1B2033</t>
  </si>
  <si>
    <t>STM-1B2021</t>
  </si>
  <si>
    <t>CO-1B2106</t>
  </si>
  <si>
    <t>CO-1B2110</t>
  </si>
  <si>
    <t>STM-1E3089</t>
  </si>
  <si>
    <t>CO-1B2087</t>
  </si>
  <si>
    <t>CO-1B2094</t>
  </si>
  <si>
    <t>CO-1A1021</t>
  </si>
  <si>
    <t>CO-1A1028</t>
  </si>
  <si>
    <t>CO-1A1019</t>
  </si>
  <si>
    <t>STM-1B2009</t>
  </si>
  <si>
    <t>ER-1B2060</t>
  </si>
  <si>
    <t>STM-1E3062</t>
  </si>
  <si>
    <t>STM-1B2024</t>
  </si>
  <si>
    <t>STM-1E3080</t>
  </si>
  <si>
    <t>STM-1B2008</t>
  </si>
  <si>
    <t>T818 E0</t>
  </si>
  <si>
    <t>STM-1B2020</t>
  </si>
  <si>
    <t>ER-1B2061</t>
  </si>
  <si>
    <t>FS-1B2038</t>
  </si>
  <si>
    <t>CO-1B2099</t>
  </si>
  <si>
    <t>STM-1B3049</t>
  </si>
  <si>
    <t>SM-1B2065</t>
  </si>
  <si>
    <t>CO-1B2098</t>
  </si>
  <si>
    <t>CO-1B2100</t>
  </si>
  <si>
    <t>CO-1B2088</t>
  </si>
  <si>
    <t>CO-1B2095</t>
  </si>
  <si>
    <t>STM-1B2022</t>
  </si>
  <si>
    <t>STM-1B2006</t>
  </si>
  <si>
    <t>STM-1B2013</t>
  </si>
  <si>
    <t>FS-1B2030</t>
  </si>
  <si>
    <t>FS-1B2037</t>
  </si>
  <si>
    <t>STM-1B2000</t>
  </si>
  <si>
    <t>STM-1B2001</t>
  </si>
  <si>
    <t>STM-1B2002</t>
  </si>
  <si>
    <t>STM-1B2004</t>
  </si>
  <si>
    <t>STM-1B2005</t>
  </si>
  <si>
    <t>STM-1B2010</t>
  </si>
  <si>
    <t>FS-1B2026</t>
  </si>
  <si>
    <t>STM-1B2016</t>
  </si>
  <si>
    <t>T830 E3</t>
  </si>
  <si>
    <t>ER-1B2042</t>
  </si>
  <si>
    <t>CO-1B2102</t>
  </si>
  <si>
    <t>CO-1C4004</t>
  </si>
  <si>
    <t>CO-1C4006</t>
  </si>
  <si>
    <t>CO-1C4009</t>
  </si>
  <si>
    <t>CO-1C4011</t>
  </si>
  <si>
    <t>CO-1C4012</t>
  </si>
  <si>
    <t>CO-1C4018</t>
  </si>
  <si>
    <t>CO-1C4019</t>
  </si>
  <si>
    <t>CO-1C4021</t>
  </si>
  <si>
    <t>ER-1C4041</t>
  </si>
  <si>
    <t>ER-1C4042</t>
  </si>
  <si>
    <t>CO-1A4068</t>
  </si>
  <si>
    <t>SM-1C4066</t>
  </si>
  <si>
    <t>CO-1C4000</t>
  </si>
  <si>
    <t>CO-1C4001</t>
  </si>
  <si>
    <t>CO-1C4008</t>
  </si>
  <si>
    <t>CO-1C4016</t>
  </si>
  <si>
    <t>CO-1C4020</t>
  </si>
  <si>
    <t>OPERACIÓN</t>
  </si>
  <si>
    <t>Planta Repuesto</t>
  </si>
  <si>
    <t>DTPM</t>
  </si>
  <si>
    <t>Busqueda</t>
  </si>
  <si>
    <t>Mes inicio operación</t>
  </si>
  <si>
    <t>Año inicio operación</t>
  </si>
  <si>
    <t>plazas</t>
  </si>
  <si>
    <t>SUMINISTRO</t>
  </si>
  <si>
    <t>DADO DE BAJA SEREMITT</t>
  </si>
  <si>
    <t>Chatarra</t>
  </si>
  <si>
    <t>SI</t>
  </si>
  <si>
    <t>PENDIENTE</t>
  </si>
  <si>
    <t xml:space="preserve">BUS QUEMADO, REEMPLAZO VTFK64 </t>
  </si>
  <si>
    <t xml:space="preserve">BUS QUEMADO </t>
  </si>
  <si>
    <t>BUS QUEMADO 21-07</t>
  </si>
  <si>
    <t>BUS QUEMADO 03-06</t>
  </si>
  <si>
    <t>QUEMADO 06-11-2025</t>
  </si>
  <si>
    <t>Busqueda 1</t>
  </si>
  <si>
    <t>busqueda 2</t>
  </si>
  <si>
    <t>SCANIA - B2</t>
  </si>
  <si>
    <t>FOTON - BE</t>
  </si>
  <si>
    <t>MERCEDES BENZ - B2</t>
  </si>
  <si>
    <t>MERCEDES BENZ - C2</t>
  </si>
  <si>
    <t>MERCEDES BENZ - BPAL</t>
  </si>
  <si>
    <t>VOLVO - A2</t>
  </si>
  <si>
    <t>VOLVO - B2</t>
  </si>
  <si>
    <t>VOLVO - C2</t>
  </si>
  <si>
    <t>YUTONG - BE</t>
  </si>
  <si>
    <t>-</t>
  </si>
  <si>
    <t>Movimientos Realizados</t>
  </si>
  <si>
    <t>KAUFMANN</t>
  </si>
  <si>
    <t>FABI</t>
  </si>
  <si>
    <t>Sta. Margarita</t>
  </si>
  <si>
    <t>A. Luco</t>
  </si>
  <si>
    <t>COCA - COLA</t>
  </si>
  <si>
    <t>Sta. Marta</t>
  </si>
  <si>
    <t>PIE ANDINO (EX A. LUCO)</t>
  </si>
  <si>
    <t>PIE ANDINO (EX JUANITA)</t>
  </si>
  <si>
    <t>JUANITA (EX PIE ANDINO)</t>
  </si>
  <si>
    <t>Flota Soporte</t>
  </si>
  <si>
    <t>Enviado</t>
  </si>
  <si>
    <t>FOB - FR Por terminal</t>
  </si>
  <si>
    <t>CÓDIGO TERMINAL</t>
  </si>
  <si>
    <t>TIPODEBUS</t>
  </si>
  <si>
    <t>Tipo Bus</t>
  </si>
  <si>
    <t>AM</t>
  </si>
  <si>
    <t>TOTAL AM</t>
  </si>
  <si>
    <t>PM</t>
  </si>
  <si>
    <t>TOTAL PM</t>
  </si>
  <si>
    <t>MÁXIMO PATIO</t>
  </si>
  <si>
    <t>FOB/FR</t>
  </si>
  <si>
    <t>DEPCON</t>
  </si>
  <si>
    <t>Indisponibles estructurales</t>
  </si>
  <si>
    <t>BELECT</t>
  </si>
  <si>
    <t>BELECT (COCA COLA)</t>
  </si>
  <si>
    <t>B</t>
  </si>
  <si>
    <t>C</t>
  </si>
  <si>
    <t>DEPHUA</t>
  </si>
  <si>
    <t>DEPRET</t>
  </si>
  <si>
    <t>B (COCA COLA)</t>
  </si>
  <si>
    <t>DEPMAR</t>
  </si>
  <si>
    <t>DEPHUE</t>
  </si>
  <si>
    <t>DEPAGUI</t>
  </si>
  <si>
    <t>DEPPIE</t>
  </si>
  <si>
    <t>DEPJUA</t>
  </si>
  <si>
    <t>Diferencia</t>
  </si>
  <si>
    <t>Automatica</t>
  </si>
  <si>
    <t>8-ma</t>
  </si>
  <si>
    <t>Operación Terminales</t>
  </si>
  <si>
    <t>Coca - Cola</t>
  </si>
  <si>
    <t>Suma</t>
  </si>
  <si>
    <t>mar</t>
  </si>
  <si>
    <t>feb</t>
  </si>
  <si>
    <t>Modificable</t>
  </si>
  <si>
    <t>QUEMADO 10-04</t>
  </si>
  <si>
    <t>REPARACIÓN MAYOR</t>
  </si>
  <si>
    <t>Tipo de flota</t>
  </si>
  <si>
    <t>N° Buses</t>
  </si>
  <si>
    <t xml:space="preserve">JUANITA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</si>
</sst>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0"/>
      <color theme="1"/>
      <name val="Tahoma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9C0006"/>
      <name val="Calibri"/>
      <family val="2"/>
    </font>
    <font>
      <sz val="11"/>
      <color rgb="FF006100"/>
      <name val="Calibri"/>
      <family val="2"/>
    </font>
    <font>
      <sz val="11"/>
      <name val="Calibri"/>
      <family val="2"/>
      <scheme val="minor"/>
    </font>
    <font>
      <sz val="11"/>
      <color theme="1"/>
      <name val="Gotham"/>
    </font>
    <font>
      <b/>
      <sz val="11"/>
      <color theme="0"/>
      <name val="Gotham"/>
    </font>
    <font>
      <b/>
      <sz val="11"/>
      <color theme="1"/>
      <name val="Gotham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</font>
    <font>
      <b/>
      <sz val="8"/>
      <color rgb="FF000000"/>
      <name val="Arial"/>
      <family val="2"/>
    </font>
    <font>
      <b/>
      <sz val="11"/>
      <color rgb="FFFFFFFF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0070C0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C62E2D"/>
        <bgColor indexed="64"/>
      </patternFill>
    </fill>
    <fill>
      <patternFill patternType="solid">
        <fgColor rgb="FF25315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B3040"/>
        <bgColor indexed="64"/>
      </patternFill>
    </fill>
    <fill>
      <patternFill patternType="solid">
        <fgColor rgb="FF104861"/>
        <bgColor indexed="64"/>
      </patternFill>
    </fill>
    <fill>
      <patternFill patternType="solid">
        <fgColor rgb="FF44B3E1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7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9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9" tint="0.39997558519241921"/>
      </top>
      <bottom style="thin">
        <color theme="9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9" fontId="15" fillId="0" borderId="0" applyFont="0" applyFill="0" applyBorder="0" applyAlignment="0" applyProtection="0"/>
    <xf numFmtId="0" fontId="15" fillId="0" borderId="0"/>
  </cellStyleXfs>
  <cellXfs count="4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4" fontId="0" fillId="0" borderId="5" xfId="0" applyNumberFormat="1" applyBorder="1"/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11" xfId="0" applyNumberFormat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0" fillId="0" borderId="4" xfId="0" applyNumberFormat="1" applyBorder="1"/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" fontId="0" fillId="0" borderId="0" xfId="0" applyNumberFormat="1"/>
    <xf numFmtId="0" fontId="4" fillId="9" borderId="1" xfId="0" applyFont="1" applyFill="1" applyBorder="1" applyAlignment="1">
      <alignment horizontal="center" vertical="center"/>
    </xf>
    <xf numFmtId="14" fontId="0" fillId="0" borderId="0" xfId="0" applyNumberFormat="1"/>
    <xf numFmtId="0" fontId="4" fillId="0" borderId="9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0" borderId="10" xfId="0" applyNumberFormat="1" applyBorder="1"/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2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4" fontId="9" fillId="13" borderId="0" xfId="2" applyNumberFormat="1" applyAlignment="1">
      <alignment vertical="center"/>
    </xf>
    <xf numFmtId="0" fontId="9" fillId="13" borderId="0" xfId="2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quotePrefix="1"/>
    <xf numFmtId="14" fontId="0" fillId="0" borderId="14" xfId="0" applyNumberFormat="1" applyBorder="1"/>
    <xf numFmtId="0" fontId="0" fillId="0" borderId="0" xfId="0" applyAlignment="1">
      <alignment horizontal="left" vertical="center" indent="1"/>
    </xf>
    <xf numFmtId="14" fontId="0" fillId="0" borderId="1" xfId="0" applyNumberFormat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2" fillId="15" borderId="20" xfId="0" applyFont="1" applyFill="1" applyBorder="1" applyAlignment="1">
      <alignment vertical="center"/>
    </xf>
    <xf numFmtId="0" fontId="12" fillId="14" borderId="20" xfId="0" applyFont="1" applyFill="1" applyBorder="1" applyAlignment="1">
      <alignment vertic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38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1" fillId="0" borderId="42" xfId="0" applyFont="1" applyBorder="1" applyAlignment="1">
      <alignment horizontal="center"/>
    </xf>
    <xf numFmtId="0" fontId="11" fillId="0" borderId="43" xfId="0" applyFont="1" applyBorder="1" applyAlignment="1">
      <alignment horizontal="center"/>
    </xf>
    <xf numFmtId="0" fontId="11" fillId="0" borderId="44" xfId="0" applyFont="1" applyBorder="1" applyAlignment="1">
      <alignment horizontal="center"/>
    </xf>
    <xf numFmtId="0" fontId="11" fillId="0" borderId="45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2" fillId="15" borderId="1" xfId="0" applyFont="1" applyFill="1" applyBorder="1" applyAlignment="1">
      <alignment horizontal="left" vertical="center"/>
    </xf>
    <xf numFmtId="0" fontId="12" fillId="14" borderId="1" xfId="0" applyFont="1" applyFill="1" applyBorder="1" applyAlignment="1">
      <alignment horizontal="left" vertical="center"/>
    </xf>
    <xf numFmtId="0" fontId="14" fillId="0" borderId="15" xfId="0" applyFon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2" fillId="16" borderId="1" xfId="0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7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10" fillId="0" borderId="2" xfId="1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 wrapText="1"/>
    </xf>
    <xf numFmtId="14" fontId="10" fillId="0" borderId="5" xfId="1" applyNumberFormat="1" applyFont="1" applyFill="1" applyBorder="1"/>
    <xf numFmtId="0" fontId="0" fillId="0" borderId="50" xfId="0" applyBorder="1" applyAlignment="1">
      <alignment horizontal="center" vertical="center"/>
    </xf>
    <xf numFmtId="14" fontId="0" fillId="0" borderId="1" xfId="0" applyNumberFormat="1" applyBorder="1"/>
    <xf numFmtId="14" fontId="0" fillId="0" borderId="5" xfId="0" applyNumberFormat="1" applyBorder="1" applyAlignment="1">
      <alignment horizontal="right" vertical="center"/>
    </xf>
    <xf numFmtId="9" fontId="0" fillId="0" borderId="0" xfId="3" applyFont="1"/>
    <xf numFmtId="15" fontId="0" fillId="0" borderId="0" xfId="0" applyNumberFormat="1"/>
    <xf numFmtId="22" fontId="0" fillId="0" borderId="0" xfId="0" applyNumberFormat="1"/>
    <xf numFmtId="0" fontId="16" fillId="17" borderId="16" xfId="0" applyFont="1" applyFill="1" applyBorder="1" applyAlignment="1">
      <alignment horizontal="center" vertical="center"/>
    </xf>
    <xf numFmtId="0" fontId="16" fillId="17" borderId="49" xfId="0" applyFont="1" applyFill="1" applyBorder="1" applyAlignment="1">
      <alignment horizontal="center" vertical="center"/>
    </xf>
    <xf numFmtId="0" fontId="16" fillId="18" borderId="54" xfId="0" applyFont="1" applyFill="1" applyBorder="1" applyAlignment="1">
      <alignment vertical="center"/>
    </xf>
    <xf numFmtId="0" fontId="4" fillId="19" borderId="15" xfId="0" applyFont="1" applyFill="1" applyBorder="1" applyAlignment="1">
      <alignment vertical="center"/>
    </xf>
    <xf numFmtId="0" fontId="4" fillId="20" borderId="15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2" xfId="0" applyBorder="1" applyAlignment="1">
      <alignment horizontal="center"/>
    </xf>
    <xf numFmtId="0" fontId="4" fillId="8" borderId="15" xfId="0" applyFont="1" applyFill="1" applyBorder="1" applyAlignment="1">
      <alignment vertical="center"/>
    </xf>
    <xf numFmtId="0" fontId="4" fillId="8" borderId="15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15" borderId="20" xfId="0" applyFont="1" applyFill="1" applyBorder="1" applyAlignment="1">
      <alignment vertical="center"/>
    </xf>
    <xf numFmtId="0" fontId="0" fillId="0" borderId="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2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8" xfId="0" applyBorder="1" applyAlignment="1">
      <alignment horizontal="center" wrapText="1"/>
    </xf>
    <xf numFmtId="0" fontId="16" fillId="17" borderId="54" xfId="0" applyFont="1" applyFill="1" applyBorder="1" applyAlignment="1">
      <alignment vertical="center"/>
    </xf>
    <xf numFmtId="0" fontId="4" fillId="20" borderId="15" xfId="0" applyFont="1" applyFill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2" fillId="14" borderId="20" xfId="0" applyFont="1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9" xfId="0" applyBorder="1" applyAlignment="1">
      <alignment horizontal="center" wrapText="1"/>
    </xf>
    <xf numFmtId="0" fontId="0" fillId="0" borderId="4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0" xfId="0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 wrapText="1"/>
    </xf>
    <xf numFmtId="0" fontId="16" fillId="18" borderId="55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5" fillId="0" borderId="1" xfId="0" applyFont="1" applyBorder="1"/>
    <xf numFmtId="0" fontId="0" fillId="0" borderId="57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14" fontId="0" fillId="0" borderId="56" xfId="0" applyNumberFormat="1" applyBorder="1" applyAlignment="1">
      <alignment horizontal="center" vertical="center"/>
    </xf>
    <xf numFmtId="0" fontId="19" fillId="21" borderId="16" xfId="0" applyFont="1" applyFill="1" applyBorder="1" applyAlignment="1">
      <alignment horizontal="center" vertical="center" wrapText="1"/>
    </xf>
    <xf numFmtId="0" fontId="19" fillId="21" borderId="49" xfId="0" applyFont="1" applyFill="1" applyBorder="1" applyAlignment="1">
      <alignment horizontal="center" vertical="center" wrapText="1"/>
    </xf>
    <xf numFmtId="0" fontId="20" fillId="22" borderId="49" xfId="0" applyFont="1" applyFill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14" fillId="23" borderId="51" xfId="0" applyFont="1" applyFill="1" applyBorder="1" applyAlignment="1">
      <alignment horizontal="center" vertical="center"/>
    </xf>
    <xf numFmtId="0" fontId="14" fillId="23" borderId="15" xfId="0" applyFont="1" applyFill="1" applyBorder="1" applyAlignment="1">
      <alignment horizontal="center" vertical="center"/>
    </xf>
    <xf numFmtId="0" fontId="14" fillId="10" borderId="51" xfId="0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0" fontId="14" fillId="0" borderId="15" xfId="0" applyFont="1" applyBorder="1" applyAlignment="1">
      <alignment vertical="center"/>
    </xf>
    <xf numFmtId="0" fontId="0" fillId="10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7" fillId="0" borderId="34" xfId="0" applyFont="1" applyBorder="1" applyAlignment="1">
      <alignment horizontal="center"/>
    </xf>
    <xf numFmtId="0" fontId="17" fillId="0" borderId="27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31" xfId="0" applyFont="1" applyBorder="1" applyAlignment="1">
      <alignment horizontal="center"/>
    </xf>
    <xf numFmtId="0" fontId="17" fillId="0" borderId="32" xfId="0" applyFont="1" applyBorder="1" applyAlignment="1">
      <alignment horizontal="center"/>
    </xf>
    <xf numFmtId="0" fontId="17" fillId="0" borderId="33" xfId="0" applyFont="1" applyBorder="1" applyAlignment="1">
      <alignment horizontal="center"/>
    </xf>
    <xf numFmtId="0" fontId="17" fillId="0" borderId="36" xfId="0" applyFont="1" applyBorder="1" applyAlignment="1">
      <alignment horizontal="center"/>
    </xf>
    <xf numFmtId="0" fontId="17" fillId="0" borderId="38" xfId="0" applyFont="1" applyBorder="1" applyAlignment="1">
      <alignment horizontal="center"/>
    </xf>
    <xf numFmtId="0" fontId="17" fillId="0" borderId="41" xfId="0" applyFont="1" applyBorder="1" applyAlignment="1">
      <alignment horizontal="center"/>
    </xf>
    <xf numFmtId="0" fontId="21" fillId="15" borderId="20" xfId="0" applyFont="1" applyFill="1" applyBorder="1" applyAlignment="1">
      <alignment vertical="center"/>
    </xf>
    <xf numFmtId="0" fontId="17" fillId="0" borderId="7" xfId="0" applyFont="1" applyBorder="1" applyAlignment="1">
      <alignment horizontal="center"/>
    </xf>
    <xf numFmtId="0" fontId="17" fillId="0" borderId="45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6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42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17" fillId="0" borderId="43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7" fillId="0" borderId="1" xfId="0" applyFont="1" applyBorder="1"/>
    <xf numFmtId="0" fontId="17" fillId="0" borderId="1" xfId="0" applyFont="1" applyBorder="1" applyAlignment="1">
      <alignment horizontal="left"/>
    </xf>
    <xf numFmtId="0" fontId="5" fillId="11" borderId="4" xfId="0" applyFont="1" applyFill="1" applyBorder="1" applyAlignment="1">
      <alignment horizontal="center"/>
    </xf>
    <xf numFmtId="14" fontId="5" fillId="11" borderId="4" xfId="0" applyNumberFormat="1" applyFont="1" applyFill="1" applyBorder="1" applyAlignment="1">
      <alignment horizontal="center"/>
    </xf>
    <xf numFmtId="14" fontId="5" fillId="11" borderId="2" xfId="0" applyNumberFormat="1" applyFont="1" applyFill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59" xfId="0" applyBorder="1" applyAlignment="1">
      <alignment horizontal="center"/>
    </xf>
    <xf numFmtId="14" fontId="0" fillId="0" borderId="59" xfId="0" applyNumberFormat="1" applyBorder="1" applyAlignment="1">
      <alignment horizontal="center"/>
    </xf>
    <xf numFmtId="14" fontId="0" fillId="0" borderId="61" xfId="0" applyNumberFormat="1" applyBorder="1" applyAlignment="1">
      <alignment horizontal="center"/>
    </xf>
    <xf numFmtId="0" fontId="17" fillId="8" borderId="6" xfId="0" applyFont="1" applyFill="1" applyBorder="1" applyAlignment="1">
      <alignment horizontal="center"/>
    </xf>
    <xf numFmtId="0" fontId="17" fillId="11" borderId="42" xfId="0" applyFont="1" applyFill="1" applyBorder="1" applyAlignment="1">
      <alignment horizontal="center"/>
    </xf>
    <xf numFmtId="0" fontId="17" fillId="11" borderId="2" xfId="0" applyFont="1" applyFill="1" applyBorder="1" applyAlignment="1">
      <alignment horizontal="center"/>
    </xf>
    <xf numFmtId="0" fontId="17" fillId="8" borderId="28" xfId="0" applyFont="1" applyFill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14" fontId="5" fillId="11" borderId="0" xfId="0" applyNumberFormat="1" applyFont="1" applyFill="1" applyAlignment="1">
      <alignment horizontal="center"/>
    </xf>
    <xf numFmtId="0" fontId="0" fillId="0" borderId="63" xfId="4" applyFont="1" applyBorder="1" applyAlignment="1">
      <alignment horizontal="left" vertical="center"/>
    </xf>
    <xf numFmtId="0" fontId="0" fillId="0" borderId="63" xfId="4" applyFont="1" applyBorder="1" applyAlignment="1">
      <alignment horizontal="center" vertical="center"/>
    </xf>
    <xf numFmtId="0" fontId="0" fillId="0" borderId="64" xfId="4" applyFont="1" applyBorder="1" applyAlignment="1">
      <alignment horizontal="center" vertical="center"/>
    </xf>
    <xf numFmtId="0" fontId="0" fillId="0" borderId="62" xfId="4" applyFont="1" applyBorder="1" applyAlignment="1">
      <alignment horizontal="left" vertical="center"/>
    </xf>
    <xf numFmtId="0" fontId="0" fillId="0" borderId="65" xfId="4" applyFont="1" applyBorder="1" applyAlignment="1">
      <alignment horizontal="center" vertical="center"/>
    </xf>
    <xf numFmtId="0" fontId="0" fillId="0" borderId="66" xfId="4" applyFont="1" applyBorder="1" applyAlignment="1">
      <alignment horizontal="left" vertical="center"/>
    </xf>
    <xf numFmtId="0" fontId="0" fillId="0" borderId="67" xfId="4" applyFont="1" applyBorder="1" applyAlignment="1">
      <alignment horizontal="center" vertical="center"/>
    </xf>
    <xf numFmtId="0" fontId="2" fillId="24" borderId="0" xfId="4" applyFont="1" applyFill="1" applyAlignment="1">
      <alignment horizontal="center" vertical="center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/>
    </xf>
    <xf numFmtId="14" fontId="0" fillId="0" borderId="68" xfId="0" applyNumberFormat="1" applyBorder="1" applyAlignment="1">
      <alignment horizontal="center"/>
    </xf>
    <xf numFmtId="14" fontId="10" fillId="0" borderId="0" xfId="0" applyNumberFormat="1" applyFont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1" fillId="0" borderId="17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right" vertical="center" wrapText="1"/>
    </xf>
    <xf numFmtId="20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center" vertical="center"/>
    </xf>
    <xf numFmtId="0" fontId="11" fillId="0" borderId="69" xfId="0" applyFont="1" applyBorder="1" applyAlignment="1">
      <alignment horizontal="center"/>
    </xf>
    <xf numFmtId="0" fontId="11" fillId="0" borderId="70" xfId="0" applyFont="1" applyBorder="1" applyAlignment="1">
      <alignment horizontal="center"/>
    </xf>
    <xf numFmtId="0" fontId="11" fillId="0" borderId="71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9" fontId="11" fillId="0" borderId="7" xfId="3" applyFont="1" applyBorder="1" applyAlignment="1">
      <alignment horizontal="center"/>
    </xf>
    <xf numFmtId="9" fontId="11" fillId="0" borderId="43" xfId="3" applyFont="1" applyBorder="1" applyAlignment="1">
      <alignment horizontal="center"/>
    </xf>
    <xf numFmtId="9" fontId="0" fillId="0" borderId="0" xfId="0" applyNumberFormat="1"/>
    <xf numFmtId="0" fontId="11" fillId="25" borderId="2" xfId="0" applyFont="1" applyFill="1" applyBorder="1" applyAlignment="1">
      <alignment horizontal="center"/>
    </xf>
    <xf numFmtId="0" fontId="11" fillId="25" borderId="19" xfId="0" applyFont="1" applyFill="1" applyBorder="1" applyAlignment="1">
      <alignment horizontal="center"/>
    </xf>
    <xf numFmtId="0" fontId="11" fillId="25" borderId="17" xfId="0" applyFont="1" applyFill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0" borderId="56" xfId="0" applyFont="1" applyBorder="1" applyAlignment="1">
      <alignment horizontal="center" vertical="center"/>
    </xf>
    <xf numFmtId="14" fontId="10" fillId="0" borderId="56" xfId="0" applyNumberFormat="1" applyFont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10" fontId="0" fillId="0" borderId="0" xfId="3" applyNumberFormat="1" applyFont="1"/>
    <xf numFmtId="0" fontId="1" fillId="8" borderId="1" xfId="0" applyFont="1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/>
    </xf>
    <xf numFmtId="0" fontId="0" fillId="8" borderId="1" xfId="0" applyFill="1" applyBorder="1"/>
    <xf numFmtId="0" fontId="0" fillId="0" borderId="0" xfId="0" applyAlignment="1">
      <alignment horizontal="left" indent="2"/>
    </xf>
    <xf numFmtId="0" fontId="0" fillId="0" borderId="11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13" xfId="0" quotePrefix="1" applyBorder="1"/>
    <xf numFmtId="0" fontId="0" fillId="0" borderId="14" xfId="0" applyBorder="1"/>
    <xf numFmtId="0" fontId="0" fillId="0" borderId="7" xfId="0" applyBorder="1"/>
    <xf numFmtId="0" fontId="0" fillId="0" borderId="6" xfId="0" applyBorder="1"/>
    <xf numFmtId="0" fontId="0" fillId="0" borderId="50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indent="1"/>
    </xf>
    <xf numFmtId="0" fontId="0" fillId="0" borderId="9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0" fontId="0" fillId="0" borderId="9" xfId="0" applyBorder="1" applyAlignment="1">
      <alignment horizontal="left" indent="2"/>
    </xf>
    <xf numFmtId="0" fontId="0" fillId="0" borderId="3" xfId="0" applyBorder="1" applyAlignment="1">
      <alignment horizontal="left" indent="2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indent="2"/>
    </xf>
    <xf numFmtId="14" fontId="0" fillId="0" borderId="0" xfId="0" applyNumberFormat="1" applyAlignment="1">
      <alignment horizontal="right" vertical="center"/>
    </xf>
    <xf numFmtId="0" fontId="0" fillId="10" borderId="56" xfId="0" applyFill="1" applyBorder="1" applyAlignment="1">
      <alignment horizontal="center" vertical="center"/>
    </xf>
    <xf numFmtId="14" fontId="0" fillId="11" borderId="5" xfId="0" applyNumberFormat="1" applyFill="1" applyBorder="1"/>
    <xf numFmtId="0" fontId="0" fillId="10" borderId="2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14" fontId="0" fillId="10" borderId="11" xfId="0" applyNumberFormat="1" applyFill="1" applyBorder="1"/>
    <xf numFmtId="0" fontId="0" fillId="0" borderId="50" xfId="0" applyBorder="1" applyAlignment="1">
      <alignment horizontal="left" indent="2"/>
    </xf>
    <xf numFmtId="0" fontId="4" fillId="0" borderId="8" xfId="0" applyFont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 wrapText="1"/>
    </xf>
    <xf numFmtId="164" fontId="0" fillId="0" borderId="5" xfId="0" applyNumberFormat="1" applyBorder="1"/>
    <xf numFmtId="0" fontId="4" fillId="11" borderId="2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14" fontId="0" fillId="11" borderId="11" xfId="0" applyNumberFormat="1" applyFill="1" applyBorder="1"/>
    <xf numFmtId="0" fontId="0" fillId="11" borderId="9" xfId="0" applyFill="1" applyBorder="1" applyAlignment="1">
      <alignment horizontal="center"/>
    </xf>
    <xf numFmtId="14" fontId="0" fillId="0" borderId="0" xfId="0" applyNumberFormat="1" applyAlignment="1">
      <alignment horizontal="right" vertical="center" wrapText="1"/>
    </xf>
    <xf numFmtId="14" fontId="0" fillId="11" borderId="5" xfId="0" applyNumberFormat="1" applyFill="1" applyBorder="1" applyAlignment="1">
      <alignment horizontal="right"/>
    </xf>
    <xf numFmtId="0" fontId="4" fillId="9" borderId="2" xfId="0" applyFont="1" applyFill="1" applyBorder="1" applyAlignment="1">
      <alignment horizontal="center" vertical="center"/>
    </xf>
    <xf numFmtId="164" fontId="0" fillId="0" borderId="14" xfId="0" applyNumberFormat="1" applyBorder="1"/>
    <xf numFmtId="0" fontId="4" fillId="9" borderId="9" xfId="0" applyFont="1" applyFill="1" applyBorder="1" applyAlignment="1">
      <alignment horizontal="center" vertical="center"/>
    </xf>
    <xf numFmtId="14" fontId="0" fillId="11" borderId="14" xfId="0" applyNumberFormat="1" applyFill="1" applyBorder="1" applyAlignment="1">
      <alignment horizontal="right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11" borderId="0" xfId="0" applyFill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0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0" fillId="0" borderId="0" xfId="0" pivotButton="1" applyAlignment="1">
      <alignment horizontal="left" vertical="center"/>
    </xf>
    <xf numFmtId="0" fontId="0" fillId="0" borderId="9" xfId="0" applyBorder="1"/>
    <xf numFmtId="0" fontId="0" fillId="0" borderId="3" xfId="0" applyBorder="1"/>
    <xf numFmtId="0" fontId="0" fillId="0" borderId="1" xfId="0" applyBorder="1" applyAlignment="1">
      <alignment horizontal="right"/>
    </xf>
    <xf numFmtId="0" fontId="2" fillId="3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2" fillId="15" borderId="19" xfId="0" applyFont="1" applyFill="1" applyBorder="1" applyAlignment="1">
      <alignment horizontal="center" vertical="center"/>
    </xf>
    <xf numFmtId="0" fontId="12" fillId="14" borderId="19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7" fillId="0" borderId="35" xfId="0" applyFont="1" applyBorder="1" applyAlignment="1">
      <alignment horizontal="center"/>
    </xf>
    <xf numFmtId="0" fontId="17" fillId="0" borderId="30" xfId="0" applyFont="1" applyBorder="1" applyAlignment="1">
      <alignment horizontal="center"/>
    </xf>
    <xf numFmtId="0" fontId="17" fillId="0" borderId="37" xfId="0" applyFont="1" applyBorder="1" applyAlignment="1">
      <alignment horizontal="center"/>
    </xf>
    <xf numFmtId="0" fontId="17" fillId="0" borderId="27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21" fillId="15" borderId="19" xfId="0" applyFont="1" applyFill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4" fillId="20" borderId="55" xfId="0" applyFont="1" applyFill="1" applyBorder="1" applyAlignment="1">
      <alignment horizontal="center" vertical="center"/>
    </xf>
    <xf numFmtId="0" fontId="4" fillId="20" borderId="52" xfId="0" applyFont="1" applyFill="1" applyBorder="1" applyAlignment="1">
      <alignment horizontal="center" vertical="center"/>
    </xf>
    <xf numFmtId="0" fontId="4" fillId="20" borderId="51" xfId="0" applyFont="1" applyFill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20" borderId="54" xfId="0" applyFont="1" applyFill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2" fillId="15" borderId="19" xfId="0" applyFont="1" applyFill="1" applyBorder="1" applyAlignment="1">
      <alignment horizontal="center" vertical="center"/>
    </xf>
    <xf numFmtId="0" fontId="2" fillId="14" borderId="19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7" borderId="11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left" vertical="center"/>
    </xf>
    <xf numFmtId="0" fontId="5" fillId="6" borderId="14" xfId="0" applyFont="1" applyFill="1" applyBorder="1" applyAlignment="1">
      <alignment horizontal="left" vertical="center"/>
    </xf>
    <xf numFmtId="0" fontId="5" fillId="6" borderId="12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5" fillId="6" borderId="5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</cellXfs>
  <cellStyles count="5">
    <cellStyle name="Bueno" xfId="2" builtinId="26"/>
    <cellStyle name="Incorrecto" xfId="1" builtinId="27"/>
    <cellStyle name="Normal" xfId="0" builtinId="0"/>
    <cellStyle name="Normal 2 2" xfId="4" xr:uid="{26F05EA8-B483-4949-9B25-BB2A05FA3A29}"/>
    <cellStyle name="Porcentaje" xfId="3" builtinId="5"/>
  </cellStyles>
  <dxfs count="488"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m/d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/d/yy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/d/yy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right style="thin">
          <color theme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top style="thin">
          <color theme="9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4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m/d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1"/>
        </top>
        <bottom style="thin">
          <color indexed="64"/>
        </bottom>
        <vertical/>
        <horizontal/>
      </border>
    </dxf>
    <dxf>
      <numFmt numFmtId="164" formatCode="m/d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</font>
    </dxf>
    <dxf>
      <font>
        <b val="0"/>
      </font>
    </dxf>
    <dxf>
      <font>
        <b val="0"/>
      </font>
    </dxf>
    <dxf>
      <border>
        <left/>
        <right/>
        <bottom/>
      </border>
    </dxf>
    <dxf>
      <border>
        <left/>
        <right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4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4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m/d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m/d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m/d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m/d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m/d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m/d/yyyy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m/d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m/d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0" indent="0"/>
    </dxf>
    <dxf>
      <alignment wrapText="0" indent="0"/>
    </dxf>
    <dxf>
      <alignment wrapText="0" indent="0"/>
    </dxf>
    <dxf>
      <alignment wrapText="0" indent="0"/>
    </dxf>
    <dxf>
      <alignment wrapText="0" indent="0"/>
    </dxf>
    <dxf>
      <alignment wrapText="0" indent="0"/>
    </dxf>
    <dxf>
      <alignment wrapText="0" indent="0"/>
    </dxf>
    <dxf>
      <alignment wrapText="0" indent="0"/>
    </dxf>
  </dxfs>
  <tableStyles count="0" defaultTableStyle="TableStyleMedium2" defaultPivotStyle="PivotStyleMedium15"/>
  <colors>
    <mruColors>
      <color rgb="FFCC3300"/>
      <color rgb="FFC62E2D"/>
      <color rgb="FF2531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ivotCacheDefinition" Target="pivotCache/pivotCacheDefinition6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5.xml"/><Relationship Id="rId30" Type="http://schemas.openxmlformats.org/officeDocument/2006/relationships/pivotCacheDefinition" Target="pivotCache/pivotCacheDefinition8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9</xdr:row>
      <xdr:rowOff>0</xdr:rowOff>
    </xdr:from>
    <xdr:to>
      <xdr:col>9</xdr:col>
      <xdr:colOff>304800</xdr:colOff>
      <xdr:row>10</xdr:row>
      <xdr:rowOff>107950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ADF9EAA3-4118-EBAF-CB5B-6078B71B2D93}"/>
            </a:ext>
          </a:extLst>
        </xdr:cNvPr>
        <xdr:cNvSpPr>
          <a:spLocks noChangeAspect="1" noChangeArrowheads="1"/>
        </xdr:cNvSpPr>
      </xdr:nvSpPr>
      <xdr:spPr bwMode="auto">
        <a:xfrm>
          <a:off x="980122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304800</xdr:colOff>
      <xdr:row>5</xdr:row>
      <xdr:rowOff>107951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B9F1FCBB-58E8-8A8A-5115-CD72C272BCE3}"/>
            </a:ext>
          </a:extLst>
        </xdr:cNvPr>
        <xdr:cNvSpPr>
          <a:spLocks noChangeAspect="1" noChangeArrowheads="1"/>
        </xdr:cNvSpPr>
      </xdr:nvSpPr>
      <xdr:spPr bwMode="auto">
        <a:xfrm>
          <a:off x="980122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304800</xdr:colOff>
      <xdr:row>7</xdr:row>
      <xdr:rowOff>107951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B0C536C6-4C38-B8AE-1C78-03D6AD4F74B8}"/>
            </a:ext>
          </a:extLst>
        </xdr:cNvPr>
        <xdr:cNvSpPr>
          <a:spLocks noChangeAspect="1" noChangeArrowheads="1"/>
        </xdr:cNvSpPr>
      </xdr:nvSpPr>
      <xdr:spPr bwMode="auto">
        <a:xfrm>
          <a:off x="9801225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10</xdr:col>
      <xdr:colOff>304800</xdr:colOff>
      <xdr:row>4</xdr:row>
      <xdr:rowOff>107951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7B5979C-6C58-489D-99A4-69F84EB247FA}"/>
            </a:ext>
          </a:extLst>
        </xdr:cNvPr>
        <xdr:cNvSpPr>
          <a:spLocks noChangeAspect="1" noChangeArrowheads="1"/>
        </xdr:cNvSpPr>
      </xdr:nvSpPr>
      <xdr:spPr bwMode="auto">
        <a:xfrm>
          <a:off x="11252200" y="165735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304800</xdr:colOff>
      <xdr:row>4</xdr:row>
      <xdr:rowOff>107952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353B34E0-4F71-45E7-A737-68BC02F3EC06}"/>
            </a:ext>
          </a:extLst>
        </xdr:cNvPr>
        <xdr:cNvSpPr>
          <a:spLocks noChangeAspect="1" noChangeArrowheads="1"/>
        </xdr:cNvSpPr>
      </xdr:nvSpPr>
      <xdr:spPr bwMode="auto">
        <a:xfrm>
          <a:off x="11252200" y="7366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304800</xdr:colOff>
      <xdr:row>4</xdr:row>
      <xdr:rowOff>107952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3531E284-F502-489B-8798-6B7A3131E05D}"/>
            </a:ext>
          </a:extLst>
        </xdr:cNvPr>
        <xdr:cNvSpPr>
          <a:spLocks noChangeAspect="1" noChangeArrowheads="1"/>
        </xdr:cNvSpPr>
      </xdr:nvSpPr>
      <xdr:spPr bwMode="auto">
        <a:xfrm>
          <a:off x="11252200" y="11049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Cid" refreshedDate="45547.495909027777" createdVersion="8" refreshedVersion="8" minRefreshableVersion="3" recordCount="1" xr:uid="{3299A9FB-B65C-416B-A44B-49671ACC8917}">
  <cacheSource type="worksheet">
    <worksheetSource name="ALCC"/>
  </cacheSource>
  <cacheFields count="8">
    <cacheField name="EMPRESA" numFmtId="0">
      <sharedItems containsNonDate="0" containsString="0" containsBlank="1"/>
    </cacheField>
    <cacheField name="PLACA" numFmtId="0">
      <sharedItems containsNonDate="0" containsString="0" containsBlank="1"/>
    </cacheField>
    <cacheField name="INTERNO" numFmtId="0">
      <sharedItems containsNonDate="0" containsString="0" containsBlank="1"/>
    </cacheField>
    <cacheField name="TIPO BUS" numFmtId="0">
      <sharedItems containsNonDate="0" containsBlank="1" count="2">
        <m/>
        <s v="B2" u="1"/>
      </sharedItems>
    </cacheField>
    <cacheField name="TIPO FLOTA" numFmtId="0">
      <sharedItems containsNonDate="0" containsBlank="1" count="3">
        <m/>
        <s v="FOB" u="1"/>
        <s v="FR" u="1"/>
      </sharedItems>
    </cacheField>
    <cacheField name="MARCA CHASIS" numFmtId="0">
      <sharedItems containsNonDate="0" containsBlank="1" count="3">
        <m/>
        <s v="MERCEDES BENZ" u="1"/>
        <s v="SCANIA" u="1"/>
      </sharedItems>
    </cacheField>
    <cacheField name="TERMINAL OP" numFmtId="0">
      <sharedItems containsNonDate="0" containsString="0" containsBlank="1"/>
    </cacheField>
    <cacheField name="Inicio Operación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Mesias" refreshedDate="46252.386778819447" createdVersion="8" refreshedVersion="8" minRefreshableVersion="3" recordCount="740" xr:uid="{D933D9E0-FFA3-46F7-BCCC-F9F0F9A2C2AF}">
  <cacheSource type="worksheet">
    <worksheetSource name="DitrbFlota"/>
  </cacheSource>
  <cacheFields count="17">
    <cacheField name="EMPRESA" numFmtId="0">
      <sharedItems containsBlank="1" count="3">
        <s v="US2"/>
        <s v="US1"/>
        <m u="1"/>
      </sharedItems>
    </cacheField>
    <cacheField name="PLACA" numFmtId="0">
      <sharedItems/>
    </cacheField>
    <cacheField name="INTERNO" numFmtId="0">
      <sharedItems containsSemiMixedTypes="0" containsString="0" containsNumber="1" containsInteger="1" minValue="1000" maxValue="7199"/>
    </cacheField>
    <cacheField name="TIPO BUS" numFmtId="0">
      <sharedItems containsBlank="1" count="8">
        <s v="A2"/>
        <s v="BPAL"/>
        <s v="B2"/>
        <s v="BE"/>
        <s v="C2"/>
        <m u="1"/>
        <s v="B2*" u="1"/>
        <s v="C2*" u="1"/>
      </sharedItems>
    </cacheField>
    <cacheField name="TIPO FLOTA" numFmtId="0">
      <sharedItems containsBlank="1" count="5">
        <s v="FOB"/>
        <s v="FR"/>
        <s v="FS"/>
        <s v="FAUX"/>
        <m u="1"/>
      </sharedItems>
    </cacheField>
    <cacheField name="MARCA CHASIS" numFmtId="0">
      <sharedItems containsBlank="1" count="8">
        <s v="VOLVO"/>
        <s v="MERCEDES BENZ"/>
        <s v="FOTON"/>
        <s v="SCANIA"/>
        <s v="YUTONG"/>
        <m u="1"/>
        <s v="MERCEDES BENZ*" u="1"/>
        <s v="VOLVO*" u="1"/>
      </sharedItems>
    </cacheField>
    <cacheField name="TERMINAL OP" numFmtId="0">
      <sharedItems containsBlank="1" count="8">
        <s v="A. LUCO"/>
        <s v="CONDELL"/>
        <s v="EL RETIRO"/>
        <s v="JUANITA"/>
        <s v="PIE ANDINO"/>
        <s v="SANTA MARGARITA"/>
        <s v="STA MARTA"/>
        <m u="1"/>
      </sharedItems>
    </cacheField>
    <cacheField name="OPERACIÓN" numFmtId="0">
      <sharedItems count="7">
        <s v="A. LUCO"/>
        <s v="CONDELL"/>
        <s v="EL RETIRO"/>
        <s v="JUANITA"/>
        <s v="PIE ANDINO"/>
        <s v="SANTA MARGARITA"/>
        <s v="STA MARTA"/>
      </sharedItems>
    </cacheField>
    <cacheField name="Inicio Operación" numFmtId="0">
      <sharedItems containsSemiMixedTypes="0" containsNonDate="0" containsDate="1" containsString="0" minDate="2022-12-17T00:00:00" maxDate="2026-04-11T00:00:00"/>
    </cacheField>
    <cacheField name="ORIGEN" numFmtId="0">
      <sharedItems/>
    </cacheField>
    <cacheField name="Planta Repuesto" numFmtId="0">
      <sharedItems containsBlank="1" count="8">
        <s v="OMJJA"/>
        <s v="ALCON"/>
        <s v="ALRET"/>
        <s v="OMPAN"/>
        <s v="OMJNT"/>
        <s v="ALSMT"/>
        <m u="1"/>
        <s v="FABI" u="1"/>
      </sharedItems>
    </cacheField>
    <cacheField name="DTPM" numFmtId="0">
      <sharedItems/>
    </cacheField>
    <cacheField name="Observación" numFmtId="0">
      <sharedItems containsBlank="1"/>
    </cacheField>
    <cacheField name="Busqueda" numFmtId="0">
      <sharedItems/>
    </cacheField>
    <cacheField name="Mes inicio operación" numFmtId="0">
      <sharedItems containsSemiMixedTypes="0" containsString="0" containsNumber="1" containsInteger="1" minValue="1" maxValue="12"/>
    </cacheField>
    <cacheField name="Año inicio operación" numFmtId="0">
      <sharedItems containsSemiMixedTypes="0" containsString="0" containsNumber="1" containsInteger="1" minValue="2022" maxValue="2026"/>
    </cacheField>
    <cacheField name="plazas" numFmtId="0">
      <sharedItems containsSemiMixedTypes="0" containsString="0" containsNumber="1" containsInteger="1" minValue="77" maxValue="1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Mesias" refreshedDate="46252.60204189815" createdVersion="8" refreshedVersion="8" minRefreshableVersion="3" recordCount="58" xr:uid="{770184C9-4F82-4845-B68D-4CAA88E79E76}">
  <cacheSource type="worksheet">
    <worksheetSource name="ALRET"/>
  </cacheSource>
  <cacheFields count="8">
    <cacheField name="EMPRESA" numFmtId="0">
      <sharedItems/>
    </cacheField>
    <cacheField name="PPU" numFmtId="0">
      <sharedItems/>
    </cacheField>
    <cacheField name="INTERNO" numFmtId="0">
      <sharedItems containsSemiMixedTypes="0" containsString="0" containsNumber="1" containsInteger="1" minValue="1002" maxValue="4069"/>
    </cacheField>
    <cacheField name="TIPO BUS" numFmtId="0">
      <sharedItems count="5">
        <s v="A2"/>
        <s v="B2"/>
        <s v="C2"/>
        <s v="B2*" u="1"/>
        <s v="C2*" u="1"/>
      </sharedItems>
    </cacheField>
    <cacheField name="TIPO FLOTA" numFmtId="0">
      <sharedItems count="2">
        <s v="FOB"/>
        <s v="FR"/>
      </sharedItems>
    </cacheField>
    <cacheField name="MARCA CHASIS" numFmtId="0">
      <sharedItems count="3">
        <s v="VOLVO"/>
        <s v="SCANIA"/>
        <s v="MERCEDES BENZ" u="1"/>
      </sharedItems>
    </cacheField>
    <cacheField name="TERMINAL OP" numFmtId="0">
      <sharedItems/>
    </cacheField>
    <cacheField name="Inicio Operación" numFmtId="14">
      <sharedItems containsSemiMixedTypes="0" containsNonDate="0" containsDate="1" containsString="0" minDate="2022-12-17T00:00:00" maxDate="2023-01-0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Mesias" refreshedDate="46252.602078356482" createdVersion="8" refreshedVersion="8" minRefreshableVersion="3" recordCount="28" xr:uid="{70C86E63-E8B6-42D2-8378-E19C2BB6D040}">
  <cacheSource type="worksheet">
    <worksheetSource name="ALSMG"/>
  </cacheSource>
  <cacheFields count="8">
    <cacheField name="EMPRESA" numFmtId="0">
      <sharedItems/>
    </cacheField>
    <cacheField name="PLACA" numFmtId="0">
      <sharedItems/>
    </cacheField>
    <cacheField name="INTERNO" numFmtId="0">
      <sharedItems containsSemiMixedTypes="0" containsString="0" containsNumber="1" containsInteger="1" minValue="2046" maxValue="4065"/>
    </cacheField>
    <cacheField name="TIPO BUS" numFmtId="0">
      <sharedItems containsBlank="1" count="3">
        <s v="B2"/>
        <s v="C2"/>
        <m u="1"/>
      </sharedItems>
    </cacheField>
    <cacheField name="TIPO FLOTA" numFmtId="0">
      <sharedItems count="2">
        <s v="FOB"/>
        <s v="FR" u="1"/>
      </sharedItems>
    </cacheField>
    <cacheField name="MARCA CHASIS" numFmtId="0">
      <sharedItems containsBlank="1" count="4">
        <s v="SCANIA"/>
        <s v="VOLVO"/>
        <m u="1"/>
        <s v="MERCEDES BENZ" u="1"/>
      </sharedItems>
    </cacheField>
    <cacheField name="TERMINAL OP" numFmtId="0">
      <sharedItems/>
    </cacheField>
    <cacheField name="Inicio Operación" numFmtId="14">
      <sharedItems containsSemiMixedTypes="0" containsNonDate="0" containsDate="1" containsString="0" minDate="2022-12-17T00:00:00" maxDate="2023-01-0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Mesias" refreshedDate="46252.602127777776" createdVersion="8" refreshedVersion="8" minRefreshableVersion="3" recordCount="128" xr:uid="{860F569B-3A5A-4CAD-A602-10CAE157E23C}">
  <cacheSource type="worksheet">
    <worksheetSource name="ALCON"/>
  </cacheSource>
  <cacheFields count="8">
    <cacheField name="EMPRESA" numFmtId="0">
      <sharedItems/>
    </cacheField>
    <cacheField name="PLACA" numFmtId="0">
      <sharedItems/>
    </cacheField>
    <cacheField name="INTERNO" numFmtId="0">
      <sharedItems containsSemiMixedTypes="0" containsString="0" containsNumber="1" containsInteger="1" minValue="1000" maxValue="4068"/>
    </cacheField>
    <cacheField name="TIPO BUS" numFmtId="0">
      <sharedItems containsBlank="1" count="6">
        <s v="A2"/>
        <s v="B2"/>
        <s v="BE"/>
        <s v="C2"/>
        <m u="1"/>
        <s v="BPAL" u="1"/>
      </sharedItems>
    </cacheField>
    <cacheField name="TIPO FLOTA" numFmtId="0">
      <sharedItems containsBlank="1" count="4">
        <s v="FOB"/>
        <s v="FR"/>
        <m u="1"/>
        <s v="FOB / FR" u="1"/>
      </sharedItems>
    </cacheField>
    <cacheField name="MARCA CHASIS" numFmtId="0">
      <sharedItems containsBlank="1" count="5">
        <s v="VOLVO"/>
        <s v="MERCEDES BENZ"/>
        <s v="FOTON"/>
        <m u="1"/>
        <s v="SCANIA" u="1"/>
      </sharedItems>
    </cacheField>
    <cacheField name="TERMINAL OP" numFmtId="0">
      <sharedItems/>
    </cacheField>
    <cacheField name="Inicio Operación" numFmtId="14">
      <sharedItems containsSemiMixedTypes="0" containsNonDate="0" containsDate="1" containsString="0" minDate="2022-12-17T00:00:00" maxDate="2026-04-1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Mesias" refreshedDate="46252.602153472224" createdVersion="8" refreshedVersion="8" minRefreshableVersion="3" recordCount="147" xr:uid="{0B405B22-0FF6-4173-B276-9FBD436451B1}">
  <cacheSource type="worksheet">
    <worksheetSource name="ALSMT"/>
  </cacheSource>
  <cacheFields count="8">
    <cacheField name="EMPRESA" numFmtId="0">
      <sharedItems/>
    </cacheField>
    <cacheField name="PLACA" numFmtId="0">
      <sharedItems/>
    </cacheField>
    <cacheField name="INTERNO" numFmtId="0">
      <sharedItems containsSemiMixedTypes="0" containsString="0" containsNumber="1" containsInteger="1" minValue="1006" maxValue="3132"/>
    </cacheField>
    <cacheField name="TIPO BUS" numFmtId="0">
      <sharedItems containsBlank="1" count="5">
        <s v="A2"/>
        <s v="BPAL"/>
        <s v="BE"/>
        <s v="B2"/>
        <m u="1"/>
      </sharedItems>
    </cacheField>
    <cacheField name="TIPO FLOTA" numFmtId="0">
      <sharedItems containsBlank="1" count="5">
        <s v="FOB"/>
        <s v="FR"/>
        <s v="FS"/>
        <m u="1"/>
        <s v="FOB / FR" u="1"/>
      </sharedItems>
    </cacheField>
    <cacheField name="MARCA CHASIS" numFmtId="0">
      <sharedItems containsBlank="1" count="5">
        <s v="VOLVO"/>
        <s v="MERCEDES BENZ"/>
        <s v="FOTON"/>
        <s v="SCANIA"/>
        <m u="1"/>
      </sharedItems>
    </cacheField>
    <cacheField name="TERMINAL OP" numFmtId="0">
      <sharedItems/>
    </cacheField>
    <cacheField name="Inicio Operación" numFmtId="14">
      <sharedItems containsSemiMixedTypes="0" containsNonDate="0" containsDate="1" containsString="0" minDate="2023-01-07T00:00:00" maxDate="2025-03-2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Mesias" refreshedDate="46252.602179629626" createdVersion="8" refreshedVersion="8" minRefreshableVersion="3" recordCount="172" xr:uid="{0C876577-2541-482B-9D54-D2B70600715A}">
  <cacheSource type="worksheet">
    <worksheetSource name="OMJNT"/>
  </cacheSource>
  <cacheFields count="8">
    <cacheField name="EMPRESA" numFmtId="0">
      <sharedItems/>
    </cacheField>
    <cacheField name="PLACA" numFmtId="0">
      <sharedItems/>
    </cacheField>
    <cacheField name="INTERNO" numFmtId="0">
      <sharedItems containsSemiMixedTypes="0" containsString="0" containsNumber="1" containsInteger="1" minValue="6031" maxValue="7196"/>
    </cacheField>
    <cacheField name="TIPO BUS" numFmtId="0">
      <sharedItems containsBlank="1" count="3">
        <s v="B2"/>
        <s v="BE"/>
        <m u="1"/>
      </sharedItems>
    </cacheField>
    <cacheField name="TIPO FLOTA" numFmtId="0">
      <sharedItems containsBlank="1" count="3">
        <s v="FOB"/>
        <s v="FR"/>
        <m u="1"/>
      </sharedItems>
    </cacheField>
    <cacheField name="MARCA CHASIS" numFmtId="0">
      <sharedItems containsBlank="1" count="4">
        <s v="MERCEDES BENZ"/>
        <s v="YUTONG"/>
        <s v="FOTON"/>
        <m u="1"/>
      </sharedItems>
    </cacheField>
    <cacheField name="TERMINAL OP" numFmtId="0">
      <sharedItems/>
    </cacheField>
    <cacheField name="Inicio Operación" numFmtId="14">
      <sharedItems containsSemiMixedTypes="0" containsNonDate="0" containsDate="1" containsString="0" minDate="2023-03-18T00:00:00" maxDate="2025-02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Mesias" refreshedDate="46252.602219560184" createdVersion="8" refreshedVersion="8" minRefreshableVersion="3" recordCount="63" xr:uid="{40F639D2-9D19-4240-A5C6-DB1B97ED873A}">
  <cacheSource type="worksheet">
    <worksheetSource name="OMJJA"/>
  </cacheSource>
  <cacheFields count="8">
    <cacheField name="EMPRESA" numFmtId="0">
      <sharedItems/>
    </cacheField>
    <cacheField name="PLACA" numFmtId="0">
      <sharedItems/>
    </cacheField>
    <cacheField name="INTERNO" numFmtId="0">
      <sharedItems containsSemiMixedTypes="0" containsString="0" containsNumber="1" containsInteger="1" minValue="5001" maxValue="6160"/>
    </cacheField>
    <cacheField name="TIPO BUS" numFmtId="0">
      <sharedItems containsBlank="1" count="5">
        <s v="A2"/>
        <s v="BPAL"/>
        <s v="B2"/>
        <m u="1"/>
        <s v="B2*" u="1"/>
      </sharedItems>
    </cacheField>
    <cacheField name="TIPO FLOTA" numFmtId="0">
      <sharedItems containsBlank="1" count="4">
        <s v="FOB"/>
        <s v="FR"/>
        <s v="FS"/>
        <m u="1"/>
      </sharedItems>
    </cacheField>
    <cacheField name="MARCA CHASIS" numFmtId="0">
      <sharedItems containsBlank="1" count="4">
        <s v="VOLVO"/>
        <s v="MERCEDES BENZ"/>
        <m u="1"/>
        <s v="VOLVO*" u="1"/>
      </sharedItems>
    </cacheField>
    <cacheField name="TERMINAL OP" numFmtId="0">
      <sharedItems/>
    </cacheField>
    <cacheField name="Inicio Operación" numFmtId="14">
      <sharedItems containsSemiMixedTypes="0" containsNonDate="0" containsDate="1" containsString="0" minDate="2023-02-25T00:00:00" maxDate="2024-09-0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Mesias" refreshedDate="46252.602243518515" createdVersion="8" refreshedVersion="8" minRefreshableVersion="3" recordCount="141" xr:uid="{84C5DC06-1060-4EAE-B2B1-5539C77C5C56}">
  <cacheSource type="worksheet">
    <worksheetSource name="OMPAN"/>
  </cacheSource>
  <cacheFields count="8">
    <cacheField name="EMPRESA" numFmtId="0">
      <sharedItems/>
    </cacheField>
    <cacheField name="PLACA" numFmtId="0">
      <sharedItems/>
    </cacheField>
    <cacheField name="INTERNO" numFmtId="0">
      <sharedItems containsSemiMixedTypes="0" containsString="0" containsNumber="1" containsInteger="1" minValue="5006" maxValue="7199"/>
    </cacheField>
    <cacheField name="TIPO BUS" numFmtId="0">
      <sharedItems count="4">
        <s v="A2"/>
        <s v="B2"/>
        <s v="BE"/>
        <s v="BPAL" u="1"/>
      </sharedItems>
    </cacheField>
    <cacheField name="TIPO FLOTA" numFmtId="0">
      <sharedItems count="3">
        <s v="FOB"/>
        <s v="FR"/>
        <s v="FS" u="1"/>
      </sharedItems>
    </cacheField>
    <cacheField name="MARCA CHASIS" numFmtId="0">
      <sharedItems count="3">
        <s v="VOLVO"/>
        <s v="MERCEDES BENZ"/>
        <s v="FOTON"/>
      </sharedItems>
    </cacheField>
    <cacheField name="TERMINAL OP" numFmtId="0">
      <sharedItems/>
    </cacheField>
    <cacheField name="Inicio Operación" numFmtId="0">
      <sharedItems containsSemiMixedTypes="0" containsNonDate="0" containsDate="1" containsString="0" minDate="2023-02-25T00:00:00" maxDate="2025-02-0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m/>
    <m/>
    <x v="0"/>
    <x v="0"/>
    <x v="0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0">
  <r>
    <x v="0"/>
    <s v="SHCX61"/>
    <n v="5001"/>
    <x v="0"/>
    <x v="0"/>
    <x v="0"/>
    <x v="0"/>
    <x v="0"/>
    <d v="2023-02-25T00:00:00"/>
    <s v="SUMINISTRO"/>
    <x v="0"/>
    <s v="A. LUCO"/>
    <m/>
    <s v="A2-VOLVO"/>
    <n v="2"/>
    <n v="2023"/>
    <n v="77"/>
  </r>
  <r>
    <x v="0"/>
    <s v="SHCX44"/>
    <n v="5002"/>
    <x v="0"/>
    <x v="0"/>
    <x v="0"/>
    <x v="0"/>
    <x v="0"/>
    <d v="2023-02-25T00:00:00"/>
    <s v="SUMINISTRO"/>
    <x v="0"/>
    <s v="A. LUCO"/>
    <m/>
    <s v="A2-VOLVO"/>
    <n v="2"/>
    <n v="2023"/>
    <n v="77"/>
  </r>
  <r>
    <x v="0"/>
    <s v="SHCY41"/>
    <n v="5003"/>
    <x v="0"/>
    <x v="0"/>
    <x v="0"/>
    <x v="0"/>
    <x v="0"/>
    <d v="2023-02-25T00:00:00"/>
    <s v="SUMINISTRO"/>
    <x v="0"/>
    <s v="A. LUCO"/>
    <m/>
    <s v="A2-VOLVO"/>
    <n v="2"/>
    <n v="2023"/>
    <n v="77"/>
  </r>
  <r>
    <x v="0"/>
    <s v="SHCY56"/>
    <n v="5004"/>
    <x v="0"/>
    <x v="0"/>
    <x v="0"/>
    <x v="0"/>
    <x v="0"/>
    <d v="2023-02-25T00:00:00"/>
    <s v="SUMINISTRO"/>
    <x v="0"/>
    <s v="A. LUCO"/>
    <m/>
    <s v="A2-VOLVO"/>
    <n v="2"/>
    <n v="2023"/>
    <n v="77"/>
  </r>
  <r>
    <x v="0"/>
    <s v="SHXF37"/>
    <n v="5005"/>
    <x v="0"/>
    <x v="0"/>
    <x v="0"/>
    <x v="0"/>
    <x v="0"/>
    <d v="2023-02-25T00:00:00"/>
    <s v="SUMINISTRO"/>
    <x v="0"/>
    <s v="A. LUCO"/>
    <m/>
    <s v="A2-VOLVO"/>
    <n v="2"/>
    <n v="2023"/>
    <n v="77"/>
  </r>
  <r>
    <x v="0"/>
    <s v="TPWW72"/>
    <n v="5023"/>
    <x v="0"/>
    <x v="0"/>
    <x v="0"/>
    <x v="0"/>
    <x v="0"/>
    <d v="2024-09-02T00:00:00"/>
    <s v="SUMINISTRO"/>
    <x v="0"/>
    <s v="A. LUCO"/>
    <m/>
    <s v="A2-VOLVO"/>
    <n v="9"/>
    <n v="2024"/>
    <n v="77"/>
  </r>
  <r>
    <x v="0"/>
    <s v="FLXR78"/>
    <n v="6000"/>
    <x v="1"/>
    <x v="0"/>
    <x v="1"/>
    <x v="0"/>
    <x v="0"/>
    <d v="2023-03-18T00:00:00"/>
    <s v="PROVISIÓN"/>
    <x v="0"/>
    <s v="A. LUCO"/>
    <m/>
    <s v="BPAL-MERCEDES BENZ"/>
    <n v="3"/>
    <n v="2023"/>
    <n v="90"/>
  </r>
  <r>
    <x v="0"/>
    <s v="FLXR79"/>
    <n v="6001"/>
    <x v="1"/>
    <x v="0"/>
    <x v="1"/>
    <x v="0"/>
    <x v="0"/>
    <d v="2023-03-18T00:00:00"/>
    <s v="PROVISIÓN"/>
    <x v="0"/>
    <s v="A. LUCO"/>
    <m/>
    <s v="BPAL-MERCEDES BENZ"/>
    <n v="3"/>
    <n v="2023"/>
    <n v="90"/>
  </r>
  <r>
    <x v="0"/>
    <s v="FLXR80"/>
    <n v="6002"/>
    <x v="1"/>
    <x v="0"/>
    <x v="1"/>
    <x v="0"/>
    <x v="0"/>
    <d v="2023-03-18T00:00:00"/>
    <s v="PROVISIÓN"/>
    <x v="0"/>
    <s v="A. LUCO"/>
    <m/>
    <s v="BPAL-MERCEDES BENZ"/>
    <n v="3"/>
    <n v="2023"/>
    <n v="90"/>
  </r>
  <r>
    <x v="0"/>
    <s v="FLXR81"/>
    <n v="6003"/>
    <x v="1"/>
    <x v="0"/>
    <x v="1"/>
    <x v="0"/>
    <x v="0"/>
    <d v="2023-03-18T00:00:00"/>
    <s v="PROVISIÓN"/>
    <x v="0"/>
    <s v="A. LUCO"/>
    <m/>
    <s v="BPAL-MERCEDES BENZ"/>
    <n v="3"/>
    <n v="2023"/>
    <n v="90"/>
  </r>
  <r>
    <x v="0"/>
    <s v="FLXR82"/>
    <n v="6004"/>
    <x v="1"/>
    <x v="0"/>
    <x v="1"/>
    <x v="0"/>
    <x v="0"/>
    <d v="2023-03-18T00:00:00"/>
    <s v="PROVISIÓN"/>
    <x v="0"/>
    <s v="A. LUCO"/>
    <m/>
    <s v="BPAL-MERCEDES BENZ"/>
    <n v="3"/>
    <n v="2023"/>
    <n v="90"/>
  </r>
  <r>
    <x v="0"/>
    <s v="FLXR83"/>
    <n v="6005"/>
    <x v="1"/>
    <x v="0"/>
    <x v="1"/>
    <x v="0"/>
    <x v="0"/>
    <d v="2023-03-18T00:00:00"/>
    <s v="PROVISIÓN"/>
    <x v="0"/>
    <s v="A. LUCO"/>
    <m/>
    <s v="BPAL-MERCEDES BENZ"/>
    <n v="3"/>
    <n v="2023"/>
    <n v="90"/>
  </r>
  <r>
    <x v="0"/>
    <s v="FLXR85"/>
    <n v="6007"/>
    <x v="1"/>
    <x v="0"/>
    <x v="1"/>
    <x v="0"/>
    <x v="0"/>
    <d v="2023-03-18T00:00:00"/>
    <s v="PROVISIÓN"/>
    <x v="0"/>
    <s v="A. LUCO"/>
    <m/>
    <s v="BPAL-MERCEDES BENZ"/>
    <n v="3"/>
    <n v="2023"/>
    <n v="90"/>
  </r>
  <r>
    <x v="0"/>
    <s v="FLXR86"/>
    <n v="6008"/>
    <x v="1"/>
    <x v="0"/>
    <x v="1"/>
    <x v="0"/>
    <x v="0"/>
    <d v="2023-03-18T00:00:00"/>
    <s v="PROVISIÓN"/>
    <x v="0"/>
    <s v="A. LUCO"/>
    <m/>
    <s v="BPAL-MERCEDES BENZ"/>
    <n v="3"/>
    <n v="2023"/>
    <n v="90"/>
  </r>
  <r>
    <x v="0"/>
    <s v="FLXR89"/>
    <n v="6011"/>
    <x v="1"/>
    <x v="1"/>
    <x v="1"/>
    <x v="0"/>
    <x v="0"/>
    <d v="2023-03-18T00:00:00"/>
    <s v="PROVISIÓN"/>
    <x v="0"/>
    <s v="A. LUCO"/>
    <m/>
    <s v="BPAL-MERCEDES BENZ"/>
    <n v="3"/>
    <n v="2023"/>
    <n v="90"/>
  </r>
  <r>
    <x v="0"/>
    <s v="FLXR90"/>
    <n v="6012"/>
    <x v="1"/>
    <x v="0"/>
    <x v="1"/>
    <x v="0"/>
    <x v="0"/>
    <d v="2023-03-18T00:00:00"/>
    <s v="PROVISIÓN"/>
    <x v="0"/>
    <s v="A. LUCO"/>
    <m/>
    <s v="BPAL-MERCEDES BENZ"/>
    <n v="3"/>
    <n v="2023"/>
    <n v="90"/>
  </r>
  <r>
    <x v="0"/>
    <s v="FLXR91"/>
    <n v="6013"/>
    <x v="1"/>
    <x v="0"/>
    <x v="1"/>
    <x v="0"/>
    <x v="0"/>
    <d v="2023-03-18T00:00:00"/>
    <s v="PROVISIÓN"/>
    <x v="0"/>
    <s v="A. LUCO"/>
    <m/>
    <s v="BPAL-MERCEDES BENZ"/>
    <n v="3"/>
    <n v="2023"/>
    <n v="90"/>
  </r>
  <r>
    <x v="0"/>
    <s v="FLXR92"/>
    <n v="6014"/>
    <x v="1"/>
    <x v="0"/>
    <x v="1"/>
    <x v="0"/>
    <x v="0"/>
    <d v="2023-03-18T00:00:00"/>
    <s v="PROVISIÓN"/>
    <x v="0"/>
    <s v="A. LUCO"/>
    <m/>
    <s v="BPAL-MERCEDES BENZ"/>
    <n v="3"/>
    <n v="2023"/>
    <n v="90"/>
  </r>
  <r>
    <x v="0"/>
    <s v="FLXR93"/>
    <n v="6015"/>
    <x v="1"/>
    <x v="0"/>
    <x v="1"/>
    <x v="0"/>
    <x v="0"/>
    <d v="2023-03-18T00:00:00"/>
    <s v="PROVISIÓN"/>
    <x v="0"/>
    <s v="A. LUCO"/>
    <m/>
    <s v="BPAL-MERCEDES BENZ"/>
    <n v="3"/>
    <n v="2023"/>
    <n v="90"/>
  </r>
  <r>
    <x v="0"/>
    <s v="FLXR73"/>
    <n v="6016"/>
    <x v="1"/>
    <x v="2"/>
    <x v="1"/>
    <x v="0"/>
    <x v="0"/>
    <d v="2023-04-08T00:00:00"/>
    <s v="PROVISIÓN"/>
    <x v="0"/>
    <s v="A. LUCO"/>
    <m/>
    <s v="BPAL-MERCEDES BENZ"/>
    <n v="4"/>
    <n v="2023"/>
    <n v="90"/>
  </r>
  <r>
    <x v="0"/>
    <s v="FLXR74"/>
    <n v="6017"/>
    <x v="1"/>
    <x v="2"/>
    <x v="1"/>
    <x v="0"/>
    <x v="0"/>
    <d v="2023-04-08T00:00:00"/>
    <s v="PROVISIÓN"/>
    <x v="0"/>
    <s v="A. LUCO"/>
    <m/>
    <s v="BPAL-MERCEDES BENZ"/>
    <n v="4"/>
    <n v="2023"/>
    <n v="90"/>
  </r>
  <r>
    <x v="0"/>
    <s v="FLXR75"/>
    <n v="6018"/>
    <x v="1"/>
    <x v="2"/>
    <x v="1"/>
    <x v="0"/>
    <x v="0"/>
    <d v="2023-04-08T00:00:00"/>
    <s v="PROVISIÓN"/>
    <x v="0"/>
    <s v="A. LUCO"/>
    <m/>
    <s v="BPAL-MERCEDES BENZ"/>
    <n v="4"/>
    <n v="2023"/>
    <n v="90"/>
  </r>
  <r>
    <x v="0"/>
    <s v="FLXR76"/>
    <n v="6019"/>
    <x v="1"/>
    <x v="2"/>
    <x v="1"/>
    <x v="0"/>
    <x v="0"/>
    <d v="2023-04-08T00:00:00"/>
    <s v="PROVISIÓN"/>
    <x v="0"/>
    <s v="A. LUCO"/>
    <m/>
    <s v="BPAL-MERCEDES BENZ"/>
    <n v="4"/>
    <n v="2023"/>
    <n v="90"/>
  </r>
  <r>
    <x v="0"/>
    <s v="FLXR77"/>
    <n v="6020"/>
    <x v="1"/>
    <x v="2"/>
    <x v="1"/>
    <x v="0"/>
    <x v="0"/>
    <d v="2023-04-08T00:00:00"/>
    <s v="PROVISIÓN"/>
    <x v="0"/>
    <s v="A. LUCO"/>
    <s v="BUS PRÉSTAMO DE PIE ANDINO"/>
    <s v="BPAL-MERCEDES BENZ"/>
    <n v="4"/>
    <n v="2023"/>
    <n v="90"/>
  </r>
  <r>
    <x v="0"/>
    <s v="FLXS32"/>
    <n v="6021"/>
    <x v="1"/>
    <x v="2"/>
    <x v="1"/>
    <x v="0"/>
    <x v="0"/>
    <d v="2023-04-08T00:00:00"/>
    <s v="PROVISIÓN"/>
    <x v="0"/>
    <s v="A. LUCO"/>
    <s v="BUS PRÉSTAMO DE PIE ANDINO"/>
    <s v="BPAL-MERCEDES BENZ"/>
    <n v="4"/>
    <n v="2023"/>
    <n v="90"/>
  </r>
  <r>
    <x v="0"/>
    <s v="FLXS33"/>
    <n v="6022"/>
    <x v="1"/>
    <x v="2"/>
    <x v="1"/>
    <x v="0"/>
    <x v="0"/>
    <d v="2023-04-08T00:00:00"/>
    <s v="PROVISIÓN"/>
    <x v="0"/>
    <s v="A. LUCO"/>
    <m/>
    <s v="BPAL-MERCEDES BENZ"/>
    <n v="4"/>
    <n v="2023"/>
    <n v="90"/>
  </r>
  <r>
    <x v="0"/>
    <s v="FLXS38"/>
    <n v="6023"/>
    <x v="1"/>
    <x v="2"/>
    <x v="1"/>
    <x v="0"/>
    <x v="0"/>
    <d v="2023-04-08T00:00:00"/>
    <s v="PROVISIÓN"/>
    <x v="0"/>
    <s v="A. LUCO"/>
    <s v="BUS PRÉSTAMO DE PIE ANDINO"/>
    <s v="BPAL-MERCEDES BENZ"/>
    <n v="4"/>
    <n v="2023"/>
    <n v="90"/>
  </r>
  <r>
    <x v="0"/>
    <s v="FLXS39"/>
    <n v="6024"/>
    <x v="1"/>
    <x v="2"/>
    <x v="1"/>
    <x v="0"/>
    <x v="0"/>
    <d v="2023-04-08T00:00:00"/>
    <s v="PROVISIÓN"/>
    <x v="0"/>
    <s v="A. LUCO"/>
    <m/>
    <s v="BPAL-MERCEDES BENZ"/>
    <n v="4"/>
    <n v="2023"/>
    <n v="90"/>
  </r>
  <r>
    <x v="0"/>
    <s v="FLXS40"/>
    <n v="6025"/>
    <x v="1"/>
    <x v="2"/>
    <x v="1"/>
    <x v="0"/>
    <x v="0"/>
    <d v="2023-04-08T00:00:00"/>
    <s v="PROVISIÓN"/>
    <x v="0"/>
    <s v="A. LUCO"/>
    <m/>
    <s v="BPAL-MERCEDES BENZ"/>
    <n v="4"/>
    <n v="2023"/>
    <n v="90"/>
  </r>
  <r>
    <x v="0"/>
    <s v="FLXS41"/>
    <n v="6026"/>
    <x v="1"/>
    <x v="2"/>
    <x v="1"/>
    <x v="0"/>
    <x v="0"/>
    <d v="2023-04-08T00:00:00"/>
    <s v="PROVISIÓN"/>
    <x v="0"/>
    <s v="A. LUCO"/>
    <s v="BUS PRÉSTAMO DE PIE ANDINO"/>
    <s v="BPAL-MERCEDES BENZ"/>
    <n v="4"/>
    <n v="2023"/>
    <n v="90"/>
  </r>
  <r>
    <x v="0"/>
    <s v="SHCW61"/>
    <n v="6093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CW64"/>
    <n v="6096"/>
    <x v="2"/>
    <x v="1"/>
    <x v="0"/>
    <x v="0"/>
    <x v="0"/>
    <d v="2023-02-25T00:00:00"/>
    <s v="SUMINISTRO"/>
    <x v="0"/>
    <s v="A. LUCO"/>
    <m/>
    <s v="B2-VOLVO"/>
    <n v="2"/>
    <n v="2023"/>
    <n v="96"/>
  </r>
  <r>
    <x v="0"/>
    <s v="SHCW71"/>
    <n v="6101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CW75"/>
    <n v="6104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CW76"/>
    <n v="6105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CW77"/>
    <n v="6106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CW79"/>
    <n v="6108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CX26"/>
    <n v="6111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CX27"/>
    <n v="6112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CX29"/>
    <n v="6114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CX30"/>
    <n v="6115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CX31"/>
    <n v="6116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CX34"/>
    <n v="6119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CX35"/>
    <n v="6120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XD87"/>
    <n v="6122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XD90"/>
    <n v="6124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XD93"/>
    <n v="6127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XD94"/>
    <n v="6128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XD95"/>
    <n v="6129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XF21"/>
    <n v="6130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XF42"/>
    <n v="6131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XF43"/>
    <n v="6132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XG18"/>
    <n v="6134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XG90"/>
    <n v="6135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XG91"/>
    <n v="6136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XG94"/>
    <n v="6139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JPC31"/>
    <n v="6141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JPC33"/>
    <n v="6142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JPC34"/>
    <n v="6143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KPP55"/>
    <n v="6153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XD86"/>
    <n v="6155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HXF20"/>
    <n v="6156"/>
    <x v="2"/>
    <x v="0"/>
    <x v="0"/>
    <x v="0"/>
    <x v="0"/>
    <d v="2023-02-25T00:00:00"/>
    <s v="SUMINISTRO"/>
    <x v="0"/>
    <s v="A. LUCO"/>
    <m/>
    <s v="B2-VOLVO"/>
    <n v="2"/>
    <n v="2023"/>
    <n v="96"/>
  </r>
  <r>
    <x v="0"/>
    <s v="SKPH71"/>
    <n v="6160"/>
    <x v="2"/>
    <x v="0"/>
    <x v="0"/>
    <x v="0"/>
    <x v="0"/>
    <d v="2023-02-25T00:00:00"/>
    <s v="SUMINISTRO"/>
    <x v="0"/>
    <s v="A. LUCO"/>
    <m/>
    <s v="B2-VOLVO"/>
    <n v="2"/>
    <n v="2023"/>
    <n v="96"/>
  </r>
  <r>
    <x v="1"/>
    <s v="SHCX53"/>
    <n v="1000"/>
    <x v="0"/>
    <x v="0"/>
    <x v="0"/>
    <x v="1"/>
    <x v="1"/>
    <d v="2022-12-17T00:00:00"/>
    <s v="SUMINISTRO"/>
    <x v="1"/>
    <s v="CONDELL"/>
    <m/>
    <s v="A2-VOLVO"/>
    <n v="12"/>
    <n v="2022"/>
    <n v="77"/>
  </r>
  <r>
    <x v="1"/>
    <s v="SHCY10"/>
    <n v="1001"/>
    <x v="0"/>
    <x v="0"/>
    <x v="0"/>
    <x v="1"/>
    <x v="1"/>
    <d v="2022-12-17T00:00:00"/>
    <s v="SUMINISTRO"/>
    <x v="1"/>
    <s v="CONDELL"/>
    <m/>
    <s v="A2-VOLVO"/>
    <n v="12"/>
    <n v="2022"/>
    <n v="77"/>
  </r>
  <r>
    <x v="1"/>
    <s v="SHXF83"/>
    <n v="1018"/>
    <x v="0"/>
    <x v="0"/>
    <x v="0"/>
    <x v="1"/>
    <x v="1"/>
    <d v="2023-01-07T00:00:00"/>
    <s v="SUMINISTRO"/>
    <x v="1"/>
    <s v="CONDELL"/>
    <m/>
    <s v="A2-VOLVO"/>
    <n v="1"/>
    <n v="2023"/>
    <n v="77"/>
  </r>
  <r>
    <x v="1"/>
    <s v="SHXG99"/>
    <n v="1019"/>
    <x v="0"/>
    <x v="0"/>
    <x v="0"/>
    <x v="1"/>
    <x v="1"/>
    <d v="2023-01-07T00:00:00"/>
    <s v="SUMINISTRO"/>
    <x v="1"/>
    <s v="CONDELL"/>
    <m/>
    <s v="A2-VOLVO"/>
    <n v="1"/>
    <n v="2023"/>
    <n v="77"/>
  </r>
  <r>
    <x v="1"/>
    <s v="SHCY62"/>
    <n v="1020"/>
    <x v="0"/>
    <x v="0"/>
    <x v="0"/>
    <x v="1"/>
    <x v="1"/>
    <d v="2023-01-07T00:00:00"/>
    <s v="SUMINISTRO"/>
    <x v="1"/>
    <s v="CONDELL"/>
    <m/>
    <s v="A2-VOLVO"/>
    <n v="1"/>
    <n v="2023"/>
    <n v="77"/>
  </r>
  <r>
    <x v="1"/>
    <s v="SHCY45"/>
    <n v="1021"/>
    <x v="0"/>
    <x v="0"/>
    <x v="0"/>
    <x v="1"/>
    <x v="1"/>
    <d v="2023-01-07T00:00:00"/>
    <s v="SUMINISTRO"/>
    <x v="1"/>
    <s v="CONDELL"/>
    <m/>
    <s v="A2-VOLVO"/>
    <n v="1"/>
    <n v="2023"/>
    <n v="77"/>
  </r>
  <r>
    <x v="1"/>
    <s v="SHCY44"/>
    <n v="1022"/>
    <x v="0"/>
    <x v="0"/>
    <x v="0"/>
    <x v="1"/>
    <x v="1"/>
    <d v="2023-01-07T00:00:00"/>
    <s v="SUMINISTRO"/>
    <x v="1"/>
    <s v="CONDELL"/>
    <m/>
    <s v="A2-VOLVO"/>
    <n v="1"/>
    <n v="2023"/>
    <n v="77"/>
  </r>
  <r>
    <x v="1"/>
    <s v="SHCY43"/>
    <n v="1023"/>
    <x v="0"/>
    <x v="1"/>
    <x v="0"/>
    <x v="1"/>
    <x v="1"/>
    <d v="2023-01-07T00:00:00"/>
    <s v="SUMINISTRO"/>
    <x v="1"/>
    <s v="CONDELL"/>
    <m/>
    <s v="A2-VOLVO"/>
    <n v="1"/>
    <n v="2023"/>
    <n v="77"/>
  </r>
  <r>
    <x v="1"/>
    <s v="SHXD83"/>
    <n v="1028"/>
    <x v="0"/>
    <x v="0"/>
    <x v="0"/>
    <x v="1"/>
    <x v="1"/>
    <d v="2023-01-07T00:00:00"/>
    <s v="SUMINISTRO"/>
    <x v="1"/>
    <s v="CONDELL"/>
    <m/>
    <s v="A2-VOLVO"/>
    <n v="1"/>
    <n v="2023"/>
    <n v="77"/>
  </r>
  <r>
    <x v="1"/>
    <s v="SHCY38"/>
    <n v="1029"/>
    <x v="0"/>
    <x v="0"/>
    <x v="0"/>
    <x v="1"/>
    <x v="1"/>
    <d v="2023-01-07T00:00:00"/>
    <s v="SUMINISTRO"/>
    <x v="1"/>
    <s v="CONDELL"/>
    <m/>
    <s v="A2-VOLVO"/>
    <n v="1"/>
    <n v="2023"/>
    <n v="77"/>
  </r>
  <r>
    <x v="1"/>
    <s v="LDJP73"/>
    <n v="2084"/>
    <x v="2"/>
    <x v="0"/>
    <x v="1"/>
    <x v="1"/>
    <x v="1"/>
    <d v="2023-01-07T00:00:00"/>
    <s v="PROVISIÓN"/>
    <x v="1"/>
    <s v="CONDELL"/>
    <m/>
    <s v="B2-MERCEDES BENZ"/>
    <n v="1"/>
    <n v="2023"/>
    <n v="95"/>
  </r>
  <r>
    <x v="1"/>
    <s v="LDJV43"/>
    <n v="2085"/>
    <x v="2"/>
    <x v="0"/>
    <x v="1"/>
    <x v="1"/>
    <x v="1"/>
    <d v="2023-01-07T00:00:00"/>
    <s v="PROVISIÓN"/>
    <x v="1"/>
    <s v="CONDELL"/>
    <m/>
    <s v="B2-MERCEDES BENZ"/>
    <n v="1"/>
    <n v="2023"/>
    <n v="95"/>
  </r>
  <r>
    <x v="1"/>
    <s v="LDJV46"/>
    <n v="2088"/>
    <x v="2"/>
    <x v="0"/>
    <x v="1"/>
    <x v="1"/>
    <x v="1"/>
    <d v="2023-01-07T00:00:00"/>
    <s v="PROVISIÓN"/>
    <x v="1"/>
    <s v="CONDELL"/>
    <m/>
    <s v="B2-MERCEDES BENZ"/>
    <n v="1"/>
    <n v="2023"/>
    <n v="95"/>
  </r>
  <r>
    <x v="1"/>
    <s v="LDJV48"/>
    <n v="2089"/>
    <x v="2"/>
    <x v="0"/>
    <x v="1"/>
    <x v="1"/>
    <x v="1"/>
    <d v="2023-01-07T00:00:00"/>
    <s v="PROVISIÓN"/>
    <x v="1"/>
    <s v="CONDELL"/>
    <m/>
    <s v="B2-MERCEDES BENZ"/>
    <n v="1"/>
    <n v="2023"/>
    <n v="95"/>
  </r>
  <r>
    <x v="1"/>
    <s v="LDJV49"/>
    <n v="2090"/>
    <x v="2"/>
    <x v="0"/>
    <x v="1"/>
    <x v="1"/>
    <x v="1"/>
    <d v="2023-01-07T00:00:00"/>
    <s v="PROVISIÓN"/>
    <x v="1"/>
    <s v="CONDELL"/>
    <m/>
    <s v="B2-MERCEDES BENZ"/>
    <n v="1"/>
    <n v="2023"/>
    <n v="95"/>
  </r>
  <r>
    <x v="1"/>
    <s v="LDJV50"/>
    <n v="2091"/>
    <x v="2"/>
    <x v="0"/>
    <x v="1"/>
    <x v="1"/>
    <x v="1"/>
    <d v="2023-01-07T00:00:00"/>
    <s v="PROVISIÓN"/>
    <x v="1"/>
    <s v="CONDELL"/>
    <m/>
    <s v="B2-MERCEDES BENZ"/>
    <n v="1"/>
    <n v="2023"/>
    <n v="95"/>
  </r>
  <r>
    <x v="1"/>
    <s v="LDJV51"/>
    <n v="2092"/>
    <x v="2"/>
    <x v="0"/>
    <x v="1"/>
    <x v="1"/>
    <x v="1"/>
    <d v="2023-01-07T00:00:00"/>
    <s v="PROVISIÓN"/>
    <x v="1"/>
    <s v="CONDELL"/>
    <m/>
    <s v="B2-MERCEDES BENZ"/>
    <n v="1"/>
    <n v="2023"/>
    <n v="95"/>
  </r>
  <r>
    <x v="1"/>
    <s v="LDJV52"/>
    <n v="2093"/>
    <x v="2"/>
    <x v="0"/>
    <x v="1"/>
    <x v="1"/>
    <x v="1"/>
    <d v="2023-01-07T00:00:00"/>
    <s v="PROVISIÓN"/>
    <x v="1"/>
    <s v="CONDELL"/>
    <m/>
    <s v="B2-MERCEDES BENZ"/>
    <n v="1"/>
    <n v="2023"/>
    <n v="95"/>
  </r>
  <r>
    <x v="1"/>
    <s v="LDJW29"/>
    <n v="2094"/>
    <x v="2"/>
    <x v="0"/>
    <x v="1"/>
    <x v="1"/>
    <x v="1"/>
    <d v="2023-01-07T00:00:00"/>
    <s v="PROVISIÓN"/>
    <x v="1"/>
    <s v="CONDELL"/>
    <m/>
    <s v="B2-MERCEDES BENZ"/>
    <n v="1"/>
    <n v="2023"/>
    <n v="95"/>
  </r>
  <r>
    <x v="1"/>
    <s v="LDJW30"/>
    <n v="2095"/>
    <x v="2"/>
    <x v="0"/>
    <x v="1"/>
    <x v="1"/>
    <x v="1"/>
    <d v="2023-01-07T00:00:00"/>
    <s v="PROVISIÓN"/>
    <x v="1"/>
    <s v="CONDELL"/>
    <m/>
    <s v="B2-MERCEDES BENZ"/>
    <n v="1"/>
    <n v="2023"/>
    <n v="95"/>
  </r>
  <r>
    <x v="1"/>
    <s v="LDJW31"/>
    <n v="2096"/>
    <x v="2"/>
    <x v="0"/>
    <x v="1"/>
    <x v="1"/>
    <x v="1"/>
    <d v="2023-01-07T00:00:00"/>
    <s v="PROVISIÓN"/>
    <x v="1"/>
    <s v="CONDELL"/>
    <m/>
    <s v="B2-MERCEDES BENZ"/>
    <n v="1"/>
    <n v="2023"/>
    <n v="95"/>
  </r>
  <r>
    <x v="1"/>
    <s v="LDJW48"/>
    <n v="2111"/>
    <x v="2"/>
    <x v="0"/>
    <x v="1"/>
    <x v="1"/>
    <x v="1"/>
    <d v="2023-01-07T00:00:00"/>
    <s v="PROVISIÓN"/>
    <x v="1"/>
    <s v="CONDELL"/>
    <m/>
    <s v="B2-MERCEDES BENZ"/>
    <n v="1"/>
    <n v="2023"/>
    <n v="95"/>
  </r>
  <r>
    <x v="1"/>
    <s v="SJTD55"/>
    <n v="3000"/>
    <x v="3"/>
    <x v="1"/>
    <x v="2"/>
    <x v="1"/>
    <x v="1"/>
    <d v="2023-01-07T00:00:00"/>
    <s v="SUMINISTRO"/>
    <x v="1"/>
    <s v="CONDELL"/>
    <m/>
    <s v="BE-FOTON"/>
    <n v="1"/>
    <n v="2023"/>
    <n v="90"/>
  </r>
  <r>
    <x v="1"/>
    <s v="SJTD56"/>
    <n v="3001"/>
    <x v="3"/>
    <x v="1"/>
    <x v="2"/>
    <x v="1"/>
    <x v="1"/>
    <d v="2023-01-07T00:00:00"/>
    <s v="SUMINISTRO"/>
    <x v="1"/>
    <s v="CONDELL"/>
    <m/>
    <s v="BE-FOTON"/>
    <n v="1"/>
    <n v="2023"/>
    <n v="90"/>
  </r>
  <r>
    <x v="1"/>
    <s v="SJTD57"/>
    <n v="3002"/>
    <x v="3"/>
    <x v="1"/>
    <x v="2"/>
    <x v="1"/>
    <x v="1"/>
    <d v="2023-01-07T00:00:00"/>
    <s v="SUMINISTRO"/>
    <x v="1"/>
    <s v="CONDELL"/>
    <m/>
    <s v="BE-FOTON"/>
    <n v="1"/>
    <n v="2023"/>
    <n v="90"/>
  </r>
  <r>
    <x v="1"/>
    <s v="SJTD61"/>
    <n v="3004"/>
    <x v="3"/>
    <x v="1"/>
    <x v="2"/>
    <x v="1"/>
    <x v="1"/>
    <d v="2023-01-07T00:00:00"/>
    <s v="SUMINISTRO"/>
    <x v="1"/>
    <s v="CONDELL"/>
    <m/>
    <s v="BE-FOTON"/>
    <n v="1"/>
    <n v="2023"/>
    <n v="90"/>
  </r>
  <r>
    <x v="1"/>
    <s v="SJTD62"/>
    <n v="3005"/>
    <x v="3"/>
    <x v="1"/>
    <x v="2"/>
    <x v="1"/>
    <x v="1"/>
    <d v="2023-01-07T00:00:00"/>
    <s v="SUMINISTRO"/>
    <x v="1"/>
    <s v="CONDELL"/>
    <m/>
    <s v="BE-FOTON"/>
    <n v="1"/>
    <n v="2023"/>
    <n v="90"/>
  </r>
  <r>
    <x v="1"/>
    <s v="SJTD63"/>
    <n v="3006"/>
    <x v="3"/>
    <x v="1"/>
    <x v="2"/>
    <x v="1"/>
    <x v="1"/>
    <d v="2023-01-07T00:00:00"/>
    <s v="SUMINISTRO"/>
    <x v="1"/>
    <s v="CONDELL"/>
    <m/>
    <s v="BE-FOTON"/>
    <n v="1"/>
    <n v="2023"/>
    <n v="90"/>
  </r>
  <r>
    <x v="1"/>
    <s v="SJTD64"/>
    <n v="3007"/>
    <x v="3"/>
    <x v="1"/>
    <x v="2"/>
    <x v="1"/>
    <x v="1"/>
    <d v="2023-01-07T00:00:00"/>
    <s v="SUMINISTRO"/>
    <x v="1"/>
    <s v="CONDELL"/>
    <m/>
    <s v="BE-FOTON"/>
    <n v="1"/>
    <n v="2023"/>
    <n v="90"/>
  </r>
  <r>
    <x v="1"/>
    <s v="SJTD65"/>
    <n v="3008"/>
    <x v="3"/>
    <x v="1"/>
    <x v="2"/>
    <x v="1"/>
    <x v="1"/>
    <d v="2023-01-07T00:00:00"/>
    <s v="SUMINISTRO"/>
    <x v="1"/>
    <s v="CONDELL"/>
    <m/>
    <s v="BE-FOTON"/>
    <n v="1"/>
    <n v="2023"/>
    <n v="90"/>
  </r>
  <r>
    <x v="1"/>
    <s v="SJTD66"/>
    <n v="3009"/>
    <x v="3"/>
    <x v="1"/>
    <x v="2"/>
    <x v="1"/>
    <x v="1"/>
    <d v="2023-01-07T00:00:00"/>
    <s v="SUMINISTRO"/>
    <x v="1"/>
    <s v="CONDELL"/>
    <m/>
    <s v="BE-FOTON"/>
    <n v="1"/>
    <n v="2023"/>
    <n v="90"/>
  </r>
  <r>
    <x v="1"/>
    <s v="SKHF49"/>
    <n v="3010"/>
    <x v="3"/>
    <x v="0"/>
    <x v="2"/>
    <x v="1"/>
    <x v="1"/>
    <d v="2023-01-07T00:00:00"/>
    <s v="SUMINISTRO"/>
    <x v="1"/>
    <s v="CONDELL"/>
    <m/>
    <s v="BE-FOTON"/>
    <n v="1"/>
    <n v="2023"/>
    <n v="90"/>
  </r>
  <r>
    <x v="1"/>
    <s v="SKHF84"/>
    <n v="3011"/>
    <x v="3"/>
    <x v="0"/>
    <x v="2"/>
    <x v="1"/>
    <x v="1"/>
    <d v="2023-01-07T00:00:00"/>
    <s v="SUMINISTRO"/>
    <x v="1"/>
    <s v="CONDELL"/>
    <m/>
    <s v="BE-FOTON"/>
    <n v="1"/>
    <n v="2023"/>
    <n v="90"/>
  </r>
  <r>
    <x v="1"/>
    <s v="SKHF87"/>
    <n v="3012"/>
    <x v="3"/>
    <x v="0"/>
    <x v="2"/>
    <x v="1"/>
    <x v="1"/>
    <d v="2023-01-07T00:00:00"/>
    <s v="SUMINISTRO"/>
    <x v="1"/>
    <s v="CONDELL"/>
    <m/>
    <s v="BE-FOTON"/>
    <n v="1"/>
    <n v="2023"/>
    <n v="90"/>
  </r>
  <r>
    <x v="1"/>
    <s v="SKHF91"/>
    <n v="3013"/>
    <x v="3"/>
    <x v="0"/>
    <x v="2"/>
    <x v="1"/>
    <x v="1"/>
    <d v="2023-01-07T00:00:00"/>
    <s v="SUMINISTRO"/>
    <x v="1"/>
    <s v="CONDELL"/>
    <m/>
    <s v="BE-FOTON"/>
    <n v="1"/>
    <n v="2023"/>
    <n v="90"/>
  </r>
  <r>
    <x v="1"/>
    <s v="SKHF92"/>
    <n v="3014"/>
    <x v="3"/>
    <x v="0"/>
    <x v="2"/>
    <x v="1"/>
    <x v="1"/>
    <d v="2023-01-07T00:00:00"/>
    <s v="SUMINISTRO"/>
    <x v="1"/>
    <s v="CONDELL"/>
    <m/>
    <s v="BE-FOTON"/>
    <n v="1"/>
    <n v="2023"/>
    <n v="90"/>
  </r>
  <r>
    <x v="1"/>
    <s v="SKHG14"/>
    <n v="3015"/>
    <x v="3"/>
    <x v="0"/>
    <x v="2"/>
    <x v="1"/>
    <x v="1"/>
    <d v="2023-01-07T00:00:00"/>
    <s v="SUMINISTRO"/>
    <x v="1"/>
    <s v="CONDELL"/>
    <m/>
    <s v="BE-FOTON"/>
    <n v="1"/>
    <n v="2023"/>
    <n v="90"/>
  </r>
  <r>
    <x v="1"/>
    <s v="SKHG17"/>
    <n v="3016"/>
    <x v="3"/>
    <x v="0"/>
    <x v="2"/>
    <x v="1"/>
    <x v="1"/>
    <d v="2023-01-07T00:00:00"/>
    <s v="SUMINISTRO"/>
    <x v="1"/>
    <s v="CONDELL"/>
    <m/>
    <s v="BE-FOTON"/>
    <n v="1"/>
    <n v="2023"/>
    <n v="90"/>
  </r>
  <r>
    <x v="1"/>
    <s v="SKHG20"/>
    <n v="3017"/>
    <x v="3"/>
    <x v="0"/>
    <x v="2"/>
    <x v="1"/>
    <x v="1"/>
    <d v="2023-01-07T00:00:00"/>
    <s v="SUMINISTRO"/>
    <x v="1"/>
    <s v="CONDELL"/>
    <m/>
    <s v="BE-FOTON"/>
    <n v="1"/>
    <n v="2023"/>
    <n v="90"/>
  </r>
  <r>
    <x v="1"/>
    <s v="SKHG33"/>
    <n v="3018"/>
    <x v="3"/>
    <x v="0"/>
    <x v="2"/>
    <x v="1"/>
    <x v="1"/>
    <d v="2023-01-07T00:00:00"/>
    <s v="SUMINISTRO"/>
    <x v="1"/>
    <s v="CONDELL"/>
    <m/>
    <s v="BE-FOTON"/>
    <n v="1"/>
    <n v="2023"/>
    <n v="90"/>
  </r>
  <r>
    <x v="1"/>
    <s v="SKHG37"/>
    <n v="3019"/>
    <x v="3"/>
    <x v="0"/>
    <x v="2"/>
    <x v="1"/>
    <x v="1"/>
    <d v="2023-01-07T00:00:00"/>
    <s v="SUMINISTRO"/>
    <x v="1"/>
    <s v="CONDELL"/>
    <m/>
    <s v="BE-FOTON"/>
    <n v="1"/>
    <n v="2023"/>
    <n v="90"/>
  </r>
  <r>
    <x v="1"/>
    <s v="SKHG39"/>
    <n v="3020"/>
    <x v="3"/>
    <x v="0"/>
    <x v="2"/>
    <x v="1"/>
    <x v="1"/>
    <d v="2023-01-07T00:00:00"/>
    <s v="SUMINISTRO"/>
    <x v="1"/>
    <s v="CONDELL"/>
    <m/>
    <s v="BE-FOTON"/>
    <n v="1"/>
    <n v="2023"/>
    <n v="90"/>
  </r>
  <r>
    <x v="1"/>
    <s v="SKHG40"/>
    <n v="3021"/>
    <x v="3"/>
    <x v="0"/>
    <x v="2"/>
    <x v="1"/>
    <x v="1"/>
    <d v="2023-01-07T00:00:00"/>
    <s v="SUMINISTRO"/>
    <x v="1"/>
    <s v="CONDELL"/>
    <m/>
    <s v="BE-FOTON"/>
    <n v="1"/>
    <n v="2023"/>
    <n v="90"/>
  </r>
  <r>
    <x v="1"/>
    <s v="SKHG42"/>
    <n v="3022"/>
    <x v="3"/>
    <x v="0"/>
    <x v="2"/>
    <x v="1"/>
    <x v="1"/>
    <d v="2023-01-07T00:00:00"/>
    <s v="SUMINISTRO"/>
    <x v="1"/>
    <s v="CONDELL"/>
    <m/>
    <s v="BE-FOTON"/>
    <n v="1"/>
    <n v="2023"/>
    <n v="90"/>
  </r>
  <r>
    <x v="1"/>
    <s v="SKHG47"/>
    <n v="3023"/>
    <x v="3"/>
    <x v="0"/>
    <x v="2"/>
    <x v="1"/>
    <x v="2"/>
    <d v="2023-01-07T00:00:00"/>
    <s v="SUMINISTRO"/>
    <x v="1"/>
    <s v="CONDELL"/>
    <m/>
    <s v="BE-FOTON"/>
    <n v="1"/>
    <n v="2023"/>
    <n v="90"/>
  </r>
  <r>
    <x v="1"/>
    <s v="SKHG55"/>
    <n v="3024"/>
    <x v="3"/>
    <x v="0"/>
    <x v="2"/>
    <x v="1"/>
    <x v="2"/>
    <d v="2023-01-07T00:00:00"/>
    <s v="SUMINISTRO"/>
    <x v="1"/>
    <s v="CONDELL"/>
    <m/>
    <s v="BE-FOTON"/>
    <n v="1"/>
    <n v="2023"/>
    <n v="90"/>
  </r>
  <r>
    <x v="1"/>
    <s v="SKHG57"/>
    <n v="3025"/>
    <x v="3"/>
    <x v="0"/>
    <x v="2"/>
    <x v="1"/>
    <x v="2"/>
    <d v="2023-01-07T00:00:00"/>
    <s v="SUMINISTRO"/>
    <x v="1"/>
    <s v="CONDELL"/>
    <m/>
    <s v="BE-FOTON"/>
    <n v="1"/>
    <n v="2023"/>
    <n v="90"/>
  </r>
  <r>
    <x v="1"/>
    <s v="SKHG59"/>
    <n v="3026"/>
    <x v="3"/>
    <x v="0"/>
    <x v="2"/>
    <x v="1"/>
    <x v="2"/>
    <d v="2023-01-07T00:00:00"/>
    <s v="SUMINISTRO"/>
    <x v="1"/>
    <s v="CONDELL"/>
    <m/>
    <s v="BE-FOTON"/>
    <n v="1"/>
    <n v="2023"/>
    <n v="90"/>
  </r>
  <r>
    <x v="1"/>
    <s v="SKHG62"/>
    <n v="3027"/>
    <x v="3"/>
    <x v="0"/>
    <x v="2"/>
    <x v="1"/>
    <x v="2"/>
    <d v="2023-01-07T00:00:00"/>
    <s v="SUMINISTRO"/>
    <x v="1"/>
    <s v="CONDELL"/>
    <m/>
    <s v="BE-FOTON"/>
    <n v="1"/>
    <n v="2023"/>
    <n v="90"/>
  </r>
  <r>
    <x v="1"/>
    <s v="SKHG65"/>
    <n v="3028"/>
    <x v="3"/>
    <x v="0"/>
    <x v="2"/>
    <x v="1"/>
    <x v="2"/>
    <d v="2023-01-07T00:00:00"/>
    <s v="SUMINISTRO"/>
    <x v="1"/>
    <s v="CONDELL"/>
    <m/>
    <s v="BE-FOTON"/>
    <n v="1"/>
    <n v="2023"/>
    <n v="90"/>
  </r>
  <r>
    <x v="1"/>
    <s v="SKHG69"/>
    <n v="3029"/>
    <x v="3"/>
    <x v="0"/>
    <x v="2"/>
    <x v="1"/>
    <x v="2"/>
    <d v="2023-01-07T00:00:00"/>
    <s v="SUMINISTRO"/>
    <x v="1"/>
    <s v="CONDELL"/>
    <m/>
    <s v="BE-FOTON"/>
    <n v="1"/>
    <n v="2023"/>
    <n v="90"/>
  </r>
  <r>
    <x v="1"/>
    <s v="SKHG70"/>
    <n v="3030"/>
    <x v="3"/>
    <x v="0"/>
    <x v="2"/>
    <x v="1"/>
    <x v="2"/>
    <d v="2023-01-07T00:00:00"/>
    <s v="SUMINISTRO"/>
    <x v="1"/>
    <s v="CONDELL"/>
    <m/>
    <s v="BE-FOTON"/>
    <n v="1"/>
    <n v="2023"/>
    <n v="90"/>
  </r>
  <r>
    <x v="1"/>
    <s v="SKHG73"/>
    <n v="3031"/>
    <x v="3"/>
    <x v="0"/>
    <x v="2"/>
    <x v="1"/>
    <x v="2"/>
    <d v="2023-01-07T00:00:00"/>
    <s v="SUMINISTRO"/>
    <x v="1"/>
    <s v="CONDELL"/>
    <m/>
    <s v="BE-FOTON"/>
    <n v="1"/>
    <n v="2023"/>
    <n v="90"/>
  </r>
  <r>
    <x v="1"/>
    <s v="SKHG74"/>
    <n v="3032"/>
    <x v="3"/>
    <x v="0"/>
    <x v="2"/>
    <x v="1"/>
    <x v="2"/>
    <d v="2023-01-07T00:00:00"/>
    <s v="SUMINISTRO"/>
    <x v="1"/>
    <s v="CONDELL"/>
    <m/>
    <s v="BE-FOTON"/>
    <n v="1"/>
    <n v="2023"/>
    <n v="90"/>
  </r>
  <r>
    <x v="1"/>
    <s v="SKHG79"/>
    <n v="3033"/>
    <x v="3"/>
    <x v="0"/>
    <x v="2"/>
    <x v="1"/>
    <x v="2"/>
    <d v="2023-01-07T00:00:00"/>
    <s v="SUMINISTRO"/>
    <x v="1"/>
    <s v="CONDELL"/>
    <m/>
    <s v="BE-FOTON"/>
    <n v="1"/>
    <n v="2023"/>
    <n v="90"/>
  </r>
  <r>
    <x v="1"/>
    <s v="SKHG80"/>
    <n v="3034"/>
    <x v="3"/>
    <x v="0"/>
    <x v="2"/>
    <x v="1"/>
    <x v="2"/>
    <d v="2023-01-07T00:00:00"/>
    <s v="SUMINISTRO"/>
    <x v="1"/>
    <s v="CONDELL"/>
    <m/>
    <s v="BE-FOTON"/>
    <n v="1"/>
    <n v="2023"/>
    <n v="90"/>
  </r>
  <r>
    <x v="1"/>
    <s v="SKHG82"/>
    <n v="3035"/>
    <x v="3"/>
    <x v="0"/>
    <x v="2"/>
    <x v="1"/>
    <x v="2"/>
    <d v="2023-01-07T00:00:00"/>
    <s v="SUMINISTRO"/>
    <x v="1"/>
    <s v="CONDELL"/>
    <m/>
    <s v="BE-FOTON"/>
    <n v="1"/>
    <n v="2023"/>
    <n v="90"/>
  </r>
  <r>
    <x v="1"/>
    <s v="SKHG85"/>
    <n v="3036"/>
    <x v="3"/>
    <x v="0"/>
    <x v="2"/>
    <x v="1"/>
    <x v="2"/>
    <d v="2023-01-07T00:00:00"/>
    <s v="SUMINISTRO"/>
    <x v="1"/>
    <s v="CONDELL"/>
    <m/>
    <s v="BE-FOTON"/>
    <n v="1"/>
    <n v="2023"/>
    <n v="90"/>
  </r>
  <r>
    <x v="1"/>
    <s v="SKHG89"/>
    <n v="3037"/>
    <x v="3"/>
    <x v="0"/>
    <x v="2"/>
    <x v="1"/>
    <x v="2"/>
    <d v="2023-01-07T00:00:00"/>
    <s v="SUMINISTRO"/>
    <x v="1"/>
    <s v="CONDELL"/>
    <m/>
    <s v="BE-FOTON"/>
    <n v="1"/>
    <n v="2023"/>
    <n v="90"/>
  </r>
  <r>
    <x v="1"/>
    <s v="SKHG90"/>
    <n v="3038"/>
    <x v="3"/>
    <x v="0"/>
    <x v="2"/>
    <x v="1"/>
    <x v="2"/>
    <d v="2023-01-07T00:00:00"/>
    <s v="SUMINISTRO"/>
    <x v="1"/>
    <s v="CONDELL"/>
    <m/>
    <s v="BE-FOTON"/>
    <n v="1"/>
    <n v="2023"/>
    <n v="90"/>
  </r>
  <r>
    <x v="1"/>
    <s v="SKHG92"/>
    <n v="3039"/>
    <x v="3"/>
    <x v="0"/>
    <x v="2"/>
    <x v="1"/>
    <x v="2"/>
    <d v="2023-01-07T00:00:00"/>
    <s v="SUMINISTRO"/>
    <x v="1"/>
    <s v="CONDELL"/>
    <m/>
    <s v="BE-FOTON"/>
    <n v="1"/>
    <n v="2023"/>
    <n v="90"/>
  </r>
  <r>
    <x v="1"/>
    <s v="SKHG93"/>
    <n v="3040"/>
    <x v="3"/>
    <x v="0"/>
    <x v="2"/>
    <x v="1"/>
    <x v="2"/>
    <d v="2023-01-07T00:00:00"/>
    <s v="SUMINISTRO"/>
    <x v="1"/>
    <s v="CONDELL"/>
    <m/>
    <s v="BE-FOTON"/>
    <n v="1"/>
    <n v="2023"/>
    <n v="90"/>
  </r>
  <r>
    <x v="1"/>
    <s v="SKHG95"/>
    <n v="3041"/>
    <x v="3"/>
    <x v="0"/>
    <x v="2"/>
    <x v="1"/>
    <x v="2"/>
    <d v="2023-01-07T00:00:00"/>
    <s v="SUMINISTRO"/>
    <x v="1"/>
    <s v="CONDELL"/>
    <m/>
    <s v="BE-FOTON"/>
    <n v="1"/>
    <n v="2023"/>
    <n v="90"/>
  </r>
  <r>
    <x v="1"/>
    <s v="SPZX34"/>
    <n v="3042"/>
    <x v="3"/>
    <x v="0"/>
    <x v="2"/>
    <x v="1"/>
    <x v="2"/>
    <d v="2023-03-06T00:00:00"/>
    <s v="SUMINISTRO"/>
    <x v="1"/>
    <s v="CONDELL"/>
    <m/>
    <s v="BE-FOTON"/>
    <n v="3"/>
    <n v="2023"/>
    <n v="90"/>
  </r>
  <r>
    <x v="1"/>
    <s v="SPZX36"/>
    <n v="3043"/>
    <x v="3"/>
    <x v="0"/>
    <x v="2"/>
    <x v="1"/>
    <x v="2"/>
    <d v="2023-03-06T00:00:00"/>
    <s v="SUMINISTRO"/>
    <x v="1"/>
    <s v="CONDELL"/>
    <m/>
    <s v="BE-FOTON"/>
    <n v="3"/>
    <n v="2023"/>
    <n v="90"/>
  </r>
  <r>
    <x v="1"/>
    <s v="SPZX39"/>
    <n v="3044"/>
    <x v="3"/>
    <x v="0"/>
    <x v="2"/>
    <x v="1"/>
    <x v="2"/>
    <d v="2023-03-06T00:00:00"/>
    <s v="SUMINISTRO"/>
    <x v="1"/>
    <s v="CONDELL"/>
    <m/>
    <s v="BE-FOTON"/>
    <n v="3"/>
    <n v="2023"/>
    <n v="90"/>
  </r>
  <r>
    <x v="1"/>
    <s v="SPZX41"/>
    <n v="3045"/>
    <x v="3"/>
    <x v="0"/>
    <x v="2"/>
    <x v="1"/>
    <x v="2"/>
    <d v="2023-03-06T00:00:00"/>
    <s v="SUMINISTRO"/>
    <x v="1"/>
    <s v="CONDELL"/>
    <m/>
    <s v="BE-FOTON"/>
    <n v="3"/>
    <n v="2023"/>
    <n v="90"/>
  </r>
  <r>
    <x v="1"/>
    <s v="SPZX42"/>
    <n v="3046"/>
    <x v="3"/>
    <x v="0"/>
    <x v="2"/>
    <x v="1"/>
    <x v="1"/>
    <d v="2023-03-06T00:00:00"/>
    <s v="SUMINISTRO"/>
    <x v="1"/>
    <s v="CONDELL"/>
    <m/>
    <s v="BE-FOTON"/>
    <n v="3"/>
    <n v="2023"/>
    <n v="90"/>
  </r>
  <r>
    <x v="1"/>
    <s v="SPZX46"/>
    <n v="3047"/>
    <x v="3"/>
    <x v="0"/>
    <x v="2"/>
    <x v="1"/>
    <x v="1"/>
    <d v="2023-03-06T00:00:00"/>
    <s v="SUMINISTRO"/>
    <x v="1"/>
    <s v="CONDELL"/>
    <m/>
    <s v="BE-FOTON"/>
    <n v="3"/>
    <n v="2023"/>
    <n v="90"/>
  </r>
  <r>
    <x v="1"/>
    <s v="SPZX51"/>
    <n v="3048"/>
    <x v="3"/>
    <x v="0"/>
    <x v="2"/>
    <x v="1"/>
    <x v="1"/>
    <d v="2023-03-06T00:00:00"/>
    <s v="SUMINISTRO"/>
    <x v="1"/>
    <s v="CONDELL"/>
    <m/>
    <s v="BE-FOTON"/>
    <n v="3"/>
    <n v="2023"/>
    <n v="90"/>
  </r>
  <r>
    <x v="1"/>
    <s v="SPZX55"/>
    <n v="3049"/>
    <x v="3"/>
    <x v="0"/>
    <x v="2"/>
    <x v="1"/>
    <x v="1"/>
    <d v="2023-03-06T00:00:00"/>
    <s v="SUMINISTRO"/>
    <x v="1"/>
    <s v="CONDELL"/>
    <m/>
    <s v="BE-FOTON"/>
    <n v="3"/>
    <n v="2023"/>
    <n v="90"/>
  </r>
  <r>
    <x v="1"/>
    <s v="SPZX56"/>
    <n v="3050"/>
    <x v="3"/>
    <x v="0"/>
    <x v="2"/>
    <x v="1"/>
    <x v="1"/>
    <d v="2023-03-06T00:00:00"/>
    <s v="SUMINISTRO"/>
    <x v="1"/>
    <s v="CONDELL"/>
    <m/>
    <s v="BE-FOTON"/>
    <n v="3"/>
    <n v="2023"/>
    <n v="90"/>
  </r>
  <r>
    <x v="1"/>
    <s v="SPZX58"/>
    <n v="3051"/>
    <x v="3"/>
    <x v="0"/>
    <x v="2"/>
    <x v="1"/>
    <x v="1"/>
    <d v="2023-03-06T00:00:00"/>
    <s v="SUMINISTRO"/>
    <x v="1"/>
    <s v="CONDELL"/>
    <m/>
    <s v="BE-FOTON"/>
    <n v="3"/>
    <n v="2023"/>
    <n v="90"/>
  </r>
  <r>
    <x v="1"/>
    <s v="STHB50"/>
    <n v="3059"/>
    <x v="3"/>
    <x v="0"/>
    <x v="2"/>
    <x v="1"/>
    <x v="1"/>
    <d v="2023-04-22T00:00:00"/>
    <s v="SUMINISTRO"/>
    <x v="1"/>
    <s v="CONDELL"/>
    <m/>
    <s v="BE-FOTON"/>
    <n v="4"/>
    <n v="2023"/>
    <n v="90"/>
  </r>
  <r>
    <x v="1"/>
    <s v="STHD21"/>
    <n v="3065"/>
    <x v="3"/>
    <x v="0"/>
    <x v="2"/>
    <x v="1"/>
    <x v="1"/>
    <d v="2023-04-22T00:00:00"/>
    <s v="SUMINISTRO"/>
    <x v="1"/>
    <s v="CONDELL"/>
    <m/>
    <s v="BE-FOTON"/>
    <n v="4"/>
    <n v="2023"/>
    <n v="90"/>
  </r>
  <r>
    <x v="1"/>
    <s v="STHD35"/>
    <n v="3066"/>
    <x v="3"/>
    <x v="0"/>
    <x v="2"/>
    <x v="1"/>
    <x v="1"/>
    <d v="2023-04-22T00:00:00"/>
    <s v="SUMINISTRO"/>
    <x v="1"/>
    <s v="CONDELL"/>
    <m/>
    <s v="BE-FOTON"/>
    <n v="4"/>
    <n v="2023"/>
    <n v="90"/>
  </r>
  <r>
    <x v="1"/>
    <s v="STHD47"/>
    <n v="3067"/>
    <x v="3"/>
    <x v="0"/>
    <x v="2"/>
    <x v="1"/>
    <x v="1"/>
    <d v="2023-04-22T00:00:00"/>
    <s v="SUMINISTRO"/>
    <x v="1"/>
    <s v="CONDELL"/>
    <m/>
    <s v="BE-FOTON"/>
    <n v="4"/>
    <n v="2023"/>
    <n v="90"/>
  </r>
  <r>
    <x v="1"/>
    <s v="STHD54"/>
    <n v="3068"/>
    <x v="3"/>
    <x v="0"/>
    <x v="2"/>
    <x v="1"/>
    <x v="1"/>
    <d v="2023-04-22T00:00:00"/>
    <s v="SUMINISTRO"/>
    <x v="1"/>
    <s v="CONDELL"/>
    <m/>
    <s v="BE-FOTON"/>
    <n v="4"/>
    <n v="2023"/>
    <n v="90"/>
  </r>
  <r>
    <x v="1"/>
    <s v="STHD65"/>
    <n v="3069"/>
    <x v="3"/>
    <x v="0"/>
    <x v="2"/>
    <x v="1"/>
    <x v="1"/>
    <d v="2023-04-22T00:00:00"/>
    <s v="SUMINISTRO"/>
    <x v="1"/>
    <s v="CONDELL"/>
    <m/>
    <s v="BE-FOTON"/>
    <n v="4"/>
    <n v="2023"/>
    <n v="90"/>
  </r>
  <r>
    <x v="1"/>
    <s v="STHD72"/>
    <n v="3070"/>
    <x v="3"/>
    <x v="0"/>
    <x v="2"/>
    <x v="1"/>
    <x v="1"/>
    <d v="2023-04-22T00:00:00"/>
    <s v="SUMINISTRO"/>
    <x v="1"/>
    <s v="CONDELL"/>
    <m/>
    <s v="BE-FOTON"/>
    <n v="4"/>
    <n v="2023"/>
    <n v="90"/>
  </r>
  <r>
    <x v="1"/>
    <s v="STHF13"/>
    <n v="3071"/>
    <x v="3"/>
    <x v="0"/>
    <x v="2"/>
    <x v="1"/>
    <x v="1"/>
    <d v="2023-04-22T00:00:00"/>
    <s v="SUMINISTRO"/>
    <x v="1"/>
    <s v="CONDELL"/>
    <m/>
    <s v="BE-FOTON"/>
    <n v="4"/>
    <n v="2023"/>
    <n v="90"/>
  </r>
  <r>
    <x v="1"/>
    <s v="STHF15"/>
    <n v="3072"/>
    <x v="3"/>
    <x v="0"/>
    <x v="2"/>
    <x v="1"/>
    <x v="1"/>
    <d v="2023-04-22T00:00:00"/>
    <s v="SUMINISTRO"/>
    <x v="1"/>
    <s v="CONDELL"/>
    <m/>
    <s v="BE-FOTON"/>
    <n v="4"/>
    <n v="2023"/>
    <n v="90"/>
  </r>
  <r>
    <x v="1"/>
    <s v="STHF35"/>
    <n v="3074"/>
    <x v="3"/>
    <x v="0"/>
    <x v="2"/>
    <x v="1"/>
    <x v="1"/>
    <d v="2023-04-22T00:00:00"/>
    <s v="SUMINISTRO"/>
    <x v="1"/>
    <s v="CONDELL"/>
    <m/>
    <s v="BE-FOTON"/>
    <n v="4"/>
    <n v="2023"/>
    <n v="90"/>
  </r>
  <r>
    <x v="1"/>
    <s v="STHF42"/>
    <n v="3075"/>
    <x v="3"/>
    <x v="0"/>
    <x v="2"/>
    <x v="1"/>
    <x v="1"/>
    <d v="2023-04-22T00:00:00"/>
    <s v="SUMINISTRO"/>
    <x v="1"/>
    <s v="CONDELL"/>
    <m/>
    <s v="BE-FOTON"/>
    <n v="4"/>
    <n v="2023"/>
    <n v="90"/>
  </r>
  <r>
    <x v="1"/>
    <s v="STHF45"/>
    <n v="3076"/>
    <x v="3"/>
    <x v="0"/>
    <x v="2"/>
    <x v="1"/>
    <x v="1"/>
    <d v="2023-04-22T00:00:00"/>
    <s v="SUMINISTRO"/>
    <x v="1"/>
    <s v="CONDELL"/>
    <m/>
    <s v="BE-FOTON"/>
    <n v="4"/>
    <n v="2023"/>
    <n v="90"/>
  </r>
  <r>
    <x v="1"/>
    <s v="STHF49"/>
    <n v="3077"/>
    <x v="3"/>
    <x v="0"/>
    <x v="2"/>
    <x v="1"/>
    <x v="1"/>
    <d v="2023-04-22T00:00:00"/>
    <s v="SUMINISTRO"/>
    <x v="1"/>
    <s v="CONDELL"/>
    <m/>
    <s v="BE-FOTON"/>
    <n v="4"/>
    <n v="2023"/>
    <n v="90"/>
  </r>
  <r>
    <x v="1"/>
    <s v="STHF62"/>
    <n v="3079"/>
    <x v="3"/>
    <x v="0"/>
    <x v="2"/>
    <x v="1"/>
    <x v="1"/>
    <d v="2023-04-22T00:00:00"/>
    <s v="SUMINISTRO"/>
    <x v="1"/>
    <s v="CONDELL"/>
    <m/>
    <s v="BE-FOTON"/>
    <n v="4"/>
    <n v="2023"/>
    <n v="90"/>
  </r>
  <r>
    <x v="1"/>
    <s v="STHF76"/>
    <n v="3081"/>
    <x v="3"/>
    <x v="0"/>
    <x v="2"/>
    <x v="1"/>
    <x v="1"/>
    <d v="2023-04-22T00:00:00"/>
    <s v="SUMINISTRO"/>
    <x v="1"/>
    <s v="CONDELL"/>
    <m/>
    <s v="BE-FOTON"/>
    <n v="4"/>
    <n v="2023"/>
    <n v="90"/>
  </r>
  <r>
    <x v="1"/>
    <s v="TXZH33"/>
    <n v="3133"/>
    <x v="3"/>
    <x v="1"/>
    <x v="2"/>
    <x v="1"/>
    <x v="1"/>
    <d v="2025-02-07T00:00:00"/>
    <s v="PROVISIÓN"/>
    <x v="1"/>
    <s v="CONDELL"/>
    <m/>
    <s v="BE-FOTON"/>
    <n v="2"/>
    <n v="2025"/>
    <n v="90"/>
  </r>
  <r>
    <x v="1"/>
    <s v="TXZH34"/>
    <n v="3134"/>
    <x v="3"/>
    <x v="1"/>
    <x v="2"/>
    <x v="1"/>
    <x v="1"/>
    <d v="2025-02-07T00:00:00"/>
    <s v="PROVISIÓN"/>
    <x v="1"/>
    <s v="CONDELL"/>
    <m/>
    <s v="BE-FOTON"/>
    <n v="2"/>
    <n v="2025"/>
    <n v="90"/>
  </r>
  <r>
    <x v="1"/>
    <s v="TXZH35"/>
    <n v="3135"/>
    <x v="3"/>
    <x v="1"/>
    <x v="2"/>
    <x v="1"/>
    <x v="1"/>
    <d v="2025-02-13T00:00:00"/>
    <s v="PROVISIÓN"/>
    <x v="1"/>
    <s v="CONDELL"/>
    <m/>
    <s v="BE-FOTON"/>
    <n v="2"/>
    <n v="2025"/>
    <n v="90"/>
  </r>
  <r>
    <x v="1"/>
    <s v="TXZH36"/>
    <n v="3136"/>
    <x v="3"/>
    <x v="1"/>
    <x v="2"/>
    <x v="1"/>
    <x v="1"/>
    <d v="2025-02-07T00:00:00"/>
    <s v="PROVISIÓN"/>
    <x v="1"/>
    <s v="CONDELL"/>
    <m/>
    <s v="BE-FOTON"/>
    <n v="2"/>
    <n v="2025"/>
    <n v="90"/>
  </r>
  <r>
    <x v="1"/>
    <s v="TXZH37"/>
    <n v="3137"/>
    <x v="3"/>
    <x v="1"/>
    <x v="2"/>
    <x v="1"/>
    <x v="1"/>
    <d v="2025-02-07T00:00:00"/>
    <s v="PROVISIÓN"/>
    <x v="1"/>
    <s v="CONDELL"/>
    <m/>
    <s v="BE-FOTON"/>
    <n v="2"/>
    <n v="2025"/>
    <n v="90"/>
  </r>
  <r>
    <x v="1"/>
    <s v="TXZH38"/>
    <n v="3138"/>
    <x v="3"/>
    <x v="1"/>
    <x v="2"/>
    <x v="1"/>
    <x v="1"/>
    <d v="2025-02-07T00:00:00"/>
    <s v="PROVISIÓN"/>
    <x v="1"/>
    <s v="CONDELL"/>
    <m/>
    <s v="BE-FOTON"/>
    <n v="2"/>
    <n v="2025"/>
    <n v="90"/>
  </r>
  <r>
    <x v="1"/>
    <s v="TXZH39"/>
    <n v="3139"/>
    <x v="3"/>
    <x v="1"/>
    <x v="2"/>
    <x v="1"/>
    <x v="1"/>
    <d v="2025-02-14T00:00:00"/>
    <s v="PROVISIÓN"/>
    <x v="1"/>
    <s v="CONDELL"/>
    <m/>
    <s v="BE-FOTON"/>
    <n v="2"/>
    <n v="2025"/>
    <n v="90"/>
  </r>
  <r>
    <x v="1"/>
    <s v="TXZK38"/>
    <n v="3140"/>
    <x v="3"/>
    <x v="1"/>
    <x v="2"/>
    <x v="1"/>
    <x v="1"/>
    <d v="2025-02-14T00:00:00"/>
    <s v="PROVISIÓN"/>
    <x v="1"/>
    <s v="CONDELL"/>
    <m/>
    <s v="BE-FOTON"/>
    <n v="2"/>
    <n v="2025"/>
    <n v="90"/>
  </r>
  <r>
    <x v="1"/>
    <s v="VTFK64"/>
    <n v="3141"/>
    <x v="3"/>
    <x v="0"/>
    <x v="2"/>
    <x v="1"/>
    <x v="1"/>
    <d v="2026-04-10T00:00:00"/>
    <s v="SUMINISTRO"/>
    <x v="1"/>
    <s v="CONDELL"/>
    <m/>
    <s v="BE-FOTON"/>
    <n v="4"/>
    <n v="2026"/>
    <n v="90"/>
  </r>
  <r>
    <x v="1"/>
    <s v="LDJX67"/>
    <n v="4000"/>
    <x v="4"/>
    <x v="0"/>
    <x v="1"/>
    <x v="1"/>
    <x v="1"/>
    <d v="2023-01-07T00:00:00"/>
    <s v="PROVISIÓN"/>
    <x v="1"/>
    <s v="CONDELL"/>
    <m/>
    <s v="C2-MERCEDES BENZ"/>
    <n v="1"/>
    <n v="2023"/>
    <n v="152"/>
  </r>
  <r>
    <x v="1"/>
    <s v="LDSW88"/>
    <n v="4001"/>
    <x v="4"/>
    <x v="0"/>
    <x v="1"/>
    <x v="1"/>
    <x v="1"/>
    <d v="2023-01-07T00:00:00"/>
    <s v="PROVISIÓN"/>
    <x v="1"/>
    <s v="CONDELL"/>
    <m/>
    <s v="C2-MERCEDES BENZ"/>
    <n v="1"/>
    <n v="2023"/>
    <n v="152"/>
  </r>
  <r>
    <x v="1"/>
    <s v="LDSX94"/>
    <n v="4002"/>
    <x v="4"/>
    <x v="0"/>
    <x v="1"/>
    <x v="1"/>
    <x v="1"/>
    <d v="2023-01-07T00:00:00"/>
    <s v="PROVISIÓN"/>
    <x v="1"/>
    <s v="CONDELL"/>
    <m/>
    <s v="C2-MERCEDES BENZ"/>
    <n v="1"/>
    <n v="2023"/>
    <n v="152"/>
  </r>
  <r>
    <x v="1"/>
    <s v="LDSX95"/>
    <n v="4003"/>
    <x v="4"/>
    <x v="0"/>
    <x v="1"/>
    <x v="1"/>
    <x v="1"/>
    <d v="2023-03-22T00:00:00"/>
    <s v="PROVISIÓN"/>
    <x v="1"/>
    <s v="CONDELL"/>
    <m/>
    <s v="C2-MERCEDES BENZ"/>
    <n v="3"/>
    <n v="2023"/>
    <n v="152"/>
  </r>
  <r>
    <x v="1"/>
    <s v="LDSX96"/>
    <n v="4004"/>
    <x v="4"/>
    <x v="0"/>
    <x v="1"/>
    <x v="1"/>
    <x v="1"/>
    <d v="2023-01-07T00:00:00"/>
    <s v="PROVISIÓN"/>
    <x v="1"/>
    <s v="CONDELL"/>
    <m/>
    <s v="C2-MERCEDES BENZ"/>
    <n v="1"/>
    <n v="2023"/>
    <n v="152"/>
  </r>
  <r>
    <x v="1"/>
    <s v="LDTG63"/>
    <n v="4005"/>
    <x v="4"/>
    <x v="0"/>
    <x v="1"/>
    <x v="1"/>
    <x v="1"/>
    <d v="2023-01-07T00:00:00"/>
    <s v="PROVISIÓN"/>
    <x v="1"/>
    <s v="CONDELL"/>
    <m/>
    <s v="C2-MERCEDES BENZ"/>
    <n v="1"/>
    <n v="2023"/>
    <n v="152"/>
  </r>
  <r>
    <x v="1"/>
    <s v="LDTG64"/>
    <n v="4006"/>
    <x v="4"/>
    <x v="0"/>
    <x v="1"/>
    <x v="1"/>
    <x v="1"/>
    <d v="2023-01-07T00:00:00"/>
    <s v="PROVISIÓN"/>
    <x v="1"/>
    <s v="CONDELL"/>
    <m/>
    <s v="C2-MERCEDES BENZ"/>
    <n v="1"/>
    <n v="2023"/>
    <n v="152"/>
  </r>
  <r>
    <x v="1"/>
    <s v="LDTG65"/>
    <n v="4007"/>
    <x v="4"/>
    <x v="0"/>
    <x v="1"/>
    <x v="1"/>
    <x v="1"/>
    <d v="2023-01-07T00:00:00"/>
    <s v="PROVISIÓN"/>
    <x v="1"/>
    <s v="CONDELL"/>
    <m/>
    <s v="C2-MERCEDES BENZ"/>
    <n v="1"/>
    <n v="2023"/>
    <n v="152"/>
  </r>
  <r>
    <x v="1"/>
    <s v="LDTG66"/>
    <n v="4008"/>
    <x v="4"/>
    <x v="0"/>
    <x v="1"/>
    <x v="1"/>
    <x v="1"/>
    <d v="2023-01-07T00:00:00"/>
    <s v="PROVISIÓN"/>
    <x v="1"/>
    <s v="CONDELL"/>
    <m/>
    <s v="C2-MERCEDES BENZ"/>
    <n v="1"/>
    <n v="2023"/>
    <n v="152"/>
  </r>
  <r>
    <x v="1"/>
    <s v="LDTG67"/>
    <n v="4009"/>
    <x v="4"/>
    <x v="0"/>
    <x v="1"/>
    <x v="1"/>
    <x v="1"/>
    <d v="2023-01-07T00:00:00"/>
    <s v="PROVISIÓN"/>
    <x v="1"/>
    <s v="CONDELL"/>
    <m/>
    <s v="C2-MERCEDES BENZ"/>
    <n v="1"/>
    <n v="2023"/>
    <n v="152"/>
  </r>
  <r>
    <x v="1"/>
    <s v="LFGJ89"/>
    <n v="4010"/>
    <x v="4"/>
    <x v="0"/>
    <x v="1"/>
    <x v="1"/>
    <x v="1"/>
    <d v="2023-01-07T00:00:00"/>
    <s v="PROVISIÓN"/>
    <x v="1"/>
    <s v="CONDELL"/>
    <m/>
    <s v="C2-MERCEDES BENZ"/>
    <n v="1"/>
    <n v="2023"/>
    <n v="152"/>
  </r>
  <r>
    <x v="1"/>
    <s v="LFGJ90"/>
    <n v="4011"/>
    <x v="4"/>
    <x v="0"/>
    <x v="1"/>
    <x v="1"/>
    <x v="1"/>
    <d v="2023-01-07T00:00:00"/>
    <s v="PROVISIÓN"/>
    <x v="1"/>
    <s v="CONDELL"/>
    <m/>
    <s v="C2-MERCEDES BENZ"/>
    <n v="1"/>
    <n v="2023"/>
    <n v="152"/>
  </r>
  <r>
    <x v="1"/>
    <s v="LFGJ91"/>
    <n v="4012"/>
    <x v="4"/>
    <x v="0"/>
    <x v="1"/>
    <x v="1"/>
    <x v="1"/>
    <d v="2023-01-07T00:00:00"/>
    <s v="PROVISIÓN"/>
    <x v="1"/>
    <s v="CONDELL"/>
    <m/>
    <s v="C2-MERCEDES BENZ"/>
    <n v="1"/>
    <n v="2023"/>
    <n v="152"/>
  </r>
  <r>
    <x v="1"/>
    <s v="LFGJ92"/>
    <n v="4013"/>
    <x v="4"/>
    <x v="0"/>
    <x v="1"/>
    <x v="1"/>
    <x v="1"/>
    <d v="2023-01-07T00:00:00"/>
    <s v="PROVISIÓN"/>
    <x v="1"/>
    <s v="CONDELL"/>
    <m/>
    <s v="C2-MERCEDES BENZ"/>
    <n v="1"/>
    <n v="2023"/>
    <n v="152"/>
  </r>
  <r>
    <x v="1"/>
    <s v="LFGJ93"/>
    <n v="4014"/>
    <x v="4"/>
    <x v="0"/>
    <x v="1"/>
    <x v="1"/>
    <x v="1"/>
    <d v="2023-01-07T00:00:00"/>
    <s v="PROVISIÓN"/>
    <x v="1"/>
    <s v="CONDELL"/>
    <m/>
    <s v="C2-MERCEDES BENZ"/>
    <n v="1"/>
    <n v="2023"/>
    <n v="152"/>
  </r>
  <r>
    <x v="1"/>
    <s v="LFGJ94"/>
    <n v="4015"/>
    <x v="4"/>
    <x v="0"/>
    <x v="1"/>
    <x v="1"/>
    <x v="1"/>
    <d v="2023-01-07T00:00:00"/>
    <s v="PROVISIÓN"/>
    <x v="1"/>
    <s v="CONDELL"/>
    <m/>
    <s v="C2-MERCEDES BENZ"/>
    <n v="1"/>
    <n v="2023"/>
    <n v="152"/>
  </r>
  <r>
    <x v="1"/>
    <s v="LFGJ95"/>
    <n v="4016"/>
    <x v="4"/>
    <x v="0"/>
    <x v="1"/>
    <x v="1"/>
    <x v="1"/>
    <d v="2023-01-07T00:00:00"/>
    <s v="PROVISIÓN"/>
    <x v="1"/>
    <s v="CONDELL"/>
    <m/>
    <s v="C2-MERCEDES BENZ"/>
    <n v="1"/>
    <n v="2023"/>
    <n v="152"/>
  </r>
  <r>
    <x v="1"/>
    <s v="LFGJ97"/>
    <n v="4018"/>
    <x v="4"/>
    <x v="0"/>
    <x v="1"/>
    <x v="1"/>
    <x v="1"/>
    <d v="2023-01-07T00:00:00"/>
    <s v="PROVISIÓN"/>
    <x v="1"/>
    <s v="CONDELL"/>
    <m/>
    <s v="C2-MERCEDES BENZ"/>
    <n v="1"/>
    <n v="2023"/>
    <n v="152"/>
  </r>
  <r>
    <x v="1"/>
    <s v="LFGW21"/>
    <n v="4019"/>
    <x v="4"/>
    <x v="0"/>
    <x v="1"/>
    <x v="1"/>
    <x v="1"/>
    <d v="2023-01-07T00:00:00"/>
    <s v="PROVISIÓN"/>
    <x v="1"/>
    <s v="CONDELL"/>
    <m/>
    <s v="C2-MERCEDES BENZ"/>
    <n v="1"/>
    <n v="2023"/>
    <n v="152"/>
  </r>
  <r>
    <x v="1"/>
    <s v="LFGW22"/>
    <n v="4020"/>
    <x v="4"/>
    <x v="0"/>
    <x v="1"/>
    <x v="1"/>
    <x v="1"/>
    <d v="2023-01-07T00:00:00"/>
    <s v="PROVISIÓN"/>
    <x v="1"/>
    <s v="CONDELL"/>
    <m/>
    <s v="C2-MERCEDES BENZ"/>
    <n v="1"/>
    <n v="2023"/>
    <n v="152"/>
  </r>
  <r>
    <x v="1"/>
    <s v="LFGW31"/>
    <n v="4021"/>
    <x v="4"/>
    <x v="0"/>
    <x v="1"/>
    <x v="1"/>
    <x v="1"/>
    <d v="2023-01-07T00:00:00"/>
    <s v="PROVISIÓN"/>
    <x v="1"/>
    <s v="CONDELL"/>
    <m/>
    <s v="C2-MERCEDES BENZ"/>
    <n v="1"/>
    <n v="2023"/>
    <n v="152"/>
  </r>
  <r>
    <x v="1"/>
    <s v="LFGW32"/>
    <n v="4022"/>
    <x v="4"/>
    <x v="0"/>
    <x v="1"/>
    <x v="1"/>
    <x v="1"/>
    <d v="2023-01-07T00:00:00"/>
    <s v="PROVISIÓN"/>
    <x v="1"/>
    <s v="CONDELL"/>
    <m/>
    <s v="C2-MERCEDES BENZ"/>
    <n v="1"/>
    <n v="2023"/>
    <n v="152"/>
  </r>
  <r>
    <x v="1"/>
    <s v="LFGW33"/>
    <n v="4023"/>
    <x v="4"/>
    <x v="0"/>
    <x v="1"/>
    <x v="1"/>
    <x v="1"/>
    <d v="2023-01-07T00:00:00"/>
    <s v="PROVISIÓN"/>
    <x v="1"/>
    <s v="CONDELL"/>
    <m/>
    <s v="C2-MERCEDES BENZ"/>
    <n v="1"/>
    <n v="2023"/>
    <n v="152"/>
  </r>
  <r>
    <x v="1"/>
    <s v="LFGW34"/>
    <n v="4024"/>
    <x v="4"/>
    <x v="1"/>
    <x v="1"/>
    <x v="1"/>
    <x v="1"/>
    <d v="2023-01-07T00:00:00"/>
    <s v="PROVISIÓN"/>
    <x v="1"/>
    <s v="CONDELL"/>
    <m/>
    <s v="C2-MERCEDES BENZ"/>
    <n v="1"/>
    <n v="2023"/>
    <n v="152"/>
  </r>
  <r>
    <x v="1"/>
    <s v="SHXF25"/>
    <n v="4031"/>
    <x v="4"/>
    <x v="0"/>
    <x v="0"/>
    <x v="1"/>
    <x v="1"/>
    <d v="2023-01-02T00:00:00"/>
    <s v="SUMINISTRO"/>
    <x v="1"/>
    <s v="CONDELL"/>
    <m/>
    <s v="C2-VOLVO"/>
    <n v="1"/>
    <n v="2023"/>
    <n v="156"/>
  </r>
  <r>
    <x v="1"/>
    <s v="SHXG87"/>
    <n v="4041"/>
    <x v="4"/>
    <x v="0"/>
    <x v="0"/>
    <x v="1"/>
    <x v="1"/>
    <d v="2023-01-02T00:00:00"/>
    <s v="SUMINISTRO"/>
    <x v="1"/>
    <s v="CONDELL"/>
    <m/>
    <s v="C2-VOLVO"/>
    <n v="1"/>
    <n v="2023"/>
    <n v="156"/>
  </r>
  <r>
    <x v="1"/>
    <s v="SJPC35"/>
    <n v="4042"/>
    <x v="4"/>
    <x v="1"/>
    <x v="0"/>
    <x v="1"/>
    <x v="1"/>
    <d v="2023-01-02T00:00:00"/>
    <s v="SUMINISTRO"/>
    <x v="1"/>
    <s v="CONDELL"/>
    <m/>
    <s v="C2-VOLVO"/>
    <n v="1"/>
    <n v="2023"/>
    <n v="156"/>
  </r>
  <r>
    <x v="1"/>
    <s v="SJPC50"/>
    <n v="4051"/>
    <x v="4"/>
    <x v="0"/>
    <x v="0"/>
    <x v="1"/>
    <x v="1"/>
    <d v="2023-01-02T00:00:00"/>
    <s v="SUMINISTRO"/>
    <x v="1"/>
    <s v="CONDELL"/>
    <m/>
    <s v="C2-VOLVO"/>
    <n v="1"/>
    <n v="2023"/>
    <n v="156"/>
  </r>
  <r>
    <x v="1"/>
    <s v="SJPD73"/>
    <n v="4056"/>
    <x v="4"/>
    <x v="0"/>
    <x v="0"/>
    <x v="1"/>
    <x v="1"/>
    <d v="2023-01-02T00:00:00"/>
    <s v="SUMINISTRO"/>
    <x v="1"/>
    <s v="CONDELL"/>
    <m/>
    <s v="C2-VOLVO"/>
    <n v="1"/>
    <n v="2023"/>
    <n v="156"/>
  </r>
  <r>
    <x v="1"/>
    <s v="SJPF88"/>
    <n v="4066"/>
    <x v="4"/>
    <x v="1"/>
    <x v="0"/>
    <x v="1"/>
    <x v="1"/>
    <d v="2023-01-02T00:00:00"/>
    <s v="SUMINISTRO"/>
    <x v="1"/>
    <s v="CONDELL"/>
    <m/>
    <s v="C2-VOLVO"/>
    <n v="1"/>
    <n v="2023"/>
    <n v="156"/>
  </r>
  <r>
    <x v="1"/>
    <s v="SJPF86"/>
    <n v="4068"/>
    <x v="4"/>
    <x v="0"/>
    <x v="0"/>
    <x v="1"/>
    <x v="1"/>
    <d v="2023-01-07T00:00:00"/>
    <s v="SUMINISTRO"/>
    <x v="1"/>
    <s v="CONDELL"/>
    <m/>
    <s v="C2-VOLVO"/>
    <n v="1"/>
    <n v="2023"/>
    <n v="156"/>
  </r>
  <r>
    <x v="1"/>
    <s v="SHCY11"/>
    <n v="1002"/>
    <x v="0"/>
    <x v="0"/>
    <x v="0"/>
    <x v="2"/>
    <x v="2"/>
    <d v="2022-12-17T00:00:00"/>
    <s v="SUMINISTRO"/>
    <x v="2"/>
    <s v="EL RETIRO"/>
    <m/>
    <s v="A2-VOLVO"/>
    <n v="12"/>
    <n v="2022"/>
    <n v="77"/>
  </r>
  <r>
    <x v="1"/>
    <s v="SHCY32"/>
    <n v="1003"/>
    <x v="0"/>
    <x v="0"/>
    <x v="0"/>
    <x v="2"/>
    <x v="2"/>
    <d v="2022-12-17T00:00:00"/>
    <s v="SUMINISTRO"/>
    <x v="2"/>
    <s v="EL RETIRO"/>
    <m/>
    <s v="A2-VOLVO"/>
    <n v="12"/>
    <n v="2022"/>
    <n v="77"/>
  </r>
  <r>
    <x v="1"/>
    <s v="SHCY33"/>
    <n v="1004"/>
    <x v="0"/>
    <x v="0"/>
    <x v="0"/>
    <x v="2"/>
    <x v="2"/>
    <d v="2022-12-17T00:00:00"/>
    <s v="SUMINISTRO"/>
    <x v="2"/>
    <s v="EL RETIRO"/>
    <m/>
    <s v="A2-VOLVO"/>
    <n v="12"/>
    <n v="2022"/>
    <n v="77"/>
  </r>
  <r>
    <x v="1"/>
    <s v="SHCY34"/>
    <n v="1005"/>
    <x v="0"/>
    <x v="0"/>
    <x v="0"/>
    <x v="2"/>
    <x v="2"/>
    <d v="2022-12-17T00:00:00"/>
    <s v="SUMINISTRO"/>
    <x v="2"/>
    <s v="EL RETIRO"/>
    <m/>
    <s v="A2-VOLVO"/>
    <n v="12"/>
    <n v="2022"/>
    <n v="77"/>
  </r>
  <r>
    <x v="1"/>
    <s v="SHCY39"/>
    <n v="1008"/>
    <x v="0"/>
    <x v="1"/>
    <x v="0"/>
    <x v="2"/>
    <x v="2"/>
    <d v="2022-12-17T00:00:00"/>
    <s v="SUMINISTRO"/>
    <x v="2"/>
    <s v="EL RETIRO"/>
    <m/>
    <s v="A2-VOLVO"/>
    <n v="12"/>
    <n v="2022"/>
    <n v="77"/>
  </r>
  <r>
    <x v="1"/>
    <s v="SHCY40"/>
    <n v="1009"/>
    <x v="0"/>
    <x v="1"/>
    <x v="0"/>
    <x v="2"/>
    <x v="2"/>
    <d v="2022-12-17T00:00:00"/>
    <s v="SUMINISTRO"/>
    <x v="2"/>
    <s v="EL RETIRO"/>
    <m/>
    <s v="A2-VOLVO"/>
    <n v="12"/>
    <n v="2022"/>
    <n v="77"/>
  </r>
  <r>
    <x v="1"/>
    <s v="SHCY46"/>
    <n v="1010"/>
    <x v="0"/>
    <x v="0"/>
    <x v="0"/>
    <x v="2"/>
    <x v="2"/>
    <d v="2022-12-17T00:00:00"/>
    <s v="SUMINISTRO"/>
    <x v="2"/>
    <s v="EL RETIRO"/>
    <m/>
    <s v="A2-VOLVO"/>
    <n v="12"/>
    <n v="2022"/>
    <n v="77"/>
  </r>
  <r>
    <x v="1"/>
    <s v="SHCY47"/>
    <n v="1011"/>
    <x v="0"/>
    <x v="0"/>
    <x v="0"/>
    <x v="2"/>
    <x v="2"/>
    <d v="2022-12-17T00:00:00"/>
    <s v="SUMINISTRO"/>
    <x v="2"/>
    <s v="EL RETIRO"/>
    <m/>
    <s v="A2-VOLVO"/>
    <n v="12"/>
    <n v="2022"/>
    <n v="77"/>
  </r>
  <r>
    <x v="1"/>
    <s v="SHCY49"/>
    <n v="1012"/>
    <x v="0"/>
    <x v="0"/>
    <x v="0"/>
    <x v="2"/>
    <x v="2"/>
    <d v="2022-12-17T00:00:00"/>
    <s v="SUMINISTRO"/>
    <x v="2"/>
    <s v="EL RETIRO"/>
    <m/>
    <s v="A2-VOLVO"/>
    <n v="12"/>
    <n v="2022"/>
    <n v="77"/>
  </r>
  <r>
    <x v="1"/>
    <s v="SHCY50"/>
    <n v="1013"/>
    <x v="0"/>
    <x v="0"/>
    <x v="0"/>
    <x v="2"/>
    <x v="2"/>
    <d v="2022-12-17T00:00:00"/>
    <s v="SUMINISTRO"/>
    <x v="2"/>
    <s v="EL RETIRO"/>
    <m/>
    <s v="A2-VOLVO"/>
    <n v="12"/>
    <n v="2022"/>
    <n v="77"/>
  </r>
  <r>
    <x v="1"/>
    <s v="SHCY55"/>
    <n v="1015"/>
    <x v="0"/>
    <x v="0"/>
    <x v="0"/>
    <x v="2"/>
    <x v="2"/>
    <d v="2022-12-17T00:00:00"/>
    <s v="SUMINISTRO"/>
    <x v="2"/>
    <s v="EL RETIRO"/>
    <m/>
    <s v="A2-VOLVO"/>
    <n v="12"/>
    <n v="2022"/>
    <n v="77"/>
  </r>
  <r>
    <x v="1"/>
    <s v="LXDH84"/>
    <n v="2042"/>
    <x v="2"/>
    <x v="0"/>
    <x v="3"/>
    <x v="2"/>
    <x v="2"/>
    <d v="2022-12-17T00:00:00"/>
    <s v="PROVISIÓN"/>
    <x v="2"/>
    <s v="CONDELL"/>
    <m/>
    <s v="B2-SCANIA"/>
    <n v="12"/>
    <n v="2022"/>
    <n v="96"/>
  </r>
  <r>
    <x v="1"/>
    <s v="LXDH85"/>
    <n v="2043"/>
    <x v="2"/>
    <x v="0"/>
    <x v="3"/>
    <x v="2"/>
    <x v="2"/>
    <d v="2022-12-17T00:00:00"/>
    <s v="PROVISIÓN"/>
    <x v="2"/>
    <s v="CONDELL"/>
    <m/>
    <s v="B2-SCANIA"/>
    <n v="12"/>
    <n v="2022"/>
    <n v="96"/>
  </r>
  <r>
    <x v="1"/>
    <s v="LXDH86"/>
    <n v="2044"/>
    <x v="2"/>
    <x v="0"/>
    <x v="3"/>
    <x v="2"/>
    <x v="2"/>
    <d v="2023-01-07T00:00:00"/>
    <s v="PROVISIÓN"/>
    <x v="2"/>
    <s v="CONDELL"/>
    <m/>
    <s v="B2-SCANIA"/>
    <n v="1"/>
    <n v="2023"/>
    <n v="96"/>
  </r>
  <r>
    <x v="1"/>
    <s v="LXDH87"/>
    <n v="2045"/>
    <x v="2"/>
    <x v="0"/>
    <x v="3"/>
    <x v="2"/>
    <x v="2"/>
    <d v="2022-12-17T00:00:00"/>
    <s v="PROVISIÓN"/>
    <x v="2"/>
    <s v="CONDELL"/>
    <m/>
    <s v="B2-SCANIA"/>
    <n v="12"/>
    <n v="2022"/>
    <n v="96"/>
  </r>
  <r>
    <x v="1"/>
    <s v="LXDH89"/>
    <n v="2047"/>
    <x v="2"/>
    <x v="0"/>
    <x v="3"/>
    <x v="2"/>
    <x v="2"/>
    <d v="2022-12-17T00:00:00"/>
    <s v="PROVISIÓN"/>
    <x v="2"/>
    <s v="CONDELL"/>
    <m/>
    <s v="B2-SCANIA"/>
    <n v="12"/>
    <n v="2022"/>
    <n v="96"/>
  </r>
  <r>
    <x v="1"/>
    <s v="LXDH90"/>
    <n v="2048"/>
    <x v="2"/>
    <x v="0"/>
    <x v="3"/>
    <x v="2"/>
    <x v="2"/>
    <d v="2022-12-17T00:00:00"/>
    <s v="PROVISIÓN"/>
    <x v="2"/>
    <s v="CONDELL"/>
    <m/>
    <s v="B2-SCANIA"/>
    <n v="12"/>
    <n v="2022"/>
    <n v="96"/>
  </r>
  <r>
    <x v="1"/>
    <s v="LXDH91"/>
    <n v="2049"/>
    <x v="2"/>
    <x v="0"/>
    <x v="3"/>
    <x v="2"/>
    <x v="2"/>
    <d v="2022-12-17T00:00:00"/>
    <s v="PROVISIÓN"/>
    <x v="2"/>
    <s v="CONDELL"/>
    <s v="QUEMADO 10-04"/>
    <s v="B2-SCANIA"/>
    <n v="12"/>
    <n v="2022"/>
    <n v="96"/>
  </r>
  <r>
    <x v="1"/>
    <s v="LXDH92"/>
    <n v="2050"/>
    <x v="2"/>
    <x v="0"/>
    <x v="3"/>
    <x v="2"/>
    <x v="2"/>
    <d v="2022-12-17T00:00:00"/>
    <s v="PROVISIÓN"/>
    <x v="2"/>
    <s v="CONDELL"/>
    <m/>
    <s v="B2-SCANIA"/>
    <n v="12"/>
    <n v="2022"/>
    <n v="96"/>
  </r>
  <r>
    <x v="1"/>
    <s v="LXDH93"/>
    <n v="2051"/>
    <x v="2"/>
    <x v="0"/>
    <x v="3"/>
    <x v="2"/>
    <x v="2"/>
    <d v="2022-12-17T00:00:00"/>
    <s v="PROVISIÓN"/>
    <x v="2"/>
    <s v="CONDELL"/>
    <m/>
    <s v="B2-SCANIA"/>
    <n v="12"/>
    <n v="2022"/>
    <n v="96"/>
  </r>
  <r>
    <x v="1"/>
    <s v="LXDH94"/>
    <n v="2052"/>
    <x v="2"/>
    <x v="0"/>
    <x v="3"/>
    <x v="2"/>
    <x v="2"/>
    <d v="2022-12-17T00:00:00"/>
    <s v="PROVISIÓN"/>
    <x v="2"/>
    <s v="CONDELL"/>
    <m/>
    <s v="B2-SCANIA"/>
    <n v="12"/>
    <n v="2022"/>
    <n v="96"/>
  </r>
  <r>
    <x v="1"/>
    <s v="LXDH95"/>
    <n v="2053"/>
    <x v="2"/>
    <x v="0"/>
    <x v="3"/>
    <x v="2"/>
    <x v="2"/>
    <d v="2022-12-17T00:00:00"/>
    <s v="PROVISIÓN"/>
    <x v="2"/>
    <s v="CONDELL"/>
    <m/>
    <s v="B2-SCANIA"/>
    <n v="12"/>
    <n v="2022"/>
    <n v="96"/>
  </r>
  <r>
    <x v="1"/>
    <s v="LXDH96"/>
    <n v="2054"/>
    <x v="2"/>
    <x v="0"/>
    <x v="3"/>
    <x v="2"/>
    <x v="2"/>
    <d v="2022-12-17T00:00:00"/>
    <s v="PROVISIÓN"/>
    <x v="2"/>
    <s v="CONDELL"/>
    <m/>
    <s v="B2-SCANIA"/>
    <n v="12"/>
    <n v="2022"/>
    <n v="96"/>
  </r>
  <r>
    <x v="1"/>
    <s v="LXDH97"/>
    <n v="2055"/>
    <x v="2"/>
    <x v="0"/>
    <x v="3"/>
    <x v="2"/>
    <x v="2"/>
    <d v="2022-12-17T00:00:00"/>
    <s v="PROVISIÓN"/>
    <x v="2"/>
    <s v="CONDELL"/>
    <m/>
    <s v="B2-SCANIA"/>
    <n v="12"/>
    <n v="2022"/>
    <n v="96"/>
  </r>
  <r>
    <x v="1"/>
    <s v="LXDH98"/>
    <n v="2056"/>
    <x v="2"/>
    <x v="0"/>
    <x v="3"/>
    <x v="2"/>
    <x v="2"/>
    <d v="2022-12-17T00:00:00"/>
    <s v="PROVISIÓN"/>
    <x v="2"/>
    <s v="CONDELL"/>
    <m/>
    <s v="B2-SCANIA"/>
    <n v="12"/>
    <n v="2022"/>
    <n v="96"/>
  </r>
  <r>
    <x v="1"/>
    <s v="LXDH99"/>
    <n v="2057"/>
    <x v="2"/>
    <x v="0"/>
    <x v="3"/>
    <x v="2"/>
    <x v="2"/>
    <d v="2022-12-17T00:00:00"/>
    <s v="PROVISIÓN"/>
    <x v="2"/>
    <s v="CONDELL"/>
    <m/>
    <s v="B2-SCANIA"/>
    <n v="12"/>
    <n v="2022"/>
    <n v="96"/>
  </r>
  <r>
    <x v="1"/>
    <s v="LXDJ10"/>
    <n v="2058"/>
    <x v="2"/>
    <x v="0"/>
    <x v="3"/>
    <x v="2"/>
    <x v="2"/>
    <d v="2022-12-17T00:00:00"/>
    <s v="PROVISIÓN"/>
    <x v="2"/>
    <s v="CONDELL"/>
    <m/>
    <s v="B2-SCANIA"/>
    <n v="12"/>
    <n v="2022"/>
    <n v="96"/>
  </r>
  <r>
    <x v="1"/>
    <s v="LXDJ11"/>
    <n v="2059"/>
    <x v="2"/>
    <x v="0"/>
    <x v="3"/>
    <x v="2"/>
    <x v="2"/>
    <d v="2023-01-02T00:00:00"/>
    <s v="PROVISIÓN"/>
    <x v="2"/>
    <s v="CONDELL"/>
    <m/>
    <s v="B2-SCANIA"/>
    <n v="1"/>
    <n v="2023"/>
    <n v="96"/>
  </r>
  <r>
    <x v="1"/>
    <s v="LXDJ12"/>
    <n v="2060"/>
    <x v="2"/>
    <x v="0"/>
    <x v="3"/>
    <x v="2"/>
    <x v="2"/>
    <d v="2022-12-17T00:00:00"/>
    <s v="PROVISIÓN"/>
    <x v="2"/>
    <s v="CONDELL"/>
    <m/>
    <s v="B2-SCANIA"/>
    <n v="12"/>
    <n v="2022"/>
    <n v="96"/>
  </r>
  <r>
    <x v="1"/>
    <s v="LXDJ13"/>
    <n v="2061"/>
    <x v="2"/>
    <x v="0"/>
    <x v="3"/>
    <x v="2"/>
    <x v="2"/>
    <d v="2022-12-17T00:00:00"/>
    <s v="PROVISIÓN"/>
    <x v="2"/>
    <s v="CONDELL"/>
    <m/>
    <s v="B2-SCANIA"/>
    <n v="12"/>
    <n v="2022"/>
    <n v="96"/>
  </r>
  <r>
    <x v="1"/>
    <s v="LXDJ14"/>
    <n v="2062"/>
    <x v="2"/>
    <x v="0"/>
    <x v="3"/>
    <x v="2"/>
    <x v="2"/>
    <d v="2022-12-17T00:00:00"/>
    <s v="PROVISIÓN"/>
    <x v="2"/>
    <s v="CONDELL"/>
    <m/>
    <s v="B2-SCANIA"/>
    <n v="12"/>
    <n v="2022"/>
    <n v="96"/>
  </r>
  <r>
    <x v="1"/>
    <s v="LXDJ15"/>
    <n v="2063"/>
    <x v="2"/>
    <x v="0"/>
    <x v="3"/>
    <x v="2"/>
    <x v="2"/>
    <d v="2022-12-17T00:00:00"/>
    <s v="PROVISIÓN"/>
    <x v="2"/>
    <s v="CONDELL"/>
    <m/>
    <s v="B2-SCANIA"/>
    <n v="12"/>
    <n v="2022"/>
    <n v="96"/>
  </r>
  <r>
    <x v="1"/>
    <s v="LXDJ16"/>
    <n v="2064"/>
    <x v="2"/>
    <x v="0"/>
    <x v="3"/>
    <x v="2"/>
    <x v="2"/>
    <d v="2023-01-07T00:00:00"/>
    <s v="PROVISIÓN"/>
    <x v="2"/>
    <s v="CONDELL"/>
    <m/>
    <s v="B2-SCANIA"/>
    <n v="1"/>
    <n v="2023"/>
    <n v="96"/>
  </r>
  <r>
    <x v="1"/>
    <s v="LXDJ19"/>
    <n v="2067"/>
    <x v="2"/>
    <x v="0"/>
    <x v="3"/>
    <x v="2"/>
    <x v="2"/>
    <d v="2023-01-07T00:00:00"/>
    <s v="PROVISIÓN"/>
    <x v="2"/>
    <s v="CONDELL"/>
    <m/>
    <s v="B2-SCANIA"/>
    <n v="1"/>
    <n v="2023"/>
    <n v="96"/>
  </r>
  <r>
    <x v="1"/>
    <s v="LXDJ20"/>
    <n v="2068"/>
    <x v="2"/>
    <x v="0"/>
    <x v="3"/>
    <x v="2"/>
    <x v="2"/>
    <d v="2023-01-02T00:00:00"/>
    <s v="PROVISIÓN"/>
    <x v="2"/>
    <s v="CONDELL"/>
    <m/>
    <s v="B2-SCANIA"/>
    <n v="1"/>
    <n v="2023"/>
    <n v="96"/>
  </r>
  <r>
    <x v="1"/>
    <s v="LXDJ21"/>
    <n v="2069"/>
    <x v="2"/>
    <x v="0"/>
    <x v="3"/>
    <x v="2"/>
    <x v="2"/>
    <d v="2023-01-02T00:00:00"/>
    <s v="PROVISIÓN"/>
    <x v="2"/>
    <s v="CONDELL"/>
    <m/>
    <s v="B2-SCANIA"/>
    <n v="1"/>
    <n v="2023"/>
    <n v="96"/>
  </r>
  <r>
    <x v="1"/>
    <s v="LXDJ22"/>
    <n v="2070"/>
    <x v="2"/>
    <x v="0"/>
    <x v="3"/>
    <x v="2"/>
    <x v="2"/>
    <d v="2022-12-17T00:00:00"/>
    <s v="PROVISIÓN"/>
    <x v="2"/>
    <s v="CONDELL"/>
    <m/>
    <s v="B2-SCANIA"/>
    <n v="12"/>
    <n v="2022"/>
    <n v="96"/>
  </r>
  <r>
    <x v="1"/>
    <s v="LXDJ24"/>
    <n v="2072"/>
    <x v="2"/>
    <x v="0"/>
    <x v="3"/>
    <x v="2"/>
    <x v="2"/>
    <d v="2023-01-02T00:00:00"/>
    <s v="PROVISIÓN"/>
    <x v="2"/>
    <s v="CONDELL"/>
    <m/>
    <s v="B2-SCANIA"/>
    <n v="1"/>
    <n v="2023"/>
    <n v="96"/>
  </r>
  <r>
    <x v="1"/>
    <s v="LXDJ25"/>
    <n v="2073"/>
    <x v="2"/>
    <x v="0"/>
    <x v="3"/>
    <x v="2"/>
    <x v="2"/>
    <d v="2023-01-07T00:00:00"/>
    <s v="PROVISIÓN"/>
    <x v="2"/>
    <s v="CONDELL"/>
    <m/>
    <s v="B2-SCANIA"/>
    <n v="1"/>
    <n v="2023"/>
    <n v="96"/>
  </r>
  <r>
    <x v="1"/>
    <s v="SHXF30"/>
    <n v="4035"/>
    <x v="4"/>
    <x v="0"/>
    <x v="0"/>
    <x v="2"/>
    <x v="2"/>
    <d v="2023-01-02T00:00:00"/>
    <s v="SUMINISTRO"/>
    <x v="2"/>
    <s v="EL RETIRO"/>
    <m/>
    <s v="C2-VOLVO"/>
    <n v="1"/>
    <n v="2023"/>
    <n v="156"/>
  </r>
  <r>
    <x v="1"/>
    <s v="SHXG17"/>
    <n v="4036"/>
    <x v="4"/>
    <x v="0"/>
    <x v="0"/>
    <x v="2"/>
    <x v="2"/>
    <d v="2023-01-02T00:00:00"/>
    <s v="SUMINISTRO"/>
    <x v="2"/>
    <s v="EL RETIRO"/>
    <m/>
    <s v="C2-VOLVO"/>
    <n v="1"/>
    <n v="2023"/>
    <n v="156"/>
  </r>
  <r>
    <x v="1"/>
    <s v="SHXG31"/>
    <n v="4038"/>
    <x v="4"/>
    <x v="0"/>
    <x v="0"/>
    <x v="2"/>
    <x v="2"/>
    <d v="2023-01-02T00:00:00"/>
    <s v="SUMINISTRO"/>
    <x v="2"/>
    <s v="EL RETIRO"/>
    <m/>
    <s v="C2-VOLVO"/>
    <n v="1"/>
    <n v="2023"/>
    <n v="156"/>
  </r>
  <r>
    <x v="1"/>
    <s v="SHXG34"/>
    <n v="4040"/>
    <x v="4"/>
    <x v="0"/>
    <x v="0"/>
    <x v="2"/>
    <x v="2"/>
    <d v="2023-01-02T00:00:00"/>
    <s v="SUMINISTRO"/>
    <x v="2"/>
    <s v="EL RETIRO"/>
    <m/>
    <s v="C2-VOLVO"/>
    <n v="1"/>
    <n v="2023"/>
    <n v="156"/>
  </r>
  <r>
    <x v="1"/>
    <s v="SJPC36"/>
    <n v="4043"/>
    <x v="4"/>
    <x v="1"/>
    <x v="0"/>
    <x v="2"/>
    <x v="2"/>
    <d v="2023-01-02T00:00:00"/>
    <s v="SUMINISTRO"/>
    <x v="2"/>
    <s v="EL RETIRO"/>
    <m/>
    <s v="C2-VOLVO"/>
    <n v="1"/>
    <n v="2023"/>
    <n v="156"/>
  </r>
  <r>
    <x v="1"/>
    <s v="SJPC37"/>
    <n v="4044"/>
    <x v="4"/>
    <x v="0"/>
    <x v="0"/>
    <x v="2"/>
    <x v="2"/>
    <d v="2023-01-02T00:00:00"/>
    <s v="SUMINISTRO"/>
    <x v="2"/>
    <s v="EL RETIRO"/>
    <m/>
    <s v="C2-VOLVO"/>
    <n v="1"/>
    <n v="2023"/>
    <n v="156"/>
  </r>
  <r>
    <x v="1"/>
    <s v="SJPC41"/>
    <n v="4046"/>
    <x v="4"/>
    <x v="0"/>
    <x v="0"/>
    <x v="2"/>
    <x v="2"/>
    <d v="2023-01-02T00:00:00"/>
    <s v="SUMINISTRO"/>
    <x v="2"/>
    <s v="EL RETIRO"/>
    <m/>
    <s v="C2-VOLVO"/>
    <n v="1"/>
    <n v="2023"/>
    <n v="156"/>
  </r>
  <r>
    <x v="1"/>
    <s v="SJPC45"/>
    <n v="4048"/>
    <x v="4"/>
    <x v="0"/>
    <x v="0"/>
    <x v="2"/>
    <x v="2"/>
    <d v="2023-01-02T00:00:00"/>
    <s v="SUMINISTRO"/>
    <x v="2"/>
    <s v="EL RETIRO"/>
    <m/>
    <s v="C2-VOLVO"/>
    <n v="1"/>
    <n v="2023"/>
    <n v="156"/>
  </r>
  <r>
    <x v="1"/>
    <s v="SJPC48"/>
    <n v="4049"/>
    <x v="4"/>
    <x v="0"/>
    <x v="0"/>
    <x v="2"/>
    <x v="2"/>
    <d v="2023-01-02T00:00:00"/>
    <s v="SUMINISTRO"/>
    <x v="2"/>
    <s v="EL RETIRO"/>
    <m/>
    <s v="C2-VOLVO"/>
    <n v="1"/>
    <n v="2023"/>
    <n v="156"/>
  </r>
  <r>
    <x v="1"/>
    <s v="SJPC49"/>
    <n v="4050"/>
    <x v="4"/>
    <x v="0"/>
    <x v="0"/>
    <x v="2"/>
    <x v="2"/>
    <d v="2023-01-02T00:00:00"/>
    <s v="SUMINISTRO"/>
    <x v="2"/>
    <s v="EL RETIRO"/>
    <m/>
    <s v="C2-VOLVO"/>
    <n v="1"/>
    <n v="2023"/>
    <n v="156"/>
  </r>
  <r>
    <x v="1"/>
    <s v="SJPC52"/>
    <n v="4052"/>
    <x v="4"/>
    <x v="0"/>
    <x v="0"/>
    <x v="2"/>
    <x v="2"/>
    <d v="2023-01-02T00:00:00"/>
    <s v="SUMINISTRO"/>
    <x v="2"/>
    <s v="EL RETIRO"/>
    <m/>
    <s v="C2-VOLVO"/>
    <n v="1"/>
    <n v="2023"/>
    <n v="156"/>
  </r>
  <r>
    <x v="1"/>
    <s v="SJPD89"/>
    <n v="4057"/>
    <x v="4"/>
    <x v="0"/>
    <x v="0"/>
    <x v="2"/>
    <x v="2"/>
    <d v="2023-01-02T00:00:00"/>
    <s v="SUMINISTRO"/>
    <x v="2"/>
    <s v="EL RETIRO"/>
    <m/>
    <s v="C2-VOLVO"/>
    <n v="1"/>
    <n v="2023"/>
    <n v="156"/>
  </r>
  <r>
    <x v="1"/>
    <s v="SJPD90"/>
    <n v="4058"/>
    <x v="4"/>
    <x v="0"/>
    <x v="0"/>
    <x v="2"/>
    <x v="2"/>
    <d v="2023-01-02T00:00:00"/>
    <s v="SUMINISTRO"/>
    <x v="2"/>
    <s v="EL RETIRO"/>
    <m/>
    <s v="C2-VOLVO"/>
    <n v="1"/>
    <n v="2023"/>
    <n v="156"/>
  </r>
  <r>
    <x v="1"/>
    <s v="SJPD91"/>
    <n v="4059"/>
    <x v="4"/>
    <x v="0"/>
    <x v="0"/>
    <x v="2"/>
    <x v="2"/>
    <d v="2023-01-02T00:00:00"/>
    <s v="SUMINISTRO"/>
    <x v="2"/>
    <s v="EL RETIRO"/>
    <m/>
    <s v="C2-VOLVO"/>
    <n v="1"/>
    <n v="2023"/>
    <n v="156"/>
  </r>
  <r>
    <x v="1"/>
    <s v="SJPD93"/>
    <n v="4061"/>
    <x v="4"/>
    <x v="0"/>
    <x v="0"/>
    <x v="2"/>
    <x v="2"/>
    <d v="2023-01-02T00:00:00"/>
    <s v="SUMINISTRO"/>
    <x v="2"/>
    <s v="EL RETIRO"/>
    <m/>
    <s v="C2-VOLVO"/>
    <n v="1"/>
    <n v="2023"/>
    <n v="156"/>
  </r>
  <r>
    <x v="1"/>
    <s v="SJPD95"/>
    <n v="4063"/>
    <x v="4"/>
    <x v="0"/>
    <x v="0"/>
    <x v="2"/>
    <x v="2"/>
    <d v="2023-01-02T00:00:00"/>
    <s v="SUMINISTRO"/>
    <x v="2"/>
    <s v="EL RETIRO"/>
    <m/>
    <s v="C2-VOLVO"/>
    <n v="1"/>
    <n v="2023"/>
    <n v="156"/>
  </r>
  <r>
    <x v="1"/>
    <s v="SJPD96"/>
    <n v="4064"/>
    <x v="4"/>
    <x v="0"/>
    <x v="0"/>
    <x v="2"/>
    <x v="2"/>
    <d v="2023-01-02T00:00:00"/>
    <s v="SUMINISTRO"/>
    <x v="2"/>
    <s v="EL RETIRO"/>
    <m/>
    <s v="C2-VOLVO"/>
    <n v="1"/>
    <n v="2023"/>
    <n v="156"/>
  </r>
  <r>
    <x v="1"/>
    <s v="SJPC68"/>
    <n v="4067"/>
    <x v="4"/>
    <x v="0"/>
    <x v="0"/>
    <x v="2"/>
    <x v="2"/>
    <d v="2023-01-07T00:00:00"/>
    <s v="SUMINISTRO"/>
    <x v="2"/>
    <s v="EL RETIRO"/>
    <m/>
    <s v="C2-VOLVO"/>
    <n v="1"/>
    <n v="2023"/>
    <n v="156"/>
  </r>
  <r>
    <x v="1"/>
    <s v="SJPF87"/>
    <n v="4069"/>
    <x v="4"/>
    <x v="0"/>
    <x v="0"/>
    <x v="2"/>
    <x v="2"/>
    <d v="2023-01-07T00:00:00"/>
    <s v="SUMINISTRO"/>
    <x v="2"/>
    <s v="EL RETIRO"/>
    <m/>
    <s v="C2-VOLVO"/>
    <n v="1"/>
    <n v="2023"/>
    <n v="156"/>
  </r>
  <r>
    <x v="0"/>
    <s v="LBTS75"/>
    <n v="6027"/>
    <x v="2"/>
    <x v="0"/>
    <x v="1"/>
    <x v="3"/>
    <x v="3"/>
    <d v="2023-03-18T00:00:00"/>
    <s v="PROVISIÓN"/>
    <x v="3"/>
    <s v="PIE ANDINO"/>
    <m/>
    <s v="B2-MERCEDES BENZ"/>
    <n v="3"/>
    <n v="2023"/>
    <n v="95"/>
  </r>
  <r>
    <x v="0"/>
    <s v="LBTS76"/>
    <n v="6028"/>
    <x v="2"/>
    <x v="1"/>
    <x v="1"/>
    <x v="3"/>
    <x v="3"/>
    <d v="2023-03-18T00:00:00"/>
    <s v="PROVISIÓN"/>
    <x v="3"/>
    <s v="PIE ANDINO"/>
    <m/>
    <s v="B2-MERCEDES BENZ"/>
    <n v="3"/>
    <n v="2023"/>
    <n v="95"/>
  </r>
  <r>
    <x v="0"/>
    <s v="LBTS77"/>
    <n v="6029"/>
    <x v="2"/>
    <x v="1"/>
    <x v="1"/>
    <x v="3"/>
    <x v="3"/>
    <d v="2023-03-18T00:00:00"/>
    <s v="PROVISIÓN"/>
    <x v="3"/>
    <s v="PIE ANDINO"/>
    <m/>
    <s v="B2-MERCEDES BENZ"/>
    <n v="3"/>
    <n v="2023"/>
    <n v="95"/>
  </r>
  <r>
    <x v="0"/>
    <s v="LBTT14"/>
    <n v="6055"/>
    <x v="2"/>
    <x v="1"/>
    <x v="1"/>
    <x v="3"/>
    <x v="3"/>
    <d v="2023-04-08T00:00:00"/>
    <s v="PROVISIÓN"/>
    <x v="3"/>
    <s v="PIE ANDINO"/>
    <m/>
    <s v="B2-MERCEDES BENZ"/>
    <n v="4"/>
    <n v="2023"/>
    <n v="95"/>
  </r>
  <r>
    <x v="0"/>
    <s v="LBTT22"/>
    <n v="6063"/>
    <x v="2"/>
    <x v="0"/>
    <x v="1"/>
    <x v="3"/>
    <x v="3"/>
    <d v="2023-04-08T00:00:00"/>
    <s v="PROVISIÓN"/>
    <x v="3"/>
    <s v="PIE ANDINO"/>
    <m/>
    <s v="B2-MERCEDES BENZ"/>
    <n v="4"/>
    <n v="2023"/>
    <n v="95"/>
  </r>
  <r>
    <x v="0"/>
    <s v="LCPG33"/>
    <n v="6069"/>
    <x v="2"/>
    <x v="0"/>
    <x v="1"/>
    <x v="3"/>
    <x v="3"/>
    <d v="2023-04-08T00:00:00"/>
    <s v="PROVISIÓN"/>
    <x v="3"/>
    <s v="PIE ANDINO"/>
    <m/>
    <s v="B2-MERCEDES BENZ"/>
    <n v="4"/>
    <n v="2023"/>
    <n v="95"/>
  </r>
  <r>
    <x v="0"/>
    <s v="LCPG45"/>
    <n v="6081"/>
    <x v="2"/>
    <x v="0"/>
    <x v="1"/>
    <x v="3"/>
    <x v="3"/>
    <d v="2023-04-08T00:00:00"/>
    <s v="PROVISIÓN"/>
    <x v="3"/>
    <s v="PIE ANDINO"/>
    <m/>
    <s v="B2-MERCEDES BENZ"/>
    <n v="4"/>
    <n v="2023"/>
    <n v="95"/>
  </r>
  <r>
    <x v="0"/>
    <s v="LCPG49"/>
    <n v="6085"/>
    <x v="2"/>
    <x v="0"/>
    <x v="1"/>
    <x v="3"/>
    <x v="3"/>
    <d v="2023-04-08T00:00:00"/>
    <s v="PROVISIÓN"/>
    <x v="3"/>
    <s v="PIE ANDINO"/>
    <m/>
    <s v="B2-MERCEDES BENZ"/>
    <n v="4"/>
    <n v="2023"/>
    <n v="95"/>
  </r>
  <r>
    <x v="0"/>
    <s v="LCPW28"/>
    <n v="6089"/>
    <x v="2"/>
    <x v="0"/>
    <x v="1"/>
    <x v="3"/>
    <x v="3"/>
    <d v="2023-04-08T00:00:00"/>
    <s v="PROVISIÓN"/>
    <x v="3"/>
    <s v="PIE ANDINO"/>
    <m/>
    <s v="B2-MERCEDES BENZ"/>
    <n v="4"/>
    <n v="2023"/>
    <n v="95"/>
  </r>
  <r>
    <x v="0"/>
    <s v="LCPW29"/>
    <n v="6090"/>
    <x v="2"/>
    <x v="0"/>
    <x v="1"/>
    <x v="3"/>
    <x v="3"/>
    <d v="2023-04-08T00:00:00"/>
    <s v="PROVISIÓN"/>
    <x v="3"/>
    <s v="PIE ANDINO"/>
    <m/>
    <s v="B2-MERCEDES BENZ"/>
    <n v="4"/>
    <n v="2023"/>
    <n v="95"/>
  </r>
  <r>
    <x v="0"/>
    <s v="LBTS79"/>
    <n v="6031"/>
    <x v="2"/>
    <x v="0"/>
    <x v="1"/>
    <x v="3"/>
    <x v="3"/>
    <d v="2023-03-18T00:00:00"/>
    <s v="PROVISIÓN"/>
    <x v="4"/>
    <s v="JUANITA"/>
    <m/>
    <s v="B2-MERCEDES BENZ"/>
    <n v="3"/>
    <n v="2023"/>
    <n v="95"/>
  </r>
  <r>
    <x v="0"/>
    <s v="LBTS80"/>
    <n v="6032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BTS81"/>
    <n v="6033"/>
    <x v="2"/>
    <x v="0"/>
    <x v="1"/>
    <x v="3"/>
    <x v="3"/>
    <d v="2023-03-18T00:00:00"/>
    <s v="PROVISIÓN"/>
    <x v="4"/>
    <s v="JUANITA"/>
    <m/>
    <s v="B2-MERCEDES BENZ"/>
    <n v="3"/>
    <n v="2023"/>
    <n v="95"/>
  </r>
  <r>
    <x v="0"/>
    <s v="LBTS82"/>
    <n v="6034"/>
    <x v="2"/>
    <x v="0"/>
    <x v="1"/>
    <x v="3"/>
    <x v="3"/>
    <d v="2023-03-18T00:00:00"/>
    <s v="PROVISIÓN"/>
    <x v="4"/>
    <s v="JUANITA"/>
    <m/>
    <s v="B2-MERCEDES BENZ"/>
    <n v="3"/>
    <n v="2023"/>
    <n v="95"/>
  </r>
  <r>
    <x v="0"/>
    <s v="LBTS83"/>
    <n v="6035"/>
    <x v="2"/>
    <x v="0"/>
    <x v="1"/>
    <x v="3"/>
    <x v="3"/>
    <d v="2023-03-18T00:00:00"/>
    <s v="PROVISIÓN"/>
    <x v="4"/>
    <s v="JUANITA"/>
    <m/>
    <s v="B2-MERCEDES BENZ"/>
    <n v="3"/>
    <n v="2023"/>
    <n v="95"/>
  </r>
  <r>
    <x v="0"/>
    <s v="LBTS85"/>
    <n v="6036"/>
    <x v="2"/>
    <x v="0"/>
    <x v="1"/>
    <x v="3"/>
    <x v="3"/>
    <d v="2023-03-18T00:00:00"/>
    <s v="PROVISIÓN"/>
    <x v="4"/>
    <s v="JUANITA"/>
    <m/>
    <s v="B2-MERCEDES BENZ"/>
    <n v="3"/>
    <n v="2023"/>
    <n v="95"/>
  </r>
  <r>
    <x v="0"/>
    <s v="LBTS86"/>
    <n v="6037"/>
    <x v="2"/>
    <x v="0"/>
    <x v="1"/>
    <x v="3"/>
    <x v="3"/>
    <d v="2023-03-18T00:00:00"/>
    <s v="PROVISIÓN"/>
    <x v="4"/>
    <s v="JUANITA"/>
    <m/>
    <s v="B2-MERCEDES BENZ"/>
    <n v="3"/>
    <n v="2023"/>
    <n v="95"/>
  </r>
  <r>
    <x v="0"/>
    <s v="LBTS87"/>
    <n v="6038"/>
    <x v="2"/>
    <x v="0"/>
    <x v="1"/>
    <x v="3"/>
    <x v="3"/>
    <d v="2023-03-18T00:00:00"/>
    <s v="PROVISIÓN"/>
    <x v="4"/>
    <s v="JUANITA"/>
    <m/>
    <s v="B2-MERCEDES BENZ"/>
    <n v="3"/>
    <n v="2023"/>
    <n v="95"/>
  </r>
  <r>
    <x v="0"/>
    <s v="LBTS88"/>
    <n v="6039"/>
    <x v="2"/>
    <x v="0"/>
    <x v="1"/>
    <x v="3"/>
    <x v="3"/>
    <d v="2023-03-18T00:00:00"/>
    <s v="PROVISIÓN"/>
    <x v="4"/>
    <s v="JUANITA"/>
    <m/>
    <s v="B2-MERCEDES BENZ"/>
    <n v="3"/>
    <n v="2023"/>
    <n v="95"/>
  </r>
  <r>
    <x v="0"/>
    <s v="LBTS89"/>
    <n v="6040"/>
    <x v="2"/>
    <x v="0"/>
    <x v="1"/>
    <x v="3"/>
    <x v="3"/>
    <d v="2023-03-18T00:00:00"/>
    <s v="PROVISIÓN"/>
    <x v="4"/>
    <s v="JUANITA"/>
    <m/>
    <s v="B2-MERCEDES BENZ"/>
    <n v="3"/>
    <n v="2023"/>
    <n v="95"/>
  </r>
  <r>
    <x v="0"/>
    <s v="LBTS90"/>
    <n v="6041"/>
    <x v="2"/>
    <x v="0"/>
    <x v="1"/>
    <x v="3"/>
    <x v="3"/>
    <d v="2023-03-18T00:00:00"/>
    <s v="PROVISIÓN"/>
    <x v="4"/>
    <s v="JUANITA"/>
    <m/>
    <s v="B2-MERCEDES BENZ"/>
    <n v="3"/>
    <n v="2023"/>
    <n v="95"/>
  </r>
  <r>
    <x v="0"/>
    <s v="LBTS91"/>
    <n v="6042"/>
    <x v="2"/>
    <x v="0"/>
    <x v="1"/>
    <x v="3"/>
    <x v="3"/>
    <d v="2023-03-18T00:00:00"/>
    <s v="PROVISIÓN"/>
    <x v="4"/>
    <s v="JUANITA"/>
    <m/>
    <s v="B2-MERCEDES BENZ"/>
    <n v="3"/>
    <n v="2023"/>
    <n v="95"/>
  </r>
  <r>
    <x v="0"/>
    <s v="LBTS92"/>
    <n v="6043"/>
    <x v="2"/>
    <x v="0"/>
    <x v="1"/>
    <x v="3"/>
    <x v="3"/>
    <d v="2023-03-18T00:00:00"/>
    <s v="PROVISIÓN"/>
    <x v="4"/>
    <s v="JUANITA"/>
    <m/>
    <s v="B2-MERCEDES BENZ"/>
    <n v="3"/>
    <n v="2023"/>
    <n v="95"/>
  </r>
  <r>
    <x v="0"/>
    <s v="LBTS94"/>
    <n v="6045"/>
    <x v="2"/>
    <x v="0"/>
    <x v="1"/>
    <x v="3"/>
    <x v="3"/>
    <d v="2023-03-18T00:00:00"/>
    <s v="PROVISIÓN"/>
    <x v="4"/>
    <s v="JUANITA"/>
    <m/>
    <s v="B2-MERCEDES BENZ"/>
    <n v="3"/>
    <n v="2023"/>
    <n v="95"/>
  </r>
  <r>
    <x v="0"/>
    <s v="LBTS95"/>
    <n v="6046"/>
    <x v="2"/>
    <x v="0"/>
    <x v="1"/>
    <x v="3"/>
    <x v="3"/>
    <d v="2023-03-18T00:00:00"/>
    <s v="PROVISIÓN"/>
    <x v="4"/>
    <s v="JUANITA"/>
    <m/>
    <s v="B2-MERCEDES BENZ"/>
    <n v="3"/>
    <n v="2023"/>
    <n v="95"/>
  </r>
  <r>
    <x v="0"/>
    <s v="LBTS96"/>
    <n v="6047"/>
    <x v="2"/>
    <x v="0"/>
    <x v="1"/>
    <x v="3"/>
    <x v="3"/>
    <d v="2023-03-18T00:00:00"/>
    <s v="PROVISIÓN"/>
    <x v="4"/>
    <s v="JUANITA"/>
    <m/>
    <s v="B2-MERCEDES BENZ"/>
    <n v="3"/>
    <n v="2023"/>
    <n v="95"/>
  </r>
  <r>
    <x v="0"/>
    <s v="LBTS97"/>
    <n v="6048"/>
    <x v="2"/>
    <x v="0"/>
    <x v="1"/>
    <x v="3"/>
    <x v="3"/>
    <d v="2023-03-18T00:00:00"/>
    <s v="PROVISIÓN"/>
    <x v="4"/>
    <s v="JUANITA"/>
    <m/>
    <s v="B2-MERCEDES BENZ"/>
    <n v="3"/>
    <n v="2023"/>
    <n v="95"/>
  </r>
  <r>
    <x v="0"/>
    <s v="LBTS98"/>
    <n v="6049"/>
    <x v="2"/>
    <x v="0"/>
    <x v="1"/>
    <x v="3"/>
    <x v="3"/>
    <d v="2023-03-18T00:00:00"/>
    <s v="PROVISIÓN"/>
    <x v="4"/>
    <s v="JUANITA"/>
    <m/>
    <s v="B2-MERCEDES BENZ"/>
    <n v="3"/>
    <n v="2023"/>
    <n v="95"/>
  </r>
  <r>
    <x v="0"/>
    <s v="LBTS99"/>
    <n v="6050"/>
    <x v="2"/>
    <x v="0"/>
    <x v="1"/>
    <x v="3"/>
    <x v="3"/>
    <d v="2023-03-18T00:00:00"/>
    <s v="PROVISIÓN"/>
    <x v="4"/>
    <s v="JUANITA"/>
    <m/>
    <s v="B2-MERCEDES BENZ"/>
    <n v="3"/>
    <n v="2023"/>
    <n v="95"/>
  </r>
  <r>
    <x v="0"/>
    <s v="LBTT10"/>
    <n v="6051"/>
    <x v="2"/>
    <x v="0"/>
    <x v="1"/>
    <x v="3"/>
    <x v="3"/>
    <d v="2023-03-18T00:00:00"/>
    <s v="PROVISIÓN"/>
    <x v="4"/>
    <s v="JUANITA"/>
    <m/>
    <s v="B2-MERCEDES BENZ"/>
    <n v="3"/>
    <n v="2023"/>
    <n v="95"/>
  </r>
  <r>
    <x v="0"/>
    <s v="LBTT11"/>
    <n v="6052"/>
    <x v="2"/>
    <x v="0"/>
    <x v="1"/>
    <x v="3"/>
    <x v="3"/>
    <d v="2023-03-18T00:00:00"/>
    <s v="PROVISIÓN"/>
    <x v="4"/>
    <s v="JUANITA"/>
    <m/>
    <s v="B2-MERCEDES BENZ"/>
    <n v="3"/>
    <n v="2023"/>
    <n v="95"/>
  </r>
  <r>
    <x v="0"/>
    <s v="LBTT12"/>
    <n v="6053"/>
    <x v="2"/>
    <x v="0"/>
    <x v="1"/>
    <x v="3"/>
    <x v="3"/>
    <d v="2023-03-18T00:00:00"/>
    <s v="PROVISIÓN"/>
    <x v="4"/>
    <s v="JUANITA"/>
    <m/>
    <s v="B2-MERCEDES BENZ"/>
    <n v="3"/>
    <n v="2023"/>
    <n v="95"/>
  </r>
  <r>
    <x v="0"/>
    <s v="LBTT13"/>
    <n v="6054"/>
    <x v="2"/>
    <x v="0"/>
    <x v="1"/>
    <x v="3"/>
    <x v="3"/>
    <d v="2023-03-18T00:00:00"/>
    <s v="PROVISIÓN"/>
    <x v="4"/>
    <s v="JUANITA"/>
    <m/>
    <s v="B2-MERCEDES BENZ"/>
    <n v="3"/>
    <n v="2023"/>
    <n v="95"/>
  </r>
  <r>
    <x v="0"/>
    <s v="LBTT15"/>
    <n v="6056"/>
    <x v="2"/>
    <x v="1"/>
    <x v="1"/>
    <x v="3"/>
    <x v="3"/>
    <d v="2023-04-08T00:00:00"/>
    <s v="PROVISIÓN"/>
    <x v="4"/>
    <s v="JUANITA"/>
    <m/>
    <s v="B2-MERCEDES BENZ"/>
    <n v="4"/>
    <n v="2023"/>
    <n v="95"/>
  </r>
  <r>
    <x v="0"/>
    <s v="LBTT16"/>
    <n v="6057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BTT17"/>
    <n v="6058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BTT18"/>
    <n v="6059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BTT19"/>
    <n v="6060"/>
    <x v="2"/>
    <x v="0"/>
    <x v="1"/>
    <x v="3"/>
    <x v="3"/>
    <d v="2023-03-18T00:00:00"/>
    <s v="PROVISIÓN"/>
    <x v="4"/>
    <s v="JUANITA"/>
    <m/>
    <s v="B2-MERCEDES BENZ"/>
    <n v="3"/>
    <n v="2023"/>
    <n v="95"/>
  </r>
  <r>
    <x v="0"/>
    <s v="LBTT20"/>
    <n v="6061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BTT21"/>
    <n v="6062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BTT23"/>
    <n v="6064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BTT24"/>
    <n v="6065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BTT25"/>
    <n v="6066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CPG31"/>
    <n v="6067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CPG32"/>
    <n v="6068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CPG34"/>
    <n v="6070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CPG36"/>
    <n v="6072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CPG37"/>
    <n v="6073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CPG38"/>
    <n v="6074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CPG39"/>
    <n v="6075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CPG40"/>
    <n v="6076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CPG41"/>
    <n v="6077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CPG42"/>
    <n v="6078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CPG43"/>
    <n v="6079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CPG44"/>
    <n v="6080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CPG46"/>
    <n v="6082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CPG48"/>
    <n v="6084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CPG50"/>
    <n v="6086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CPG51"/>
    <n v="6087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CPG52"/>
    <n v="6088"/>
    <x v="2"/>
    <x v="0"/>
    <x v="1"/>
    <x v="3"/>
    <x v="3"/>
    <d v="2023-04-08T00:00:00"/>
    <s v="PROVISIÓN"/>
    <x v="4"/>
    <s v="JUANITA"/>
    <m/>
    <s v="B2-MERCEDES BENZ"/>
    <n v="4"/>
    <n v="2023"/>
    <n v="95"/>
  </r>
  <r>
    <x v="0"/>
    <s v="LCTG23"/>
    <n v="7000"/>
    <x v="3"/>
    <x v="1"/>
    <x v="4"/>
    <x v="3"/>
    <x v="3"/>
    <d v="2023-04-08T00:00:00"/>
    <s v="PROVISIÓN"/>
    <x v="4"/>
    <s v="JUANITA"/>
    <m/>
    <s v="BE-YUTONG"/>
    <n v="4"/>
    <n v="2023"/>
    <n v="87"/>
  </r>
  <r>
    <x v="0"/>
    <s v="LCTG24"/>
    <n v="7001"/>
    <x v="3"/>
    <x v="1"/>
    <x v="4"/>
    <x v="3"/>
    <x v="3"/>
    <d v="2023-04-08T00:00:00"/>
    <s v="PROVISIÓN"/>
    <x v="4"/>
    <s v="JUANITA"/>
    <m/>
    <s v="BE-YUTONG"/>
    <n v="4"/>
    <n v="2023"/>
    <n v="87"/>
  </r>
  <r>
    <x v="0"/>
    <s v="LCTG25"/>
    <n v="7002"/>
    <x v="3"/>
    <x v="0"/>
    <x v="4"/>
    <x v="3"/>
    <x v="3"/>
    <d v="2023-04-08T00:00:00"/>
    <s v="PROVISIÓN"/>
    <x v="4"/>
    <s v="JUANITA"/>
    <m/>
    <s v="BE-YUTONG"/>
    <n v="4"/>
    <n v="2023"/>
    <n v="87"/>
  </r>
  <r>
    <x v="0"/>
    <s v="LCTG26"/>
    <n v="7003"/>
    <x v="3"/>
    <x v="0"/>
    <x v="4"/>
    <x v="3"/>
    <x v="3"/>
    <d v="2023-04-08T00:00:00"/>
    <s v="PROVISIÓN"/>
    <x v="4"/>
    <s v="JUANITA"/>
    <m/>
    <s v="BE-YUTONG"/>
    <n v="4"/>
    <n v="2023"/>
    <n v="87"/>
  </r>
  <r>
    <x v="0"/>
    <s v="LCTG27"/>
    <n v="7004"/>
    <x v="3"/>
    <x v="0"/>
    <x v="4"/>
    <x v="3"/>
    <x v="3"/>
    <d v="2023-04-08T00:00:00"/>
    <s v="PROVISIÓN"/>
    <x v="4"/>
    <s v="JUANITA"/>
    <m/>
    <s v="BE-YUTONG"/>
    <n v="4"/>
    <n v="2023"/>
    <n v="87"/>
  </r>
  <r>
    <x v="0"/>
    <s v="LCTG28"/>
    <n v="7005"/>
    <x v="3"/>
    <x v="0"/>
    <x v="4"/>
    <x v="3"/>
    <x v="3"/>
    <d v="2023-04-08T00:00:00"/>
    <s v="PROVISIÓN"/>
    <x v="4"/>
    <s v="JUANITA"/>
    <m/>
    <s v="BE-YUTONG"/>
    <n v="4"/>
    <n v="2023"/>
    <n v="87"/>
  </r>
  <r>
    <x v="0"/>
    <s v="LCTG29"/>
    <n v="7006"/>
    <x v="3"/>
    <x v="0"/>
    <x v="4"/>
    <x v="3"/>
    <x v="3"/>
    <d v="2023-04-08T00:00:00"/>
    <s v="PROVISIÓN"/>
    <x v="4"/>
    <s v="JUANITA"/>
    <m/>
    <s v="BE-YUTONG"/>
    <n v="4"/>
    <n v="2023"/>
    <n v="87"/>
  </r>
  <r>
    <x v="0"/>
    <s v="LCTG30"/>
    <n v="7007"/>
    <x v="3"/>
    <x v="0"/>
    <x v="4"/>
    <x v="3"/>
    <x v="3"/>
    <d v="2023-04-08T00:00:00"/>
    <s v="PROVISIÓN"/>
    <x v="4"/>
    <s v="JUANITA"/>
    <m/>
    <s v="BE-YUTONG"/>
    <n v="4"/>
    <n v="2023"/>
    <n v="87"/>
  </r>
  <r>
    <x v="0"/>
    <s v="LCTG31"/>
    <n v="7008"/>
    <x v="3"/>
    <x v="0"/>
    <x v="4"/>
    <x v="3"/>
    <x v="3"/>
    <d v="2023-04-08T00:00:00"/>
    <s v="PROVISIÓN"/>
    <x v="4"/>
    <s v="JUANITA"/>
    <m/>
    <s v="BE-YUTONG"/>
    <n v="4"/>
    <n v="2023"/>
    <n v="87"/>
  </r>
  <r>
    <x v="0"/>
    <s v="LCTG32"/>
    <n v="7009"/>
    <x v="3"/>
    <x v="0"/>
    <x v="4"/>
    <x v="3"/>
    <x v="3"/>
    <d v="2023-04-08T00:00:00"/>
    <s v="PROVISIÓN"/>
    <x v="4"/>
    <s v="JUANITA"/>
    <m/>
    <s v="BE-YUTONG"/>
    <n v="4"/>
    <n v="2023"/>
    <n v="87"/>
  </r>
  <r>
    <x v="0"/>
    <s v="LCTG33"/>
    <n v="7010"/>
    <x v="3"/>
    <x v="0"/>
    <x v="4"/>
    <x v="3"/>
    <x v="3"/>
    <d v="2023-04-08T00:00:00"/>
    <s v="PROVISIÓN"/>
    <x v="4"/>
    <s v="JUANITA"/>
    <m/>
    <s v="BE-YUTONG"/>
    <n v="4"/>
    <n v="2023"/>
    <n v="87"/>
  </r>
  <r>
    <x v="0"/>
    <s v="LCTG34"/>
    <n v="7011"/>
    <x v="3"/>
    <x v="0"/>
    <x v="4"/>
    <x v="3"/>
    <x v="3"/>
    <d v="2023-04-08T00:00:00"/>
    <s v="PROVISIÓN"/>
    <x v="4"/>
    <s v="JUANITA"/>
    <m/>
    <s v="BE-YUTONG"/>
    <n v="4"/>
    <n v="2023"/>
    <n v="87"/>
  </r>
  <r>
    <x v="0"/>
    <s v="LCTG35"/>
    <n v="7012"/>
    <x v="3"/>
    <x v="0"/>
    <x v="4"/>
    <x v="3"/>
    <x v="3"/>
    <d v="2023-04-08T00:00:00"/>
    <s v="PROVISIÓN"/>
    <x v="4"/>
    <s v="JUANITA"/>
    <m/>
    <s v="BE-YUTONG"/>
    <n v="4"/>
    <n v="2023"/>
    <n v="87"/>
  </r>
  <r>
    <x v="0"/>
    <s v="LCTG36"/>
    <n v="7013"/>
    <x v="3"/>
    <x v="0"/>
    <x v="4"/>
    <x v="3"/>
    <x v="3"/>
    <d v="2023-04-08T00:00:00"/>
    <s v="PROVISIÓN"/>
    <x v="4"/>
    <s v="JUANITA"/>
    <m/>
    <s v="BE-YUTONG"/>
    <n v="4"/>
    <n v="2023"/>
    <n v="87"/>
  </r>
  <r>
    <x v="0"/>
    <s v="LCTG37"/>
    <n v="7014"/>
    <x v="3"/>
    <x v="0"/>
    <x v="4"/>
    <x v="3"/>
    <x v="3"/>
    <d v="2023-04-08T00:00:00"/>
    <s v="PROVISIÓN"/>
    <x v="4"/>
    <s v="JUANITA"/>
    <m/>
    <s v="BE-YUTONG"/>
    <n v="4"/>
    <n v="2023"/>
    <n v="87"/>
  </r>
  <r>
    <x v="0"/>
    <s v="LCTG38"/>
    <n v="7015"/>
    <x v="3"/>
    <x v="0"/>
    <x v="4"/>
    <x v="3"/>
    <x v="3"/>
    <d v="2023-04-08T00:00:00"/>
    <s v="PROVISIÓN"/>
    <x v="4"/>
    <s v="JUANITA"/>
    <m/>
    <s v="BE-YUTONG"/>
    <n v="4"/>
    <n v="2023"/>
    <n v="87"/>
  </r>
  <r>
    <x v="0"/>
    <s v="LCTG39"/>
    <n v="7016"/>
    <x v="3"/>
    <x v="0"/>
    <x v="4"/>
    <x v="3"/>
    <x v="3"/>
    <d v="2023-04-08T00:00:00"/>
    <s v="PROVISIÓN"/>
    <x v="4"/>
    <s v="JUANITA"/>
    <m/>
    <s v="BE-YUTONG"/>
    <n v="4"/>
    <n v="2023"/>
    <n v="87"/>
  </r>
  <r>
    <x v="0"/>
    <s v="LCTG40"/>
    <n v="7017"/>
    <x v="3"/>
    <x v="0"/>
    <x v="4"/>
    <x v="3"/>
    <x v="3"/>
    <d v="2023-04-08T00:00:00"/>
    <s v="PROVISIÓN"/>
    <x v="4"/>
    <s v="JUANITA"/>
    <m/>
    <s v="BE-YUTONG"/>
    <n v="4"/>
    <n v="2023"/>
    <n v="87"/>
  </r>
  <r>
    <x v="0"/>
    <s v="LCTG41"/>
    <n v="7018"/>
    <x v="3"/>
    <x v="0"/>
    <x v="4"/>
    <x v="3"/>
    <x v="3"/>
    <d v="2023-04-08T00:00:00"/>
    <s v="PROVISIÓN"/>
    <x v="4"/>
    <s v="JUANITA"/>
    <m/>
    <s v="BE-YUTONG"/>
    <n v="4"/>
    <n v="2023"/>
    <n v="87"/>
  </r>
  <r>
    <x v="0"/>
    <s v="LCTG42"/>
    <n v="7019"/>
    <x v="3"/>
    <x v="0"/>
    <x v="4"/>
    <x v="3"/>
    <x v="3"/>
    <d v="2023-04-08T00:00:00"/>
    <s v="PROVISIÓN"/>
    <x v="4"/>
    <s v="JUANITA"/>
    <m/>
    <s v="BE-YUTONG"/>
    <n v="4"/>
    <n v="2023"/>
    <n v="87"/>
  </r>
  <r>
    <x v="0"/>
    <s v="LCTG43"/>
    <n v="7020"/>
    <x v="3"/>
    <x v="0"/>
    <x v="4"/>
    <x v="3"/>
    <x v="3"/>
    <d v="2023-04-08T00:00:00"/>
    <s v="PROVISIÓN"/>
    <x v="4"/>
    <s v="JUANITA"/>
    <m/>
    <s v="BE-YUTONG"/>
    <n v="4"/>
    <n v="2023"/>
    <n v="87"/>
  </r>
  <r>
    <x v="0"/>
    <s v="LCTG44"/>
    <n v="7021"/>
    <x v="3"/>
    <x v="0"/>
    <x v="4"/>
    <x v="3"/>
    <x v="3"/>
    <d v="2023-04-08T00:00:00"/>
    <s v="PROVISIÓN"/>
    <x v="4"/>
    <s v="JUANITA"/>
    <m/>
    <s v="BE-YUTONG"/>
    <n v="4"/>
    <n v="2023"/>
    <n v="87"/>
  </r>
  <r>
    <x v="0"/>
    <s v="LCTG45"/>
    <n v="7022"/>
    <x v="3"/>
    <x v="0"/>
    <x v="4"/>
    <x v="3"/>
    <x v="3"/>
    <d v="2023-04-08T00:00:00"/>
    <s v="PROVISIÓN"/>
    <x v="4"/>
    <s v="JUANITA"/>
    <m/>
    <s v="BE-YUTONG"/>
    <n v="4"/>
    <n v="2023"/>
    <n v="87"/>
  </r>
  <r>
    <x v="0"/>
    <s v="LCTG46"/>
    <n v="7023"/>
    <x v="3"/>
    <x v="0"/>
    <x v="4"/>
    <x v="3"/>
    <x v="3"/>
    <d v="2023-04-08T00:00:00"/>
    <s v="PROVISIÓN"/>
    <x v="4"/>
    <s v="JUANITA"/>
    <m/>
    <s v="BE-YUTONG"/>
    <n v="4"/>
    <n v="2023"/>
    <n v="87"/>
  </r>
  <r>
    <x v="0"/>
    <s v="LCTG47"/>
    <n v="7024"/>
    <x v="3"/>
    <x v="0"/>
    <x v="4"/>
    <x v="3"/>
    <x v="3"/>
    <d v="2023-04-08T00:00:00"/>
    <s v="PROVISIÓN"/>
    <x v="4"/>
    <s v="JUANITA"/>
    <m/>
    <s v="BE-YUTONG"/>
    <n v="4"/>
    <n v="2023"/>
    <n v="87"/>
  </r>
  <r>
    <x v="0"/>
    <s v="SPZX43"/>
    <n v="7025"/>
    <x v="3"/>
    <x v="1"/>
    <x v="2"/>
    <x v="3"/>
    <x v="3"/>
    <d v="2023-03-18T00:00:00"/>
    <s v="SUMINISTRO"/>
    <x v="4"/>
    <s v="JUANITA"/>
    <m/>
    <s v="BE-FOTON"/>
    <n v="3"/>
    <n v="2023"/>
    <n v="90"/>
  </r>
  <r>
    <x v="0"/>
    <s v="SPZX52"/>
    <n v="7028"/>
    <x v="3"/>
    <x v="1"/>
    <x v="2"/>
    <x v="3"/>
    <x v="3"/>
    <d v="2023-03-18T00:00:00"/>
    <s v="SUMINISTRO"/>
    <x v="4"/>
    <s v="JUANITA"/>
    <m/>
    <s v="BE-FOTON"/>
    <n v="3"/>
    <n v="2023"/>
    <n v="90"/>
  </r>
  <r>
    <x v="0"/>
    <s v="SPZX57"/>
    <n v="7030"/>
    <x v="3"/>
    <x v="0"/>
    <x v="2"/>
    <x v="3"/>
    <x v="3"/>
    <d v="2023-03-18T00:00:00"/>
    <s v="SUMINISTRO"/>
    <x v="4"/>
    <s v="JUANITA"/>
    <m/>
    <s v="BE-FOTON"/>
    <n v="3"/>
    <n v="2023"/>
    <n v="90"/>
  </r>
  <r>
    <x v="0"/>
    <s v="SPZX70"/>
    <n v="7040"/>
    <x v="3"/>
    <x v="1"/>
    <x v="2"/>
    <x v="3"/>
    <x v="3"/>
    <d v="2023-03-18T00:00:00"/>
    <s v="SUMINISTRO"/>
    <x v="4"/>
    <s v="JUANITA"/>
    <m/>
    <s v="BE-FOTON"/>
    <n v="3"/>
    <n v="2023"/>
    <n v="90"/>
  </r>
  <r>
    <x v="0"/>
    <s v="SPZX72"/>
    <n v="7042"/>
    <x v="3"/>
    <x v="0"/>
    <x v="2"/>
    <x v="3"/>
    <x v="3"/>
    <d v="2023-03-18T00:00:00"/>
    <s v="SUMINISTRO"/>
    <x v="4"/>
    <s v="JUANITA"/>
    <m/>
    <s v="BE-FOTON"/>
    <n v="3"/>
    <n v="2023"/>
    <n v="90"/>
  </r>
  <r>
    <x v="0"/>
    <s v="SPZX78"/>
    <n v="7048"/>
    <x v="3"/>
    <x v="0"/>
    <x v="2"/>
    <x v="3"/>
    <x v="3"/>
    <d v="2023-03-18T00:00:00"/>
    <s v="SUMINISTRO"/>
    <x v="4"/>
    <s v="JUANITA"/>
    <m/>
    <s v="BE-FOTON"/>
    <n v="3"/>
    <n v="2023"/>
    <n v="90"/>
  </r>
  <r>
    <x v="0"/>
    <s v="SPZX81"/>
    <n v="7051"/>
    <x v="3"/>
    <x v="0"/>
    <x v="2"/>
    <x v="3"/>
    <x v="3"/>
    <d v="2023-03-18T00:00:00"/>
    <s v="SUMINISTRO"/>
    <x v="4"/>
    <s v="JUANITA"/>
    <m/>
    <s v="BE-FOTON"/>
    <n v="3"/>
    <n v="2023"/>
    <n v="90"/>
  </r>
  <r>
    <x v="0"/>
    <s v="SPZX98"/>
    <n v="7059"/>
    <x v="3"/>
    <x v="0"/>
    <x v="2"/>
    <x v="3"/>
    <x v="3"/>
    <d v="2023-03-18T00:00:00"/>
    <s v="SUMINISTRO"/>
    <x v="4"/>
    <s v="JUANITA"/>
    <m/>
    <s v="BE-FOTON"/>
    <n v="3"/>
    <n v="2023"/>
    <n v="90"/>
  </r>
  <r>
    <x v="0"/>
    <s v="SPZY25"/>
    <n v="7066"/>
    <x v="3"/>
    <x v="0"/>
    <x v="2"/>
    <x v="3"/>
    <x v="3"/>
    <d v="2023-03-18T00:00:00"/>
    <s v="SUMINISTRO"/>
    <x v="4"/>
    <s v="JUANITA"/>
    <m/>
    <s v="BE-FOTON"/>
    <n v="3"/>
    <n v="2023"/>
    <n v="90"/>
  </r>
  <r>
    <x v="0"/>
    <s v="SPZY28"/>
    <n v="7068"/>
    <x v="3"/>
    <x v="0"/>
    <x v="2"/>
    <x v="3"/>
    <x v="3"/>
    <d v="2023-03-18T00:00:00"/>
    <s v="SUMINISTRO"/>
    <x v="4"/>
    <s v="JUANITA"/>
    <m/>
    <s v="BE-FOTON"/>
    <n v="3"/>
    <n v="2023"/>
    <n v="90"/>
  </r>
  <r>
    <x v="0"/>
    <s v="SPZY31"/>
    <n v="7069"/>
    <x v="3"/>
    <x v="0"/>
    <x v="2"/>
    <x v="3"/>
    <x v="3"/>
    <d v="2023-03-18T00:00:00"/>
    <s v="SUMINISTRO"/>
    <x v="4"/>
    <s v="JUANITA"/>
    <m/>
    <s v="BE-FOTON"/>
    <n v="3"/>
    <n v="2023"/>
    <n v="90"/>
  </r>
  <r>
    <x v="0"/>
    <s v="SPZY41"/>
    <n v="7071"/>
    <x v="3"/>
    <x v="0"/>
    <x v="2"/>
    <x v="3"/>
    <x v="3"/>
    <d v="2023-03-18T00:00:00"/>
    <s v="SUMINISTRO"/>
    <x v="4"/>
    <s v="JUANITA"/>
    <m/>
    <s v="BE-FOTON"/>
    <n v="3"/>
    <n v="2023"/>
    <n v="90"/>
  </r>
  <r>
    <x v="0"/>
    <s v="SPZY49"/>
    <n v="7077"/>
    <x v="3"/>
    <x v="0"/>
    <x v="2"/>
    <x v="3"/>
    <x v="3"/>
    <d v="2023-03-18T00:00:00"/>
    <s v="SUMINISTRO"/>
    <x v="4"/>
    <s v="JUANITA"/>
    <m/>
    <s v="BE-FOTON"/>
    <n v="3"/>
    <n v="2023"/>
    <n v="90"/>
  </r>
  <r>
    <x v="0"/>
    <s v="SPZY53"/>
    <n v="7080"/>
    <x v="3"/>
    <x v="0"/>
    <x v="2"/>
    <x v="3"/>
    <x v="3"/>
    <d v="2023-03-18T00:00:00"/>
    <s v="SUMINISTRO"/>
    <x v="4"/>
    <s v="JUANITA"/>
    <m/>
    <s v="BE-FOTON"/>
    <n v="3"/>
    <n v="2023"/>
    <n v="90"/>
  </r>
  <r>
    <x v="0"/>
    <s v="SPZY55"/>
    <n v="7082"/>
    <x v="3"/>
    <x v="0"/>
    <x v="2"/>
    <x v="3"/>
    <x v="3"/>
    <d v="2023-03-18T00:00:00"/>
    <s v="SUMINISTRO"/>
    <x v="4"/>
    <s v="JUANITA"/>
    <m/>
    <s v="BE-FOTON"/>
    <n v="3"/>
    <n v="2023"/>
    <n v="90"/>
  </r>
  <r>
    <x v="0"/>
    <s v="SPZY57"/>
    <n v="7084"/>
    <x v="3"/>
    <x v="0"/>
    <x v="2"/>
    <x v="3"/>
    <x v="3"/>
    <d v="2023-03-18T00:00:00"/>
    <s v="SUMINISTRO"/>
    <x v="4"/>
    <s v="JUANITA"/>
    <m/>
    <s v="BE-FOTON"/>
    <n v="3"/>
    <n v="2023"/>
    <n v="90"/>
  </r>
  <r>
    <x v="0"/>
    <s v="SPZY59"/>
    <n v="7086"/>
    <x v="3"/>
    <x v="0"/>
    <x v="2"/>
    <x v="3"/>
    <x v="3"/>
    <d v="2023-03-18T00:00:00"/>
    <s v="SUMINISTRO"/>
    <x v="4"/>
    <s v="JUANITA"/>
    <m/>
    <s v="BE-FOTON"/>
    <n v="3"/>
    <n v="2023"/>
    <n v="90"/>
  </r>
  <r>
    <x v="0"/>
    <s v="SPZY61"/>
    <n v="7088"/>
    <x v="3"/>
    <x v="0"/>
    <x v="2"/>
    <x v="3"/>
    <x v="3"/>
    <d v="2023-03-18T00:00:00"/>
    <s v="SUMINISTRO"/>
    <x v="4"/>
    <s v="JUANITA"/>
    <m/>
    <s v="BE-FOTON"/>
    <n v="3"/>
    <n v="2023"/>
    <n v="90"/>
  </r>
  <r>
    <x v="0"/>
    <s v="SPZY63"/>
    <n v="7089"/>
    <x v="3"/>
    <x v="0"/>
    <x v="2"/>
    <x v="3"/>
    <x v="3"/>
    <d v="2023-03-18T00:00:00"/>
    <s v="SUMINISTRO"/>
    <x v="4"/>
    <s v="JUANITA"/>
    <m/>
    <s v="BE-FOTON"/>
    <n v="3"/>
    <n v="2023"/>
    <n v="90"/>
  </r>
  <r>
    <x v="0"/>
    <s v="SPZY68"/>
    <n v="7094"/>
    <x v="3"/>
    <x v="0"/>
    <x v="2"/>
    <x v="3"/>
    <x v="3"/>
    <d v="2023-03-18T00:00:00"/>
    <s v="SUMINISTRO"/>
    <x v="4"/>
    <s v="JUANITA"/>
    <m/>
    <s v="BE-FOTON"/>
    <n v="3"/>
    <n v="2023"/>
    <n v="90"/>
  </r>
  <r>
    <x v="0"/>
    <s v="SRVJ10"/>
    <n v="7108"/>
    <x v="3"/>
    <x v="0"/>
    <x v="2"/>
    <x v="3"/>
    <x v="3"/>
    <d v="2023-03-18T00:00:00"/>
    <s v="SUMINISTRO"/>
    <x v="4"/>
    <s v="JUANITA"/>
    <m/>
    <s v="BE-FOTON"/>
    <n v="3"/>
    <n v="2023"/>
    <n v="90"/>
  </r>
  <r>
    <x v="0"/>
    <s v="SRVF74"/>
    <n v="7121"/>
    <x v="3"/>
    <x v="1"/>
    <x v="2"/>
    <x v="3"/>
    <x v="3"/>
    <d v="2023-04-08T00:00:00"/>
    <s v="SUMINISTRO"/>
    <x v="4"/>
    <s v="JUANITA"/>
    <m/>
    <s v="BE-FOTON"/>
    <n v="4"/>
    <n v="2023"/>
    <n v="90"/>
  </r>
  <r>
    <x v="0"/>
    <s v="SRVF76"/>
    <n v="7122"/>
    <x v="3"/>
    <x v="1"/>
    <x v="2"/>
    <x v="3"/>
    <x v="3"/>
    <d v="2023-04-08T00:00:00"/>
    <s v="SUMINISTRO"/>
    <x v="4"/>
    <s v="JUANITA"/>
    <m/>
    <s v="BE-FOTON"/>
    <n v="4"/>
    <n v="2023"/>
    <n v="90"/>
  </r>
  <r>
    <x v="0"/>
    <s v="SRVF79"/>
    <n v="7123"/>
    <x v="3"/>
    <x v="1"/>
    <x v="2"/>
    <x v="3"/>
    <x v="3"/>
    <d v="2023-04-08T00:00:00"/>
    <s v="SUMINISTRO"/>
    <x v="4"/>
    <s v="JUANITA"/>
    <m/>
    <s v="BE-FOTON"/>
    <n v="4"/>
    <n v="2023"/>
    <n v="90"/>
  </r>
  <r>
    <x v="0"/>
    <s v="SRVF81"/>
    <n v="7124"/>
    <x v="3"/>
    <x v="1"/>
    <x v="2"/>
    <x v="3"/>
    <x v="3"/>
    <d v="2023-04-08T00:00:00"/>
    <s v="SUMINISTRO"/>
    <x v="4"/>
    <s v="JUANITA"/>
    <m/>
    <s v="BE-FOTON"/>
    <n v="4"/>
    <n v="2023"/>
    <n v="90"/>
  </r>
  <r>
    <x v="0"/>
    <s v="SRVF83"/>
    <n v="7125"/>
    <x v="3"/>
    <x v="1"/>
    <x v="2"/>
    <x v="3"/>
    <x v="3"/>
    <d v="2023-04-08T00:00:00"/>
    <s v="SUMINISTRO"/>
    <x v="4"/>
    <s v="JUANITA"/>
    <m/>
    <s v="BE-FOTON"/>
    <n v="4"/>
    <n v="2023"/>
    <n v="90"/>
  </r>
  <r>
    <x v="0"/>
    <s v="SRVF84"/>
    <n v="7126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F90"/>
    <n v="7127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F96"/>
    <n v="7128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G10"/>
    <n v="7129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G25"/>
    <n v="7130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G32"/>
    <n v="7131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G44"/>
    <n v="7132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G48"/>
    <n v="7133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G49"/>
    <n v="7134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G53"/>
    <n v="7135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G65"/>
    <n v="7136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G68"/>
    <n v="7137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G70"/>
    <n v="7138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G76"/>
    <n v="7139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G77"/>
    <n v="7140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G81"/>
    <n v="7141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G83"/>
    <n v="7142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G86"/>
    <n v="7143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G88"/>
    <n v="7144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G91"/>
    <n v="7145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G92"/>
    <n v="7146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G94"/>
    <n v="7147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G98"/>
    <n v="7148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H10"/>
    <n v="7149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H11"/>
    <n v="7150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H13"/>
    <n v="7151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H19"/>
    <n v="7152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H22"/>
    <n v="7153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H45"/>
    <n v="7154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H71"/>
    <n v="7155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H73"/>
    <n v="7156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J34"/>
    <n v="7157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J39"/>
    <n v="7158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J43"/>
    <n v="7159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J55"/>
    <n v="7160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J64"/>
    <n v="7161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J78"/>
    <n v="7162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J82"/>
    <n v="7163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J90"/>
    <n v="7164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K11"/>
    <n v="7165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K42"/>
    <n v="7166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K61"/>
    <n v="7167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K90"/>
    <n v="7168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K97"/>
    <n v="7169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L11"/>
    <n v="7170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L15"/>
    <n v="7171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L21"/>
    <n v="7172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L24"/>
    <n v="7173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L25"/>
    <n v="7174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L35"/>
    <n v="7175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L40"/>
    <n v="7176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L45"/>
    <n v="7177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L72"/>
    <n v="7178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L75"/>
    <n v="7179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RVL78"/>
    <n v="7180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THC57"/>
    <n v="7181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THC95"/>
    <n v="7182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THD12"/>
    <n v="7183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THD50"/>
    <n v="7184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THD26"/>
    <n v="7185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THF36"/>
    <n v="7186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HCW69"/>
    <n v="6091"/>
    <x v="2"/>
    <x v="0"/>
    <x v="0"/>
    <x v="4"/>
    <x v="4"/>
    <d v="2023-03-18T00:00:00"/>
    <s v="SUMINISTRO"/>
    <x v="3"/>
    <s v="PIE ANDINO"/>
    <m/>
    <s v="B2-VOLVO"/>
    <n v="3"/>
    <n v="2023"/>
    <n v="96"/>
  </r>
  <r>
    <x v="0"/>
    <s v="SHCW72"/>
    <n v="6102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HCX28"/>
    <n v="6113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HCY15"/>
    <n v="6121"/>
    <x v="2"/>
    <x v="0"/>
    <x v="0"/>
    <x v="4"/>
    <x v="4"/>
    <d v="2023-03-18T00:00:00"/>
    <s v="SUMINISTRO"/>
    <x v="3"/>
    <s v="PIE ANDINO"/>
    <m/>
    <s v="B2-VOLVO"/>
    <n v="3"/>
    <n v="2023"/>
    <n v="96"/>
  </r>
  <r>
    <x v="0"/>
    <s v="SHXD91"/>
    <n v="6125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HXF44"/>
    <n v="6133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HXG93"/>
    <n v="6138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JPF89"/>
    <n v="6151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HXF41"/>
    <n v="6157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HXG89"/>
    <n v="6158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HCX60"/>
    <n v="5006"/>
    <x v="0"/>
    <x v="0"/>
    <x v="0"/>
    <x v="4"/>
    <x v="4"/>
    <d v="2023-03-18T00:00:00"/>
    <s v="SUMINISTRO"/>
    <x v="3"/>
    <s v="PIE ANDINO"/>
    <m/>
    <s v="A2-VOLVO"/>
    <n v="3"/>
    <n v="2023"/>
    <n v="77"/>
  </r>
  <r>
    <x v="0"/>
    <s v="SHCY42"/>
    <n v="5007"/>
    <x v="0"/>
    <x v="0"/>
    <x v="0"/>
    <x v="4"/>
    <x v="4"/>
    <d v="2023-03-18T00:00:00"/>
    <s v="SUMINISTRO"/>
    <x v="3"/>
    <s v="PIE ANDINO"/>
    <m/>
    <s v="A2-VOLVO"/>
    <n v="3"/>
    <n v="2023"/>
    <n v="77"/>
  </r>
  <r>
    <x v="0"/>
    <s v="SHCY60"/>
    <n v="5009"/>
    <x v="0"/>
    <x v="0"/>
    <x v="0"/>
    <x v="4"/>
    <x v="4"/>
    <d v="2023-03-18T00:00:00"/>
    <s v="SUMINISTRO"/>
    <x v="3"/>
    <s v="PIE ANDINO"/>
    <m/>
    <s v="A2-VOLVO"/>
    <n v="3"/>
    <n v="2023"/>
    <n v="77"/>
  </r>
  <r>
    <x v="0"/>
    <s v="SHXD57"/>
    <n v="5010"/>
    <x v="0"/>
    <x v="0"/>
    <x v="0"/>
    <x v="4"/>
    <x v="4"/>
    <d v="2023-03-18T00:00:00"/>
    <s v="SUMINISTRO"/>
    <x v="3"/>
    <s v="PIE ANDINO"/>
    <m/>
    <s v="A2-VOLVO"/>
    <n v="3"/>
    <n v="2023"/>
    <n v="77"/>
  </r>
  <r>
    <x v="0"/>
    <s v="SHXF18"/>
    <n v="5011"/>
    <x v="0"/>
    <x v="0"/>
    <x v="0"/>
    <x v="4"/>
    <x v="4"/>
    <d v="2023-03-18T00:00:00"/>
    <s v="SUMINISTRO"/>
    <x v="3"/>
    <s v="PIE ANDINO"/>
    <m/>
    <s v="A2-VOLVO"/>
    <n v="3"/>
    <n v="2023"/>
    <n v="77"/>
  </r>
  <r>
    <x v="0"/>
    <s v="STHF56"/>
    <n v="7187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THF57"/>
    <n v="7188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THF67"/>
    <n v="7189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SHXF36"/>
    <n v="5012"/>
    <x v="0"/>
    <x v="0"/>
    <x v="0"/>
    <x v="4"/>
    <x v="4"/>
    <d v="2023-03-18T00:00:00"/>
    <s v="SUMINISTRO"/>
    <x v="3"/>
    <s v="PIE ANDINO"/>
    <m/>
    <s v="A2-VOLVO"/>
    <n v="3"/>
    <n v="2023"/>
    <n v="77"/>
  </r>
  <r>
    <x v="0"/>
    <s v="STHF69"/>
    <n v="7190"/>
    <x v="3"/>
    <x v="0"/>
    <x v="2"/>
    <x v="3"/>
    <x v="3"/>
    <d v="2023-04-08T00:00:00"/>
    <s v="SUMINISTRO"/>
    <x v="4"/>
    <s v="JUANITA"/>
    <m/>
    <s v="BE-FOTON"/>
    <n v="4"/>
    <n v="2023"/>
    <n v="90"/>
  </r>
  <r>
    <x v="0"/>
    <s v="TXZH40"/>
    <n v="7191"/>
    <x v="3"/>
    <x v="1"/>
    <x v="2"/>
    <x v="3"/>
    <x v="3"/>
    <d v="2025-02-05T00:00:00"/>
    <s v="PROVISIÓN"/>
    <x v="4"/>
    <s v="JUANITA"/>
    <m/>
    <s v="BE-FOTON"/>
    <n v="2"/>
    <n v="2025"/>
    <n v="90"/>
  </r>
  <r>
    <x v="0"/>
    <s v="TXZH41"/>
    <n v="7192"/>
    <x v="3"/>
    <x v="1"/>
    <x v="2"/>
    <x v="3"/>
    <x v="3"/>
    <d v="2025-02-08T00:00:00"/>
    <s v="PROVISIÓN"/>
    <x v="4"/>
    <s v="JUANITA"/>
    <m/>
    <s v="BE-FOTON"/>
    <n v="2"/>
    <n v="2025"/>
    <n v="90"/>
  </r>
  <r>
    <x v="0"/>
    <s v="TXZH42"/>
    <n v="7193"/>
    <x v="3"/>
    <x v="1"/>
    <x v="2"/>
    <x v="3"/>
    <x v="3"/>
    <d v="2025-02-05T00:00:00"/>
    <s v="PROVISIÓN"/>
    <x v="4"/>
    <s v="JUANITA"/>
    <m/>
    <s v="BE-FOTON"/>
    <n v="2"/>
    <n v="2025"/>
    <n v="90"/>
  </r>
  <r>
    <x v="0"/>
    <s v="SHXF39"/>
    <n v="5013"/>
    <x v="0"/>
    <x v="0"/>
    <x v="0"/>
    <x v="4"/>
    <x v="4"/>
    <d v="2023-03-18T00:00:00"/>
    <s v="SUMINISTRO"/>
    <x v="3"/>
    <s v="PIE ANDINO"/>
    <m/>
    <s v="A2-VOLVO"/>
    <n v="3"/>
    <n v="2023"/>
    <n v="77"/>
  </r>
  <r>
    <x v="0"/>
    <s v="TXZH43"/>
    <n v="7194"/>
    <x v="3"/>
    <x v="1"/>
    <x v="2"/>
    <x v="3"/>
    <x v="3"/>
    <d v="2025-02-08T00:00:00"/>
    <s v="PROVISIÓN"/>
    <x v="4"/>
    <s v="JUANITA"/>
    <m/>
    <s v="BE-FOTON"/>
    <n v="2"/>
    <n v="2025"/>
    <n v="90"/>
  </r>
  <r>
    <x v="0"/>
    <s v="TXZH44"/>
    <n v="7195"/>
    <x v="3"/>
    <x v="1"/>
    <x v="2"/>
    <x v="3"/>
    <x v="3"/>
    <d v="2025-02-05T00:00:00"/>
    <s v="PROVISIÓN"/>
    <x v="4"/>
    <s v="JUANITA"/>
    <m/>
    <s v="BE-FOTON"/>
    <n v="2"/>
    <n v="2025"/>
    <n v="90"/>
  </r>
  <r>
    <x v="0"/>
    <s v="TXZH45"/>
    <n v="7196"/>
    <x v="3"/>
    <x v="1"/>
    <x v="2"/>
    <x v="3"/>
    <x v="3"/>
    <d v="2025-02-04T00:00:00"/>
    <s v="PROVISIÓN"/>
    <x v="4"/>
    <s v="JUANITA"/>
    <m/>
    <s v="BE-FOTON"/>
    <n v="2"/>
    <n v="2025"/>
    <n v="90"/>
  </r>
  <r>
    <x v="0"/>
    <s v="SHXF40"/>
    <n v="5014"/>
    <x v="0"/>
    <x v="0"/>
    <x v="0"/>
    <x v="4"/>
    <x v="4"/>
    <d v="2023-03-18T00:00:00"/>
    <s v="SUMINISTRO"/>
    <x v="3"/>
    <s v="PIE ANDINO"/>
    <m/>
    <s v="A2-VOLVO"/>
    <n v="3"/>
    <n v="2023"/>
    <n v="77"/>
  </r>
  <r>
    <x v="0"/>
    <s v="SHXG86"/>
    <n v="5015"/>
    <x v="0"/>
    <x v="0"/>
    <x v="0"/>
    <x v="4"/>
    <x v="4"/>
    <d v="2023-03-18T00:00:00"/>
    <s v="SUMINISTRO"/>
    <x v="3"/>
    <s v="PIE ANDINO"/>
    <m/>
    <s v="A2-VOLVO"/>
    <n v="3"/>
    <n v="2023"/>
    <n v="77"/>
  </r>
  <r>
    <x v="0"/>
    <s v="SHCY61"/>
    <n v="5016"/>
    <x v="0"/>
    <x v="0"/>
    <x v="0"/>
    <x v="4"/>
    <x v="4"/>
    <d v="2023-03-18T00:00:00"/>
    <s v="SUMINISTRO"/>
    <x v="3"/>
    <s v="PIE ANDINO"/>
    <m/>
    <s v="A2-VOLVO"/>
    <n v="3"/>
    <n v="2023"/>
    <n v="77"/>
  </r>
  <r>
    <x v="0"/>
    <s v="SHCY63"/>
    <n v="5017"/>
    <x v="0"/>
    <x v="0"/>
    <x v="0"/>
    <x v="4"/>
    <x v="4"/>
    <d v="2023-03-18T00:00:00"/>
    <s v="SUMINISTRO"/>
    <x v="3"/>
    <s v="PIE ANDINO"/>
    <m/>
    <s v="A2-VOLVO"/>
    <n v="3"/>
    <n v="2023"/>
    <n v="77"/>
  </r>
  <r>
    <x v="0"/>
    <s v="SHXD82"/>
    <n v="5018"/>
    <x v="0"/>
    <x v="0"/>
    <x v="0"/>
    <x v="4"/>
    <x v="4"/>
    <d v="2023-03-18T00:00:00"/>
    <s v="SUMINISTRO"/>
    <x v="3"/>
    <s v="PIE ANDINO"/>
    <m/>
    <s v="A2-VOLVO"/>
    <n v="3"/>
    <n v="2023"/>
    <n v="77"/>
  </r>
  <r>
    <x v="0"/>
    <s v="SHXD84"/>
    <n v="5019"/>
    <x v="0"/>
    <x v="0"/>
    <x v="0"/>
    <x v="4"/>
    <x v="4"/>
    <d v="2023-03-18T00:00:00"/>
    <s v="SUMINISTRO"/>
    <x v="3"/>
    <s v="PIE ANDINO"/>
    <m/>
    <s v="A2-VOLVO"/>
    <n v="3"/>
    <n v="2023"/>
    <n v="77"/>
  </r>
  <r>
    <x v="0"/>
    <s v="SHXF22"/>
    <n v="5020"/>
    <x v="0"/>
    <x v="0"/>
    <x v="0"/>
    <x v="4"/>
    <x v="4"/>
    <d v="2023-03-18T00:00:00"/>
    <s v="SUMINISTRO"/>
    <x v="3"/>
    <s v="PIE ANDINO"/>
    <m/>
    <s v="A2-VOLVO"/>
    <n v="3"/>
    <n v="2023"/>
    <n v="77"/>
  </r>
  <r>
    <x v="0"/>
    <s v="SHCY65"/>
    <n v="5022"/>
    <x v="0"/>
    <x v="0"/>
    <x v="0"/>
    <x v="4"/>
    <x v="4"/>
    <d v="2023-03-18T00:00:00"/>
    <s v="SUMINISTRO"/>
    <x v="3"/>
    <s v="PIE ANDINO"/>
    <m/>
    <s v="A2-VOLVO"/>
    <n v="3"/>
    <n v="2023"/>
    <n v="77"/>
  </r>
  <r>
    <x v="0"/>
    <s v="LBTS78"/>
    <n v="6030"/>
    <x v="2"/>
    <x v="1"/>
    <x v="1"/>
    <x v="4"/>
    <x v="4"/>
    <d v="2023-03-18T00:00:00"/>
    <s v="PROVISIÓN"/>
    <x v="3"/>
    <s v="PIE ANDINO"/>
    <m/>
    <s v="B2-MERCEDES BENZ"/>
    <n v="3"/>
    <n v="2023"/>
    <n v="95"/>
  </r>
  <r>
    <x v="0"/>
    <s v="LCPG47"/>
    <n v="6083"/>
    <x v="2"/>
    <x v="0"/>
    <x v="1"/>
    <x v="4"/>
    <x v="4"/>
    <d v="2023-04-08T00:00:00"/>
    <s v="PROVISIÓN"/>
    <x v="3"/>
    <s v="PIE ANDINO"/>
    <m/>
    <s v="B2-MERCEDES BENZ"/>
    <n v="4"/>
    <n v="2023"/>
    <n v="95"/>
  </r>
  <r>
    <x v="0"/>
    <s v="SHCW74"/>
    <n v="6092"/>
    <x v="2"/>
    <x v="0"/>
    <x v="0"/>
    <x v="4"/>
    <x v="4"/>
    <d v="2023-03-18T00:00:00"/>
    <s v="SUMINISTRO"/>
    <x v="3"/>
    <s v="PIE ANDINO"/>
    <m/>
    <s v="B2-VOLVO"/>
    <n v="3"/>
    <n v="2023"/>
    <n v="96"/>
  </r>
  <r>
    <x v="0"/>
    <s v="SHCW62"/>
    <n v="6094"/>
    <x v="2"/>
    <x v="1"/>
    <x v="0"/>
    <x v="4"/>
    <x v="4"/>
    <d v="2023-02-25T00:00:00"/>
    <s v="SUMINISTRO"/>
    <x v="3"/>
    <s v="PIE ANDINO"/>
    <m/>
    <s v="B2-VOLVO"/>
    <n v="2"/>
    <n v="2023"/>
    <n v="96"/>
  </r>
  <r>
    <x v="0"/>
    <s v="SHCW63"/>
    <n v="6095"/>
    <x v="2"/>
    <x v="1"/>
    <x v="0"/>
    <x v="4"/>
    <x v="4"/>
    <d v="2023-02-25T00:00:00"/>
    <s v="SUMINISTRO"/>
    <x v="3"/>
    <s v="PIE ANDINO"/>
    <m/>
    <s v="B2-VOLVO"/>
    <n v="2"/>
    <n v="2023"/>
    <n v="96"/>
  </r>
  <r>
    <x v="0"/>
    <s v="SHCW65"/>
    <n v="6097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HCW67"/>
    <n v="6098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HCW68"/>
    <n v="6099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HCW70"/>
    <n v="6100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HCW78"/>
    <n v="6107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HXD92"/>
    <n v="6126"/>
    <x v="2"/>
    <x v="0"/>
    <x v="0"/>
    <x v="4"/>
    <x v="3"/>
    <d v="2023-02-25T00:00:00"/>
    <s v="SUMINISTRO"/>
    <x v="3"/>
    <s v="PIE ANDINO"/>
    <m/>
    <s v="B2-VOLVO"/>
    <n v="2"/>
    <n v="2023"/>
    <n v="96"/>
  </r>
  <r>
    <x v="0"/>
    <s v="SHCW80"/>
    <n v="6109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HXG92"/>
    <n v="6137"/>
    <x v="2"/>
    <x v="0"/>
    <x v="0"/>
    <x v="4"/>
    <x v="3"/>
    <d v="2023-02-25T00:00:00"/>
    <s v="SUMINISTRO"/>
    <x v="3"/>
    <s v="PIE ANDINO"/>
    <m/>
    <s v="B2-VOLVO"/>
    <n v="2"/>
    <n v="2023"/>
    <n v="96"/>
  </r>
  <r>
    <x v="0"/>
    <s v="SHCW81"/>
    <n v="6110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HCX32"/>
    <n v="6117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HCX33"/>
    <n v="6118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HXD89"/>
    <n v="6123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HXG95"/>
    <n v="6140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JPC39"/>
    <n v="6144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JPC40"/>
    <n v="6145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JPC42"/>
    <n v="6146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JPC43"/>
    <n v="6147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JPC75"/>
    <n v="6148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JPD87"/>
    <n v="6149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JPD98"/>
    <n v="6150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JPF90"/>
    <n v="6152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HCY19"/>
    <n v="6154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SJPD86"/>
    <n v="6159"/>
    <x v="2"/>
    <x v="0"/>
    <x v="0"/>
    <x v="4"/>
    <x v="4"/>
    <d v="2023-02-25T00:00:00"/>
    <s v="SUMINISTRO"/>
    <x v="3"/>
    <s v="PIE ANDINO"/>
    <m/>
    <s v="B2-VOLVO"/>
    <n v="2"/>
    <n v="2023"/>
    <n v="96"/>
  </r>
  <r>
    <x v="0"/>
    <s v="TFYL48"/>
    <n v="6161"/>
    <x v="2"/>
    <x v="1"/>
    <x v="0"/>
    <x v="4"/>
    <x v="4"/>
    <d v="2024-04-25T00:00:00"/>
    <s v="SUMINISTRO"/>
    <x v="3"/>
    <s v="PIE ANDINO"/>
    <m/>
    <s v="B2-VOLVO"/>
    <n v="4"/>
    <n v="2024"/>
    <n v="96"/>
  </r>
  <r>
    <x v="0"/>
    <s v="SPZX47"/>
    <n v="7026"/>
    <x v="3"/>
    <x v="1"/>
    <x v="2"/>
    <x v="4"/>
    <x v="4"/>
    <d v="2023-03-18T00:00:00"/>
    <s v="SUMINISTRO"/>
    <x v="3"/>
    <s v="PIE ANDINO"/>
    <m/>
    <s v="BE-FOTON"/>
    <n v="3"/>
    <n v="2023"/>
    <n v="90"/>
  </r>
  <r>
    <x v="0"/>
    <s v="SPZX48"/>
    <n v="7027"/>
    <x v="3"/>
    <x v="1"/>
    <x v="2"/>
    <x v="4"/>
    <x v="4"/>
    <d v="2023-03-18T00:00:00"/>
    <s v="SUMINISTRO"/>
    <x v="3"/>
    <s v="PIE ANDINO"/>
    <m/>
    <s v="BE-FOTON"/>
    <n v="3"/>
    <n v="2023"/>
    <n v="90"/>
  </r>
  <r>
    <x v="0"/>
    <s v="SPZX53"/>
    <n v="7029"/>
    <x v="3"/>
    <x v="1"/>
    <x v="2"/>
    <x v="4"/>
    <x v="4"/>
    <d v="2023-03-18T00:00:00"/>
    <s v="SUMINISTRO"/>
    <x v="3"/>
    <s v="PIE ANDINO"/>
    <m/>
    <s v="BE-FOTON"/>
    <n v="3"/>
    <n v="2023"/>
    <n v="90"/>
  </r>
  <r>
    <x v="0"/>
    <s v="SPZX59"/>
    <n v="7031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X62"/>
    <n v="7032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X63"/>
    <n v="7033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X64"/>
    <n v="7034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X65"/>
    <n v="7035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X66"/>
    <n v="7036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X67"/>
    <n v="7037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X68"/>
    <n v="7038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X69"/>
    <n v="7039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X71"/>
    <n v="7041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X73"/>
    <n v="7043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X74"/>
    <n v="7044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X75"/>
    <n v="7045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X76"/>
    <n v="7046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X77"/>
    <n v="7047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X79"/>
    <n v="7049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X80"/>
    <n v="7050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X82"/>
    <n v="7052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X83"/>
    <n v="7053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X84"/>
    <n v="7054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X85"/>
    <n v="7055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X93"/>
    <n v="7056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X95"/>
    <n v="7057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X96"/>
    <n v="7058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13"/>
    <n v="7060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15"/>
    <n v="7061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16"/>
    <n v="7062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18"/>
    <n v="7063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23"/>
    <n v="7064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24"/>
    <n v="7065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27"/>
    <n v="7067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37"/>
    <n v="7070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42"/>
    <n v="7072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43"/>
    <n v="7073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44"/>
    <n v="7074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45"/>
    <n v="7075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48"/>
    <n v="7076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50"/>
    <n v="7078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51"/>
    <n v="7079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54"/>
    <n v="7081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56"/>
    <n v="7083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58"/>
    <n v="7085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60"/>
    <n v="7087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64"/>
    <n v="7090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65"/>
    <n v="7091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66"/>
    <n v="7092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67"/>
    <n v="7093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69"/>
    <n v="7095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70"/>
    <n v="7096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71"/>
    <n v="7097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75"/>
    <n v="7099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78"/>
    <n v="7100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79"/>
    <n v="7101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81"/>
    <n v="7102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85"/>
    <n v="7103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86"/>
    <n v="7104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PZY87"/>
    <n v="7105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RVH33"/>
    <n v="7106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RVH40"/>
    <n v="7107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RVJ17"/>
    <n v="7109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RVJ25"/>
    <n v="7110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RVJ48"/>
    <n v="7111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RVJ72"/>
    <n v="7112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RVK25"/>
    <n v="7113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RVK73"/>
    <n v="7114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RVK82"/>
    <n v="7115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RVL13"/>
    <n v="7116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RVL29"/>
    <n v="7117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RVL59"/>
    <n v="7118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RVL70"/>
    <n v="7119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SRVL81"/>
    <n v="7120"/>
    <x v="3"/>
    <x v="0"/>
    <x v="2"/>
    <x v="4"/>
    <x v="4"/>
    <d v="2023-03-18T00:00:00"/>
    <s v="SUMINISTRO"/>
    <x v="3"/>
    <s v="PIE ANDINO"/>
    <m/>
    <s v="BE-FOTON"/>
    <n v="3"/>
    <n v="2023"/>
    <n v="90"/>
  </r>
  <r>
    <x v="0"/>
    <s v="TXZH46"/>
    <n v="7197"/>
    <x v="3"/>
    <x v="1"/>
    <x v="2"/>
    <x v="4"/>
    <x v="4"/>
    <d v="2025-02-07T00:00:00"/>
    <s v="PROVISIÓN"/>
    <x v="3"/>
    <s v="PIE ANDINO"/>
    <m/>
    <s v="BE-FOTON"/>
    <n v="2"/>
    <n v="2025"/>
    <n v="90"/>
  </r>
  <r>
    <x v="0"/>
    <s v="TXZH47"/>
    <n v="7198"/>
    <x v="3"/>
    <x v="0"/>
    <x v="2"/>
    <x v="4"/>
    <x v="4"/>
    <d v="2025-02-06T00:00:00"/>
    <s v="PROVISIÓN"/>
    <x v="3"/>
    <s v="PIE ANDINO"/>
    <m/>
    <s v="BE-FOTON"/>
    <n v="2"/>
    <n v="2025"/>
    <n v="90"/>
  </r>
  <r>
    <x v="0"/>
    <s v="TXZH48"/>
    <n v="7199"/>
    <x v="3"/>
    <x v="0"/>
    <x v="2"/>
    <x v="4"/>
    <x v="4"/>
    <d v="2025-02-07T00:00:00"/>
    <s v="PROVISIÓN"/>
    <x v="3"/>
    <s v="PIE ANDINO"/>
    <m/>
    <s v="BE-FOTON"/>
    <n v="2"/>
    <n v="2025"/>
    <n v="90"/>
  </r>
  <r>
    <x v="1"/>
    <s v="LXDH88"/>
    <n v="2046"/>
    <x v="2"/>
    <x v="0"/>
    <x v="3"/>
    <x v="5"/>
    <x v="5"/>
    <d v="2022-12-17T00:00:00"/>
    <s v="PROVISIÓN"/>
    <x v="2"/>
    <s v="CONDELL"/>
    <m/>
    <s v="B2-SCANIA"/>
    <n v="12"/>
    <n v="2022"/>
    <n v="96"/>
  </r>
  <r>
    <x v="1"/>
    <s v="LXDJ17"/>
    <n v="2065"/>
    <x v="2"/>
    <x v="0"/>
    <x v="3"/>
    <x v="5"/>
    <x v="5"/>
    <d v="2023-01-07T00:00:00"/>
    <s v="PROVISIÓN"/>
    <x v="2"/>
    <s v="CONDELL"/>
    <m/>
    <s v="B2-SCANIA"/>
    <n v="1"/>
    <n v="2023"/>
    <n v="96"/>
  </r>
  <r>
    <x v="1"/>
    <s v="LXDJ18"/>
    <n v="2066"/>
    <x v="2"/>
    <x v="0"/>
    <x v="3"/>
    <x v="5"/>
    <x v="5"/>
    <d v="2023-01-02T00:00:00"/>
    <s v="PROVISIÓN"/>
    <x v="2"/>
    <s v="CONDELL"/>
    <m/>
    <s v="B2-SCANIA"/>
    <n v="1"/>
    <n v="2023"/>
    <n v="96"/>
  </r>
  <r>
    <x v="1"/>
    <s v="LXDJ26"/>
    <n v="2074"/>
    <x v="2"/>
    <x v="0"/>
    <x v="3"/>
    <x v="5"/>
    <x v="5"/>
    <d v="2023-01-07T00:00:00"/>
    <s v="PROVISIÓN"/>
    <x v="2"/>
    <s v="CONDELL"/>
    <m/>
    <s v="B2-SCANIA"/>
    <n v="1"/>
    <n v="2023"/>
    <n v="96"/>
  </r>
  <r>
    <x v="1"/>
    <s v="LXDJ27"/>
    <n v="2075"/>
    <x v="2"/>
    <x v="0"/>
    <x v="3"/>
    <x v="5"/>
    <x v="5"/>
    <d v="2023-01-07T00:00:00"/>
    <s v="PROVISIÓN"/>
    <x v="2"/>
    <s v="CONDELL"/>
    <m/>
    <s v="B2-SCANIA"/>
    <n v="1"/>
    <n v="2023"/>
    <n v="96"/>
  </r>
  <r>
    <x v="1"/>
    <s v="LXDJ28"/>
    <n v="2076"/>
    <x v="2"/>
    <x v="0"/>
    <x v="3"/>
    <x v="5"/>
    <x v="5"/>
    <d v="2023-01-02T00:00:00"/>
    <s v="PROVISIÓN"/>
    <x v="2"/>
    <s v="CONDELL"/>
    <m/>
    <s v="B2-SCANIA"/>
    <n v="1"/>
    <n v="2023"/>
    <n v="96"/>
  </r>
  <r>
    <x v="1"/>
    <s v="LXDJ29"/>
    <n v="2077"/>
    <x v="2"/>
    <x v="0"/>
    <x v="3"/>
    <x v="5"/>
    <x v="5"/>
    <d v="2023-01-07T00:00:00"/>
    <s v="PROVISIÓN"/>
    <x v="2"/>
    <s v="CONDELL"/>
    <m/>
    <s v="B2-SCANIA"/>
    <n v="1"/>
    <n v="2023"/>
    <n v="96"/>
  </r>
  <r>
    <x v="1"/>
    <s v="LXDJ30"/>
    <n v="2078"/>
    <x v="2"/>
    <x v="0"/>
    <x v="3"/>
    <x v="5"/>
    <x v="5"/>
    <d v="2023-01-02T00:00:00"/>
    <s v="PROVISIÓN"/>
    <x v="2"/>
    <s v="CONDELL"/>
    <m/>
    <s v="B2-SCANIA"/>
    <n v="1"/>
    <n v="2023"/>
    <n v="96"/>
  </r>
  <r>
    <x v="1"/>
    <s v="LXDJ31"/>
    <n v="2079"/>
    <x v="2"/>
    <x v="0"/>
    <x v="3"/>
    <x v="5"/>
    <x v="5"/>
    <d v="2023-01-02T00:00:00"/>
    <s v="PROVISIÓN"/>
    <x v="2"/>
    <s v="CONDELL"/>
    <m/>
    <s v="B2-SCANIA"/>
    <n v="1"/>
    <n v="2023"/>
    <n v="96"/>
  </r>
  <r>
    <x v="1"/>
    <s v="SHCY18"/>
    <n v="4025"/>
    <x v="4"/>
    <x v="0"/>
    <x v="0"/>
    <x v="5"/>
    <x v="5"/>
    <d v="2023-01-02T00:00:00"/>
    <s v="SUMINISTRO"/>
    <x v="2"/>
    <s v="EL RETIRO"/>
    <m/>
    <s v="C2-VOLVO"/>
    <n v="1"/>
    <n v="2023"/>
    <n v="156"/>
  </r>
  <r>
    <x v="1"/>
    <s v="SHXC20"/>
    <n v="4026"/>
    <x v="4"/>
    <x v="0"/>
    <x v="0"/>
    <x v="5"/>
    <x v="5"/>
    <d v="2023-01-02T00:00:00"/>
    <s v="SUMINISTRO"/>
    <x v="2"/>
    <s v="EL RETIRO"/>
    <m/>
    <s v="C2-VOLVO"/>
    <n v="1"/>
    <n v="2023"/>
    <n v="156"/>
  </r>
  <r>
    <x v="1"/>
    <s v="SHCY17"/>
    <n v="4027"/>
    <x v="4"/>
    <x v="0"/>
    <x v="0"/>
    <x v="5"/>
    <x v="5"/>
    <d v="2023-01-02T00:00:00"/>
    <s v="SUMINISTRO"/>
    <x v="2"/>
    <s v="EL RETIRO"/>
    <m/>
    <s v="C2-VOLVO"/>
    <n v="1"/>
    <n v="2023"/>
    <n v="156"/>
  </r>
  <r>
    <x v="1"/>
    <s v="SHXD76"/>
    <n v="4028"/>
    <x v="4"/>
    <x v="0"/>
    <x v="0"/>
    <x v="5"/>
    <x v="5"/>
    <d v="2023-01-02T00:00:00"/>
    <s v="SUMINISTRO"/>
    <x v="2"/>
    <s v="EL RETIRO"/>
    <m/>
    <s v="C2-VOLVO"/>
    <n v="1"/>
    <n v="2023"/>
    <n v="156"/>
  </r>
  <r>
    <x v="1"/>
    <s v="SHXD78"/>
    <n v="4029"/>
    <x v="4"/>
    <x v="0"/>
    <x v="0"/>
    <x v="5"/>
    <x v="5"/>
    <d v="2023-01-02T00:00:00"/>
    <s v="SUMINISTRO"/>
    <x v="2"/>
    <s v="EL RETIRO"/>
    <m/>
    <s v="C2-VOLVO"/>
    <n v="1"/>
    <n v="2023"/>
    <n v="156"/>
  </r>
  <r>
    <x v="1"/>
    <s v="SHXF24"/>
    <n v="4030"/>
    <x v="4"/>
    <x v="0"/>
    <x v="0"/>
    <x v="5"/>
    <x v="5"/>
    <d v="2023-01-02T00:00:00"/>
    <s v="SUMINISTRO"/>
    <x v="2"/>
    <s v="EL RETIRO"/>
    <m/>
    <s v="C2-VOLVO"/>
    <n v="1"/>
    <n v="2023"/>
    <n v="156"/>
  </r>
  <r>
    <x v="1"/>
    <s v="SHXF26"/>
    <n v="4032"/>
    <x v="4"/>
    <x v="0"/>
    <x v="0"/>
    <x v="5"/>
    <x v="5"/>
    <d v="2023-01-02T00:00:00"/>
    <s v="SUMINISTRO"/>
    <x v="2"/>
    <s v="EL RETIRO"/>
    <m/>
    <s v="C2-VOLVO"/>
    <n v="1"/>
    <n v="2023"/>
    <n v="156"/>
  </r>
  <r>
    <x v="1"/>
    <s v="SHXF27"/>
    <n v="4033"/>
    <x v="4"/>
    <x v="0"/>
    <x v="0"/>
    <x v="5"/>
    <x v="5"/>
    <d v="2023-01-02T00:00:00"/>
    <s v="SUMINISTRO"/>
    <x v="2"/>
    <s v="EL RETIRO"/>
    <m/>
    <s v="C2-VOLVO"/>
    <n v="1"/>
    <n v="2023"/>
    <n v="156"/>
  </r>
  <r>
    <x v="1"/>
    <s v="SHXF28"/>
    <n v="4034"/>
    <x v="4"/>
    <x v="0"/>
    <x v="0"/>
    <x v="5"/>
    <x v="5"/>
    <d v="2023-01-02T00:00:00"/>
    <s v="SUMINISTRO"/>
    <x v="2"/>
    <s v="EL RETIRO"/>
    <m/>
    <s v="C2-VOLVO"/>
    <n v="1"/>
    <n v="2023"/>
    <n v="156"/>
  </r>
  <r>
    <x v="1"/>
    <s v="SHXG30"/>
    <n v="4037"/>
    <x v="4"/>
    <x v="0"/>
    <x v="0"/>
    <x v="5"/>
    <x v="5"/>
    <d v="2023-01-02T00:00:00"/>
    <s v="SUMINISTRO"/>
    <x v="2"/>
    <s v="EL RETIRO"/>
    <m/>
    <s v="C2-VOLVO"/>
    <n v="1"/>
    <n v="2023"/>
    <n v="156"/>
  </r>
  <r>
    <x v="1"/>
    <s v="SHXG32"/>
    <n v="4039"/>
    <x v="4"/>
    <x v="0"/>
    <x v="0"/>
    <x v="5"/>
    <x v="5"/>
    <d v="2023-01-02T00:00:00"/>
    <s v="SUMINISTRO"/>
    <x v="2"/>
    <s v="EL RETIRO"/>
    <m/>
    <s v="C2-VOLVO"/>
    <n v="1"/>
    <n v="2023"/>
    <n v="156"/>
  </r>
  <r>
    <x v="1"/>
    <s v="SJPC38"/>
    <n v="4045"/>
    <x v="4"/>
    <x v="0"/>
    <x v="0"/>
    <x v="5"/>
    <x v="5"/>
    <d v="2023-01-02T00:00:00"/>
    <s v="SUMINISTRO"/>
    <x v="2"/>
    <s v="EL RETIRO"/>
    <m/>
    <s v="C2-VOLVO"/>
    <n v="1"/>
    <n v="2023"/>
    <n v="156"/>
  </r>
  <r>
    <x v="1"/>
    <s v="SJPC44"/>
    <n v="4047"/>
    <x v="4"/>
    <x v="0"/>
    <x v="0"/>
    <x v="5"/>
    <x v="5"/>
    <d v="2023-01-02T00:00:00"/>
    <s v="SUMINISTRO"/>
    <x v="2"/>
    <s v="EL RETIRO"/>
    <m/>
    <s v="C2-VOLVO"/>
    <n v="1"/>
    <n v="2023"/>
    <n v="156"/>
  </r>
  <r>
    <x v="1"/>
    <s v="SJPC56"/>
    <n v="4053"/>
    <x v="4"/>
    <x v="0"/>
    <x v="0"/>
    <x v="5"/>
    <x v="5"/>
    <d v="2023-01-02T00:00:00"/>
    <s v="SUMINISTRO"/>
    <x v="2"/>
    <s v="EL RETIRO"/>
    <m/>
    <s v="C2-VOLVO"/>
    <n v="1"/>
    <n v="2023"/>
    <n v="156"/>
  </r>
  <r>
    <x v="1"/>
    <s v="SJPC66"/>
    <n v="4054"/>
    <x v="4"/>
    <x v="0"/>
    <x v="0"/>
    <x v="5"/>
    <x v="5"/>
    <d v="2023-01-02T00:00:00"/>
    <s v="SUMINISTRO"/>
    <x v="2"/>
    <s v="EL RETIRO"/>
    <m/>
    <s v="C2-VOLVO"/>
    <n v="1"/>
    <n v="2023"/>
    <n v="156"/>
  </r>
  <r>
    <x v="1"/>
    <s v="SJPC67"/>
    <n v="4055"/>
    <x v="4"/>
    <x v="0"/>
    <x v="0"/>
    <x v="5"/>
    <x v="5"/>
    <d v="2023-01-02T00:00:00"/>
    <s v="SUMINISTRO"/>
    <x v="2"/>
    <s v="EL RETIRO"/>
    <m/>
    <s v="C2-VOLVO"/>
    <n v="1"/>
    <n v="2023"/>
    <n v="156"/>
  </r>
  <r>
    <x v="1"/>
    <s v="SJPD92"/>
    <n v="4060"/>
    <x v="4"/>
    <x v="0"/>
    <x v="0"/>
    <x v="5"/>
    <x v="5"/>
    <d v="2023-01-02T00:00:00"/>
    <s v="SUMINISTRO"/>
    <x v="2"/>
    <s v="EL RETIRO"/>
    <m/>
    <s v="C2-VOLVO"/>
    <n v="1"/>
    <n v="2023"/>
    <n v="156"/>
  </r>
  <r>
    <x v="1"/>
    <s v="SJPD94"/>
    <n v="4062"/>
    <x v="4"/>
    <x v="0"/>
    <x v="0"/>
    <x v="5"/>
    <x v="5"/>
    <d v="2023-01-02T00:00:00"/>
    <s v="SUMINISTRO"/>
    <x v="2"/>
    <s v="EL RETIRO"/>
    <m/>
    <s v="C2-VOLVO"/>
    <n v="1"/>
    <n v="2023"/>
    <n v="156"/>
  </r>
  <r>
    <x v="1"/>
    <s v="SJPD99"/>
    <n v="4065"/>
    <x v="4"/>
    <x v="0"/>
    <x v="0"/>
    <x v="5"/>
    <x v="5"/>
    <d v="2023-01-02T00:00:00"/>
    <s v="SUMINISTRO"/>
    <x v="2"/>
    <s v="EL RETIRO"/>
    <m/>
    <s v="C2-VOLVO"/>
    <n v="1"/>
    <n v="2023"/>
    <n v="156"/>
  </r>
  <r>
    <x v="1"/>
    <s v="SHCY36"/>
    <n v="1006"/>
    <x v="0"/>
    <x v="0"/>
    <x v="0"/>
    <x v="6"/>
    <x v="6"/>
    <d v="2023-04-22T00:00:00"/>
    <s v="SUMINISTRO"/>
    <x v="5"/>
    <s v="STA MARTA"/>
    <m/>
    <s v="A2-VOLVO"/>
    <n v="4"/>
    <n v="2023"/>
    <n v="77"/>
  </r>
  <r>
    <x v="1"/>
    <s v="SHCY37"/>
    <n v="1007"/>
    <x v="0"/>
    <x v="0"/>
    <x v="0"/>
    <x v="6"/>
    <x v="6"/>
    <d v="2023-04-22T00:00:00"/>
    <s v="SUMINISTRO"/>
    <x v="5"/>
    <s v="STA MARTA"/>
    <m/>
    <s v="A2-VOLVO"/>
    <n v="4"/>
    <n v="2023"/>
    <n v="77"/>
  </r>
  <r>
    <x v="1"/>
    <s v="SHCY51"/>
    <n v="1014"/>
    <x v="0"/>
    <x v="0"/>
    <x v="0"/>
    <x v="6"/>
    <x v="6"/>
    <d v="2023-04-22T00:00:00"/>
    <s v="SUMINISTRO"/>
    <x v="5"/>
    <s v="STA MARTA"/>
    <m/>
    <s v="A2-VOLVO"/>
    <n v="4"/>
    <n v="2023"/>
    <n v="77"/>
  </r>
  <r>
    <x v="1"/>
    <s v="SHCY16"/>
    <n v="1016"/>
    <x v="0"/>
    <x v="0"/>
    <x v="0"/>
    <x v="6"/>
    <x v="6"/>
    <d v="2023-04-22T00:00:00"/>
    <s v="SUMINISTRO"/>
    <x v="5"/>
    <s v="STA MARTA"/>
    <m/>
    <s v="A2-VOLVO"/>
    <n v="4"/>
    <n v="2023"/>
    <n v="77"/>
  </r>
  <r>
    <x v="1"/>
    <s v="SHCY35"/>
    <n v="1017"/>
    <x v="0"/>
    <x v="0"/>
    <x v="0"/>
    <x v="6"/>
    <x v="6"/>
    <d v="2023-04-22T00:00:00"/>
    <s v="SUMINISTRO"/>
    <x v="5"/>
    <s v="STA MARTA"/>
    <m/>
    <s v="A2-VOLVO"/>
    <n v="4"/>
    <n v="2023"/>
    <n v="77"/>
  </r>
  <r>
    <x v="1"/>
    <s v="SHCX43"/>
    <n v="1024"/>
    <x v="0"/>
    <x v="0"/>
    <x v="0"/>
    <x v="6"/>
    <x v="6"/>
    <d v="2023-04-22T00:00:00"/>
    <s v="SUMINISTRO"/>
    <x v="5"/>
    <s v="STA MARTA"/>
    <m/>
    <s v="A2-VOLVO"/>
    <n v="4"/>
    <n v="2023"/>
    <n v="77"/>
  </r>
  <r>
    <x v="1"/>
    <s v="SHCY59"/>
    <n v="1025"/>
    <x v="0"/>
    <x v="0"/>
    <x v="0"/>
    <x v="6"/>
    <x v="6"/>
    <d v="2023-04-22T00:00:00"/>
    <s v="SUMINISTRO"/>
    <x v="5"/>
    <s v="STA MARTA"/>
    <m/>
    <s v="A2-VOLVO"/>
    <n v="4"/>
    <n v="2023"/>
    <n v="77"/>
  </r>
  <r>
    <x v="1"/>
    <s v="SHCX54"/>
    <n v="1026"/>
    <x v="0"/>
    <x v="0"/>
    <x v="0"/>
    <x v="6"/>
    <x v="6"/>
    <d v="2023-04-22T00:00:00"/>
    <s v="SUMINISTRO"/>
    <x v="5"/>
    <s v="STA MARTA"/>
    <m/>
    <s v="A2-VOLVO"/>
    <n v="4"/>
    <n v="2023"/>
    <n v="77"/>
  </r>
  <r>
    <x v="1"/>
    <s v="SHCY58"/>
    <n v="1027"/>
    <x v="0"/>
    <x v="0"/>
    <x v="0"/>
    <x v="6"/>
    <x v="6"/>
    <d v="2023-04-22T00:00:00"/>
    <s v="SUMINISTRO"/>
    <x v="5"/>
    <s v="STA MARTA"/>
    <m/>
    <s v="A2-VOLVO"/>
    <n v="4"/>
    <n v="2023"/>
    <n v="77"/>
  </r>
  <r>
    <x v="1"/>
    <s v="SHXF23"/>
    <n v="1030"/>
    <x v="0"/>
    <x v="0"/>
    <x v="0"/>
    <x v="6"/>
    <x v="6"/>
    <d v="2023-04-22T00:00:00"/>
    <s v="SUMINISTRO"/>
    <x v="5"/>
    <s v="STA MARTA"/>
    <m/>
    <s v="A2-VOLVO"/>
    <n v="4"/>
    <n v="2023"/>
    <n v="77"/>
  </r>
  <r>
    <x v="1"/>
    <s v="SHCY64"/>
    <n v="1031"/>
    <x v="0"/>
    <x v="0"/>
    <x v="0"/>
    <x v="6"/>
    <x v="6"/>
    <d v="2023-04-22T00:00:00"/>
    <s v="SUMINISTRO"/>
    <x v="5"/>
    <s v="STA MARTA"/>
    <m/>
    <s v="A2-VOLVO"/>
    <n v="4"/>
    <n v="2023"/>
    <n v="77"/>
  </r>
  <r>
    <x v="1"/>
    <s v="SHCY57"/>
    <n v="1032"/>
    <x v="0"/>
    <x v="0"/>
    <x v="0"/>
    <x v="6"/>
    <x v="6"/>
    <d v="2023-04-22T00:00:00"/>
    <s v="SUMINISTRO"/>
    <x v="5"/>
    <s v="STA MARTA"/>
    <m/>
    <s v="A2-VOLVO"/>
    <n v="4"/>
    <n v="2023"/>
    <n v="77"/>
  </r>
  <r>
    <x v="1"/>
    <s v="SHXF45"/>
    <n v="1033"/>
    <x v="0"/>
    <x v="0"/>
    <x v="0"/>
    <x v="6"/>
    <x v="6"/>
    <d v="2023-04-22T00:00:00"/>
    <s v="SUMINISTRO"/>
    <x v="5"/>
    <s v="STA MARTA"/>
    <m/>
    <s v="A2-VOLVO"/>
    <n v="4"/>
    <n v="2023"/>
    <n v="77"/>
  </r>
  <r>
    <x v="1"/>
    <s v="SHXF19"/>
    <n v="1034"/>
    <x v="0"/>
    <x v="0"/>
    <x v="0"/>
    <x v="6"/>
    <x v="6"/>
    <d v="2023-04-22T00:00:00"/>
    <s v="SUMINISTRO"/>
    <x v="5"/>
    <s v="STA MARTA"/>
    <m/>
    <s v="A2-VOLVO"/>
    <n v="4"/>
    <n v="2023"/>
    <n v="77"/>
  </r>
  <r>
    <x v="1"/>
    <s v="SJPB20"/>
    <n v="1035"/>
    <x v="0"/>
    <x v="0"/>
    <x v="0"/>
    <x v="6"/>
    <x v="6"/>
    <d v="2023-04-22T00:00:00"/>
    <s v="SUMINISTRO"/>
    <x v="5"/>
    <s v="STA MARTA"/>
    <m/>
    <s v="A2-VOLVO"/>
    <n v="4"/>
    <n v="2023"/>
    <n v="77"/>
  </r>
  <r>
    <x v="1"/>
    <s v="SJPC30"/>
    <n v="1036"/>
    <x v="0"/>
    <x v="0"/>
    <x v="0"/>
    <x v="6"/>
    <x v="6"/>
    <d v="2023-04-22T00:00:00"/>
    <s v="SUMINISTRO"/>
    <x v="5"/>
    <s v="STA MARTA"/>
    <m/>
    <s v="A2-VOLVO"/>
    <n v="4"/>
    <n v="2023"/>
    <n v="77"/>
  </r>
  <r>
    <x v="1"/>
    <s v="FLXS43"/>
    <n v="2000"/>
    <x v="1"/>
    <x v="0"/>
    <x v="1"/>
    <x v="6"/>
    <x v="6"/>
    <d v="2023-04-22T00:00:00"/>
    <s v="PROVISIÓN"/>
    <x v="5"/>
    <s v="STA MARTA"/>
    <m/>
    <s v="BPAL-MERCEDES BENZ"/>
    <n v="4"/>
    <n v="2023"/>
    <n v="90"/>
  </r>
  <r>
    <x v="1"/>
    <s v="FLXS44"/>
    <n v="2001"/>
    <x v="1"/>
    <x v="0"/>
    <x v="1"/>
    <x v="6"/>
    <x v="6"/>
    <d v="2023-04-22T00:00:00"/>
    <s v="PROVISIÓN"/>
    <x v="5"/>
    <s v="STA MARTA"/>
    <m/>
    <s v="BPAL-MERCEDES BENZ"/>
    <n v="4"/>
    <n v="2023"/>
    <n v="90"/>
  </r>
  <r>
    <x v="1"/>
    <s v="FLXS45"/>
    <n v="2002"/>
    <x v="1"/>
    <x v="0"/>
    <x v="1"/>
    <x v="6"/>
    <x v="6"/>
    <d v="2023-04-22T00:00:00"/>
    <s v="PROVISIÓN"/>
    <x v="5"/>
    <s v="STA MARTA"/>
    <m/>
    <s v="BPAL-MERCEDES BENZ"/>
    <n v="4"/>
    <n v="2023"/>
    <n v="90"/>
  </r>
  <r>
    <x v="1"/>
    <s v="FLXS46"/>
    <n v="2003"/>
    <x v="1"/>
    <x v="0"/>
    <x v="1"/>
    <x v="6"/>
    <x v="6"/>
    <d v="2023-04-22T00:00:00"/>
    <s v="PROVISIÓN"/>
    <x v="5"/>
    <s v="STA MARTA"/>
    <m/>
    <s v="BPAL-MERCEDES BENZ"/>
    <n v="4"/>
    <n v="2023"/>
    <n v="90"/>
  </r>
  <r>
    <x v="1"/>
    <s v="FLXS47"/>
    <n v="2004"/>
    <x v="1"/>
    <x v="0"/>
    <x v="1"/>
    <x v="6"/>
    <x v="6"/>
    <d v="2023-04-22T00:00:00"/>
    <s v="PROVISIÓN"/>
    <x v="5"/>
    <s v="STA MARTA"/>
    <m/>
    <s v="BPAL-MERCEDES BENZ"/>
    <n v="4"/>
    <n v="2023"/>
    <n v="90"/>
  </r>
  <r>
    <x v="1"/>
    <s v="FLXS48"/>
    <n v="2005"/>
    <x v="1"/>
    <x v="0"/>
    <x v="1"/>
    <x v="6"/>
    <x v="6"/>
    <d v="2023-04-22T00:00:00"/>
    <s v="PROVISIÓN"/>
    <x v="5"/>
    <s v="STA MARTA"/>
    <m/>
    <s v="BPAL-MERCEDES BENZ"/>
    <n v="4"/>
    <n v="2023"/>
    <n v="90"/>
  </r>
  <r>
    <x v="1"/>
    <s v="FLXS49"/>
    <n v="2006"/>
    <x v="1"/>
    <x v="0"/>
    <x v="1"/>
    <x v="6"/>
    <x v="6"/>
    <d v="2023-04-22T00:00:00"/>
    <s v="PROVISIÓN"/>
    <x v="5"/>
    <s v="STA MARTA"/>
    <m/>
    <s v="BPAL-MERCEDES BENZ"/>
    <n v="4"/>
    <n v="2023"/>
    <n v="90"/>
  </r>
  <r>
    <x v="1"/>
    <s v="FLXS50"/>
    <n v="2007"/>
    <x v="1"/>
    <x v="0"/>
    <x v="1"/>
    <x v="6"/>
    <x v="6"/>
    <d v="2023-04-22T00:00:00"/>
    <s v="PROVISIÓN"/>
    <x v="5"/>
    <s v="STA MARTA"/>
    <m/>
    <s v="BPAL-MERCEDES BENZ"/>
    <n v="4"/>
    <n v="2023"/>
    <n v="90"/>
  </r>
  <r>
    <x v="1"/>
    <s v="FLXS51"/>
    <n v="2008"/>
    <x v="1"/>
    <x v="0"/>
    <x v="1"/>
    <x v="6"/>
    <x v="6"/>
    <d v="2023-04-22T00:00:00"/>
    <s v="PROVISIÓN"/>
    <x v="5"/>
    <s v="STA MARTA"/>
    <m/>
    <s v="BPAL-MERCEDES BENZ"/>
    <n v="4"/>
    <n v="2023"/>
    <n v="90"/>
  </r>
  <r>
    <x v="1"/>
    <s v="FLXS52"/>
    <n v="2009"/>
    <x v="1"/>
    <x v="0"/>
    <x v="1"/>
    <x v="6"/>
    <x v="6"/>
    <d v="2023-04-22T00:00:00"/>
    <s v="PROVISIÓN"/>
    <x v="5"/>
    <s v="STA MARTA"/>
    <m/>
    <s v="BPAL-MERCEDES BENZ"/>
    <n v="4"/>
    <n v="2023"/>
    <n v="90"/>
  </r>
  <r>
    <x v="1"/>
    <s v="FLXS53"/>
    <n v="2010"/>
    <x v="1"/>
    <x v="0"/>
    <x v="1"/>
    <x v="6"/>
    <x v="6"/>
    <d v="2023-04-22T00:00:00"/>
    <s v="PROVISIÓN"/>
    <x v="5"/>
    <s v="STA MARTA"/>
    <m/>
    <s v="BPAL-MERCEDES BENZ"/>
    <n v="4"/>
    <n v="2023"/>
    <n v="90"/>
  </r>
  <r>
    <x v="1"/>
    <s v="FLXS54"/>
    <n v="2011"/>
    <x v="1"/>
    <x v="0"/>
    <x v="1"/>
    <x v="6"/>
    <x v="6"/>
    <d v="2023-04-22T00:00:00"/>
    <s v="PROVISIÓN"/>
    <x v="5"/>
    <s v="STA MARTA"/>
    <m/>
    <s v="BPAL-MERCEDES BENZ"/>
    <n v="4"/>
    <n v="2023"/>
    <n v="90"/>
  </r>
  <r>
    <x v="1"/>
    <s v="FLXS55"/>
    <n v="2012"/>
    <x v="1"/>
    <x v="0"/>
    <x v="1"/>
    <x v="6"/>
    <x v="6"/>
    <d v="2023-04-22T00:00:00"/>
    <s v="PROVISIÓN"/>
    <x v="5"/>
    <s v="STA MARTA"/>
    <m/>
    <s v="BPAL-MERCEDES BENZ"/>
    <n v="4"/>
    <n v="2023"/>
    <n v="90"/>
  </r>
  <r>
    <x v="1"/>
    <s v="FLXS56"/>
    <n v="2013"/>
    <x v="1"/>
    <x v="0"/>
    <x v="1"/>
    <x v="6"/>
    <x v="6"/>
    <d v="2023-04-22T00:00:00"/>
    <s v="PROVISIÓN"/>
    <x v="5"/>
    <s v="STA MARTA"/>
    <m/>
    <s v="BPAL-MERCEDES BENZ"/>
    <n v="4"/>
    <n v="2023"/>
    <n v="90"/>
  </r>
  <r>
    <x v="1"/>
    <s v="FLXS57"/>
    <n v="2014"/>
    <x v="1"/>
    <x v="0"/>
    <x v="1"/>
    <x v="6"/>
    <x v="6"/>
    <d v="2023-04-22T00:00:00"/>
    <s v="PROVISIÓN"/>
    <x v="5"/>
    <s v="STA MARTA"/>
    <m/>
    <s v="BPAL-MERCEDES BENZ"/>
    <n v="4"/>
    <n v="2023"/>
    <n v="90"/>
  </r>
  <r>
    <x v="1"/>
    <s v="FLXS58"/>
    <n v="2015"/>
    <x v="1"/>
    <x v="0"/>
    <x v="1"/>
    <x v="6"/>
    <x v="6"/>
    <d v="2023-04-22T00:00:00"/>
    <s v="PROVISIÓN"/>
    <x v="5"/>
    <s v="STA MARTA"/>
    <m/>
    <s v="BPAL-MERCEDES BENZ"/>
    <n v="4"/>
    <n v="2023"/>
    <n v="90"/>
  </r>
  <r>
    <x v="1"/>
    <s v="FLXS59"/>
    <n v="2016"/>
    <x v="1"/>
    <x v="0"/>
    <x v="1"/>
    <x v="6"/>
    <x v="6"/>
    <d v="2023-04-22T00:00:00"/>
    <s v="PROVISIÓN"/>
    <x v="5"/>
    <s v="STA MARTA"/>
    <m/>
    <s v="BPAL-MERCEDES BENZ"/>
    <n v="4"/>
    <n v="2023"/>
    <n v="90"/>
  </r>
  <r>
    <x v="1"/>
    <s v="FLXS61"/>
    <n v="2018"/>
    <x v="1"/>
    <x v="0"/>
    <x v="1"/>
    <x v="6"/>
    <x v="6"/>
    <d v="2023-04-22T00:00:00"/>
    <s v="PROVISIÓN"/>
    <x v="5"/>
    <s v="STA MARTA"/>
    <m/>
    <s v="BPAL-MERCEDES BENZ"/>
    <n v="4"/>
    <n v="2023"/>
    <n v="90"/>
  </r>
  <r>
    <x v="1"/>
    <s v="FLXS63"/>
    <n v="2020"/>
    <x v="1"/>
    <x v="0"/>
    <x v="1"/>
    <x v="6"/>
    <x v="6"/>
    <d v="2023-04-22T00:00:00"/>
    <s v="PROVISIÓN"/>
    <x v="5"/>
    <s v="STA MARTA"/>
    <m/>
    <s v="BPAL-MERCEDES BENZ"/>
    <n v="4"/>
    <n v="2023"/>
    <n v="90"/>
  </r>
  <r>
    <x v="1"/>
    <s v="FLXP83"/>
    <n v="2021"/>
    <x v="1"/>
    <x v="1"/>
    <x v="1"/>
    <x v="6"/>
    <x v="6"/>
    <d v="2023-04-22T00:00:00"/>
    <s v="PROVISIÓN"/>
    <x v="5"/>
    <s v="STA MARTA"/>
    <m/>
    <s v="BPAL-MERCEDES BENZ"/>
    <n v="4"/>
    <n v="2023"/>
    <n v="90"/>
  </r>
  <r>
    <x v="1"/>
    <s v="FLXP84"/>
    <n v="2022"/>
    <x v="1"/>
    <x v="1"/>
    <x v="1"/>
    <x v="6"/>
    <x v="6"/>
    <d v="2023-04-22T00:00:00"/>
    <s v="PROVISIÓN"/>
    <x v="5"/>
    <s v="STA MARTA"/>
    <m/>
    <s v="BPAL-MERCEDES BENZ"/>
    <n v="4"/>
    <n v="2023"/>
    <n v="90"/>
  </r>
  <r>
    <x v="1"/>
    <s v="FLXP85"/>
    <n v="2023"/>
    <x v="1"/>
    <x v="0"/>
    <x v="1"/>
    <x v="6"/>
    <x v="6"/>
    <d v="2023-04-22T00:00:00"/>
    <s v="PROVISIÓN"/>
    <x v="5"/>
    <s v="STA MARTA"/>
    <m/>
    <s v="BPAL-MERCEDES BENZ"/>
    <n v="4"/>
    <n v="2023"/>
    <n v="90"/>
  </r>
  <r>
    <x v="1"/>
    <s v="FLXP86"/>
    <n v="2024"/>
    <x v="1"/>
    <x v="0"/>
    <x v="1"/>
    <x v="6"/>
    <x v="6"/>
    <d v="2023-04-22T00:00:00"/>
    <s v="PROVISIÓN"/>
    <x v="5"/>
    <s v="STA MARTA"/>
    <m/>
    <s v="BPAL-MERCEDES BENZ"/>
    <n v="4"/>
    <n v="2023"/>
    <n v="90"/>
  </r>
  <r>
    <x v="1"/>
    <s v="FLXP87"/>
    <n v="2025"/>
    <x v="1"/>
    <x v="0"/>
    <x v="1"/>
    <x v="6"/>
    <x v="6"/>
    <d v="2023-04-22T00:00:00"/>
    <s v="PROVISIÓN"/>
    <x v="5"/>
    <s v="STA MARTA"/>
    <m/>
    <s v="BPAL-MERCEDES BENZ"/>
    <n v="4"/>
    <n v="2023"/>
    <n v="90"/>
  </r>
  <r>
    <x v="1"/>
    <s v="FLXP66"/>
    <n v="2026"/>
    <x v="1"/>
    <x v="2"/>
    <x v="1"/>
    <x v="6"/>
    <x v="6"/>
    <d v="2023-04-08T00:00:00"/>
    <s v="PROVISIÓN"/>
    <x v="5"/>
    <s v="STA MARTA"/>
    <m/>
    <s v="BPAL-MERCEDES BENZ"/>
    <n v="4"/>
    <n v="2023"/>
    <n v="90"/>
  </r>
  <r>
    <x v="1"/>
    <s v="FLXP68"/>
    <n v="2028"/>
    <x v="1"/>
    <x v="2"/>
    <x v="1"/>
    <x v="6"/>
    <x v="6"/>
    <d v="2023-04-08T00:00:00"/>
    <s v="PROVISIÓN"/>
    <x v="5"/>
    <s v="STA MARTA"/>
    <m/>
    <s v="BPAL-MERCEDES BENZ"/>
    <n v="4"/>
    <n v="2023"/>
    <n v="90"/>
  </r>
  <r>
    <x v="1"/>
    <s v="FLXP69"/>
    <n v="2029"/>
    <x v="1"/>
    <x v="2"/>
    <x v="1"/>
    <x v="6"/>
    <x v="6"/>
    <d v="2023-04-08T00:00:00"/>
    <s v="PROVISIÓN"/>
    <x v="5"/>
    <s v="STA MARTA"/>
    <m/>
    <s v="BPAL-MERCEDES BENZ"/>
    <n v="4"/>
    <n v="2023"/>
    <n v="90"/>
  </r>
  <r>
    <x v="1"/>
    <s v="FLXP70"/>
    <n v="2030"/>
    <x v="1"/>
    <x v="2"/>
    <x v="1"/>
    <x v="6"/>
    <x v="6"/>
    <d v="2023-04-08T00:00:00"/>
    <s v="PROVISIÓN"/>
    <x v="5"/>
    <s v="STA MARTA"/>
    <m/>
    <s v="BPAL-MERCEDES BENZ"/>
    <n v="4"/>
    <n v="2023"/>
    <n v="90"/>
  </r>
  <r>
    <x v="1"/>
    <s v="FLXP71"/>
    <n v="2031"/>
    <x v="1"/>
    <x v="2"/>
    <x v="1"/>
    <x v="6"/>
    <x v="6"/>
    <d v="2023-04-08T00:00:00"/>
    <s v="PROVISIÓN"/>
    <x v="5"/>
    <s v="STA MARTA"/>
    <m/>
    <s v="BPAL-MERCEDES BENZ"/>
    <n v="4"/>
    <n v="2023"/>
    <n v="90"/>
  </r>
  <r>
    <x v="1"/>
    <s v="FLXP72"/>
    <n v="2032"/>
    <x v="1"/>
    <x v="2"/>
    <x v="1"/>
    <x v="6"/>
    <x v="6"/>
    <d v="2023-04-08T00:00:00"/>
    <s v="PROVISIÓN"/>
    <x v="5"/>
    <s v="STA MARTA"/>
    <m/>
    <s v="BPAL-MERCEDES BENZ"/>
    <n v="4"/>
    <n v="2023"/>
    <n v="90"/>
  </r>
  <r>
    <x v="1"/>
    <s v="FLXP73"/>
    <n v="2033"/>
    <x v="1"/>
    <x v="2"/>
    <x v="1"/>
    <x v="6"/>
    <x v="6"/>
    <d v="2023-04-08T00:00:00"/>
    <s v="PROVISIÓN"/>
    <x v="5"/>
    <s v="STA MARTA"/>
    <m/>
    <s v="BPAL-MERCEDES BENZ"/>
    <n v="4"/>
    <n v="2023"/>
    <n v="90"/>
  </r>
  <r>
    <x v="1"/>
    <s v="FLXP75"/>
    <n v="2034"/>
    <x v="1"/>
    <x v="2"/>
    <x v="1"/>
    <x v="6"/>
    <x v="6"/>
    <d v="2023-04-08T00:00:00"/>
    <s v="PROVISIÓN"/>
    <x v="5"/>
    <s v="STA MARTA"/>
    <m/>
    <s v="BPAL-MERCEDES BENZ"/>
    <n v="4"/>
    <n v="2023"/>
    <n v="90"/>
  </r>
  <r>
    <x v="1"/>
    <s v="FLXP76"/>
    <n v="2035"/>
    <x v="1"/>
    <x v="2"/>
    <x v="1"/>
    <x v="6"/>
    <x v="6"/>
    <d v="2023-04-08T00:00:00"/>
    <s v="PROVISIÓN"/>
    <x v="5"/>
    <s v="STA MARTA"/>
    <m/>
    <s v="BPAL-MERCEDES BENZ"/>
    <n v="4"/>
    <n v="2023"/>
    <n v="90"/>
  </r>
  <r>
    <x v="1"/>
    <s v="FLXP77"/>
    <n v="2036"/>
    <x v="1"/>
    <x v="2"/>
    <x v="1"/>
    <x v="6"/>
    <x v="6"/>
    <d v="2023-04-08T00:00:00"/>
    <s v="PROVISIÓN"/>
    <x v="5"/>
    <s v="STA MARTA"/>
    <m/>
    <s v="BPAL-MERCEDES BENZ"/>
    <n v="4"/>
    <n v="2023"/>
    <n v="90"/>
  </r>
  <r>
    <x v="1"/>
    <s v="FLXP78"/>
    <n v="2037"/>
    <x v="1"/>
    <x v="2"/>
    <x v="1"/>
    <x v="6"/>
    <x v="6"/>
    <d v="2023-04-08T00:00:00"/>
    <s v="PROVISIÓN"/>
    <x v="5"/>
    <s v="STA MARTA"/>
    <m/>
    <s v="BPAL-MERCEDES BENZ"/>
    <n v="4"/>
    <n v="2023"/>
    <n v="90"/>
  </r>
  <r>
    <x v="1"/>
    <s v="FLXP79"/>
    <n v="2038"/>
    <x v="1"/>
    <x v="2"/>
    <x v="1"/>
    <x v="6"/>
    <x v="6"/>
    <d v="2023-04-08T00:00:00"/>
    <s v="PROVISIÓN"/>
    <x v="5"/>
    <s v="STA MARTA"/>
    <m/>
    <s v="BPAL-MERCEDES BENZ"/>
    <n v="4"/>
    <n v="2023"/>
    <n v="90"/>
  </r>
  <r>
    <x v="1"/>
    <s v="FLXP80"/>
    <n v="2039"/>
    <x v="1"/>
    <x v="2"/>
    <x v="1"/>
    <x v="6"/>
    <x v="6"/>
    <d v="2023-04-08T00:00:00"/>
    <s v="PROVISIÓN"/>
    <x v="5"/>
    <s v="STA MARTA"/>
    <m/>
    <s v="BPAL-MERCEDES BENZ"/>
    <n v="4"/>
    <n v="2023"/>
    <n v="90"/>
  </r>
  <r>
    <x v="1"/>
    <s v="FLXP81"/>
    <n v="2040"/>
    <x v="1"/>
    <x v="2"/>
    <x v="1"/>
    <x v="6"/>
    <x v="6"/>
    <d v="2023-04-08T00:00:00"/>
    <s v="PROVISIÓN"/>
    <x v="5"/>
    <s v="STA MARTA"/>
    <m/>
    <s v="BPAL-MERCEDES BENZ"/>
    <n v="4"/>
    <n v="2023"/>
    <n v="90"/>
  </r>
  <r>
    <x v="1"/>
    <s v="FLXP82"/>
    <n v="2041"/>
    <x v="1"/>
    <x v="2"/>
    <x v="1"/>
    <x v="6"/>
    <x v="6"/>
    <d v="2023-04-08T00:00:00"/>
    <s v="PROVISIÓN"/>
    <x v="5"/>
    <s v="STA MARTA"/>
    <m/>
    <s v="BPAL-MERCEDES BENZ"/>
    <n v="4"/>
    <n v="2023"/>
    <n v="90"/>
  </r>
  <r>
    <x v="1"/>
    <s v="LDJP67"/>
    <n v="2080"/>
    <x v="2"/>
    <x v="0"/>
    <x v="1"/>
    <x v="6"/>
    <x v="6"/>
    <d v="2023-01-07T00:00:00"/>
    <s v="PROVISIÓN"/>
    <x v="5"/>
    <s v="STA MARTA"/>
    <m/>
    <s v="B2-MERCEDES BENZ"/>
    <n v="1"/>
    <n v="2023"/>
    <n v="95"/>
  </r>
  <r>
    <x v="1"/>
    <s v="LDJP70"/>
    <n v="2081"/>
    <x v="2"/>
    <x v="0"/>
    <x v="1"/>
    <x v="6"/>
    <x v="6"/>
    <d v="2023-01-07T00:00:00"/>
    <s v="PROVISIÓN"/>
    <x v="5"/>
    <s v="STA MARTA"/>
    <m/>
    <s v="B2-MERCEDES BENZ"/>
    <n v="1"/>
    <n v="2023"/>
    <n v="95"/>
  </r>
  <r>
    <x v="1"/>
    <s v="LDJP71"/>
    <n v="2082"/>
    <x v="2"/>
    <x v="0"/>
    <x v="1"/>
    <x v="6"/>
    <x v="6"/>
    <d v="2023-01-07T00:00:00"/>
    <s v="PROVISIÓN"/>
    <x v="5"/>
    <s v="STA MARTA"/>
    <m/>
    <s v="B2-MERCEDES BENZ"/>
    <n v="1"/>
    <n v="2023"/>
    <n v="95"/>
  </r>
  <r>
    <x v="1"/>
    <s v="LDJP72"/>
    <n v="2083"/>
    <x v="2"/>
    <x v="0"/>
    <x v="1"/>
    <x v="6"/>
    <x v="6"/>
    <d v="2023-01-07T00:00:00"/>
    <s v="PROVISIÓN"/>
    <x v="5"/>
    <s v="STA MARTA"/>
    <m/>
    <s v="B2-MERCEDES BENZ"/>
    <n v="1"/>
    <n v="2023"/>
    <n v="95"/>
  </r>
  <r>
    <x v="1"/>
    <s v="LDJV44"/>
    <n v="2086"/>
    <x v="2"/>
    <x v="1"/>
    <x v="1"/>
    <x v="6"/>
    <x v="6"/>
    <d v="2023-01-07T00:00:00"/>
    <s v="PROVISIÓN"/>
    <x v="5"/>
    <s v="STA MARTA"/>
    <m/>
    <s v="B2-MERCEDES BENZ"/>
    <n v="1"/>
    <n v="2023"/>
    <n v="95"/>
  </r>
  <r>
    <x v="1"/>
    <s v="LDJV45"/>
    <n v="2087"/>
    <x v="2"/>
    <x v="1"/>
    <x v="1"/>
    <x v="6"/>
    <x v="6"/>
    <d v="2023-01-07T00:00:00"/>
    <s v="PROVISIÓN"/>
    <x v="5"/>
    <s v="STA MARTA"/>
    <m/>
    <s v="B2-MERCEDES BENZ"/>
    <n v="1"/>
    <n v="2023"/>
    <n v="95"/>
  </r>
  <r>
    <x v="1"/>
    <s v="LDJW34"/>
    <n v="2097"/>
    <x v="2"/>
    <x v="0"/>
    <x v="1"/>
    <x v="6"/>
    <x v="6"/>
    <d v="2023-01-07T00:00:00"/>
    <s v="PROVISIÓN"/>
    <x v="5"/>
    <s v="STA MARTA"/>
    <m/>
    <s v="B2-MERCEDES BENZ"/>
    <n v="1"/>
    <n v="2023"/>
    <n v="95"/>
  </r>
  <r>
    <x v="1"/>
    <s v="LDJW35"/>
    <n v="2098"/>
    <x v="2"/>
    <x v="0"/>
    <x v="1"/>
    <x v="6"/>
    <x v="6"/>
    <d v="2023-01-07T00:00:00"/>
    <s v="PROVISIÓN"/>
    <x v="5"/>
    <s v="STA MARTA"/>
    <m/>
    <s v="B2-MERCEDES BENZ"/>
    <n v="1"/>
    <n v="2023"/>
    <n v="95"/>
  </r>
  <r>
    <x v="1"/>
    <s v="LDJW36"/>
    <n v="2099"/>
    <x v="2"/>
    <x v="0"/>
    <x v="1"/>
    <x v="6"/>
    <x v="6"/>
    <d v="2023-01-07T00:00:00"/>
    <s v="PROVISIÓN"/>
    <x v="5"/>
    <s v="STA MARTA"/>
    <m/>
    <s v="B2-MERCEDES BENZ"/>
    <n v="1"/>
    <n v="2023"/>
    <n v="95"/>
  </r>
  <r>
    <x v="1"/>
    <s v="LDJW37"/>
    <n v="2100"/>
    <x v="2"/>
    <x v="0"/>
    <x v="1"/>
    <x v="6"/>
    <x v="6"/>
    <d v="2023-01-07T00:00:00"/>
    <s v="PROVISIÓN"/>
    <x v="5"/>
    <s v="STA MARTA"/>
    <m/>
    <s v="B2-MERCEDES BENZ"/>
    <n v="1"/>
    <n v="2023"/>
    <n v="95"/>
  </r>
  <r>
    <x v="1"/>
    <s v="LDJW38"/>
    <n v="2101"/>
    <x v="2"/>
    <x v="0"/>
    <x v="1"/>
    <x v="6"/>
    <x v="6"/>
    <d v="2023-01-07T00:00:00"/>
    <s v="PROVISIÓN"/>
    <x v="5"/>
    <s v="STA MARTA"/>
    <m/>
    <s v="B2-MERCEDES BENZ"/>
    <n v="1"/>
    <n v="2023"/>
    <n v="95"/>
  </r>
  <r>
    <x v="1"/>
    <s v="LDJW39"/>
    <n v="2102"/>
    <x v="2"/>
    <x v="0"/>
    <x v="1"/>
    <x v="6"/>
    <x v="6"/>
    <d v="2023-01-07T00:00:00"/>
    <s v="PROVISIÓN"/>
    <x v="5"/>
    <s v="STA MARTA"/>
    <m/>
    <s v="B2-MERCEDES BENZ"/>
    <n v="1"/>
    <n v="2023"/>
    <n v="95"/>
  </r>
  <r>
    <x v="1"/>
    <s v="LDJW40"/>
    <n v="2103"/>
    <x v="2"/>
    <x v="1"/>
    <x v="1"/>
    <x v="6"/>
    <x v="6"/>
    <d v="2023-01-07T00:00:00"/>
    <s v="PROVISIÓN"/>
    <x v="5"/>
    <s v="STA MARTA"/>
    <m/>
    <s v="B2-MERCEDES BENZ"/>
    <n v="1"/>
    <n v="2023"/>
    <n v="95"/>
  </r>
  <r>
    <x v="1"/>
    <s v="LDJW41"/>
    <n v="2104"/>
    <x v="2"/>
    <x v="0"/>
    <x v="1"/>
    <x v="6"/>
    <x v="6"/>
    <d v="2023-01-07T00:00:00"/>
    <s v="PROVISIÓN"/>
    <x v="5"/>
    <s v="STA MARTA"/>
    <m/>
    <s v="B2-MERCEDES BENZ"/>
    <n v="1"/>
    <n v="2023"/>
    <n v="95"/>
  </r>
  <r>
    <x v="1"/>
    <s v="LDJW42"/>
    <n v="2105"/>
    <x v="2"/>
    <x v="0"/>
    <x v="1"/>
    <x v="6"/>
    <x v="6"/>
    <d v="2023-01-07T00:00:00"/>
    <s v="PROVISIÓN"/>
    <x v="5"/>
    <s v="STA MARTA"/>
    <m/>
    <s v="B2-MERCEDES BENZ"/>
    <n v="1"/>
    <n v="2023"/>
    <n v="95"/>
  </r>
  <r>
    <x v="1"/>
    <s v="LDJW43"/>
    <n v="2106"/>
    <x v="2"/>
    <x v="0"/>
    <x v="1"/>
    <x v="6"/>
    <x v="6"/>
    <d v="2023-01-07T00:00:00"/>
    <s v="PROVISIÓN"/>
    <x v="5"/>
    <s v="STA MARTA"/>
    <m/>
    <s v="B2-MERCEDES BENZ"/>
    <n v="1"/>
    <n v="2023"/>
    <n v="95"/>
  </r>
  <r>
    <x v="1"/>
    <s v="LDJW44"/>
    <n v="2107"/>
    <x v="2"/>
    <x v="0"/>
    <x v="1"/>
    <x v="6"/>
    <x v="6"/>
    <d v="2023-01-07T00:00:00"/>
    <s v="PROVISIÓN"/>
    <x v="5"/>
    <s v="STA MARTA"/>
    <m/>
    <s v="B2-MERCEDES BENZ"/>
    <n v="1"/>
    <n v="2023"/>
    <n v="95"/>
  </r>
  <r>
    <x v="1"/>
    <s v="LDJW45"/>
    <n v="2108"/>
    <x v="2"/>
    <x v="0"/>
    <x v="1"/>
    <x v="6"/>
    <x v="6"/>
    <d v="2023-01-07T00:00:00"/>
    <s v="PROVISIÓN"/>
    <x v="5"/>
    <s v="STA MARTA"/>
    <m/>
    <s v="B2-MERCEDES BENZ"/>
    <n v="1"/>
    <n v="2023"/>
    <n v="95"/>
  </r>
  <r>
    <x v="1"/>
    <s v="LDJW46"/>
    <n v="2109"/>
    <x v="2"/>
    <x v="0"/>
    <x v="1"/>
    <x v="6"/>
    <x v="6"/>
    <d v="2023-01-07T00:00:00"/>
    <s v="PROVISIÓN"/>
    <x v="5"/>
    <s v="STA MARTA"/>
    <m/>
    <s v="B2-MERCEDES BENZ"/>
    <n v="1"/>
    <n v="2023"/>
    <n v="95"/>
  </r>
  <r>
    <x v="1"/>
    <s v="LDJW47"/>
    <n v="2110"/>
    <x v="2"/>
    <x v="0"/>
    <x v="1"/>
    <x v="6"/>
    <x v="6"/>
    <d v="2023-01-07T00:00:00"/>
    <s v="PROVISIÓN"/>
    <x v="5"/>
    <s v="STA MARTA"/>
    <m/>
    <s v="B2-MERCEDES BENZ"/>
    <n v="1"/>
    <n v="2023"/>
    <n v="95"/>
  </r>
  <r>
    <x v="1"/>
    <s v="LDJW49"/>
    <n v="2112"/>
    <x v="2"/>
    <x v="0"/>
    <x v="1"/>
    <x v="6"/>
    <x v="6"/>
    <d v="2023-01-07T00:00:00"/>
    <s v="PROVISIÓN"/>
    <x v="5"/>
    <s v="STA MARTA"/>
    <m/>
    <s v="B2-MERCEDES BENZ"/>
    <n v="1"/>
    <n v="2023"/>
    <n v="95"/>
  </r>
  <r>
    <x v="1"/>
    <s v="LJDL48"/>
    <n v="2113"/>
    <x v="2"/>
    <x v="1"/>
    <x v="1"/>
    <x v="6"/>
    <x v="6"/>
    <d v="2023-01-07T00:00:00"/>
    <s v="PROVISIÓN"/>
    <x v="5"/>
    <s v="STA MARTA"/>
    <m/>
    <s v="B2-MERCEDES BENZ"/>
    <n v="1"/>
    <n v="2023"/>
    <n v="95"/>
  </r>
  <r>
    <x v="1"/>
    <s v="HYFL60"/>
    <n v="2114"/>
    <x v="1"/>
    <x v="1"/>
    <x v="3"/>
    <x v="6"/>
    <x v="6"/>
    <d v="2025-03-19T00:00:00"/>
    <s v="PROVISIÓN"/>
    <x v="5"/>
    <s v="STA MARTA"/>
    <m/>
    <s v="BPAL-SCANIA"/>
    <n v="3"/>
    <n v="2025"/>
    <n v="97"/>
  </r>
  <r>
    <x v="1"/>
    <s v="HVFH32"/>
    <n v="2115"/>
    <x v="1"/>
    <x v="0"/>
    <x v="3"/>
    <x v="6"/>
    <x v="6"/>
    <d v="2025-03-14T00:00:00"/>
    <s v="PROVISIÓN"/>
    <x v="5"/>
    <s v="STA MARTA"/>
    <m/>
    <s v="BPAL-SCANIA"/>
    <n v="3"/>
    <n v="2025"/>
    <n v="99"/>
  </r>
  <r>
    <x v="1"/>
    <s v="HVFH33"/>
    <n v="2116"/>
    <x v="1"/>
    <x v="0"/>
    <x v="3"/>
    <x v="6"/>
    <x v="6"/>
    <d v="2025-03-14T00:00:00"/>
    <s v="PROVISIÓN"/>
    <x v="5"/>
    <s v="STA MARTA"/>
    <m/>
    <s v="BPAL-SCANIA"/>
    <n v="3"/>
    <n v="2025"/>
    <n v="97"/>
  </r>
  <r>
    <x v="1"/>
    <s v="STGZ28"/>
    <n v="3052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GZ62"/>
    <n v="3053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GZ85"/>
    <n v="3054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B12"/>
    <n v="3055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B21"/>
    <n v="3056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B29"/>
    <n v="3057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B36"/>
    <n v="3058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B62"/>
    <n v="3060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C45"/>
    <n v="3061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C51"/>
    <n v="3062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C54"/>
    <n v="3063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C69"/>
    <n v="3064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F31"/>
    <n v="3073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F54"/>
    <n v="3078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F70"/>
    <n v="3080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F77"/>
    <n v="3082"/>
    <x v="3"/>
    <x v="0"/>
    <x v="2"/>
    <x v="6"/>
    <x v="6"/>
    <d v="2023-04-22T00:00:00"/>
    <s v="SUMINISTRO"/>
    <x v="5"/>
    <s v="STA MARTA"/>
    <m/>
    <s v="BE-FOTON"/>
    <n v="4"/>
    <n v="2023"/>
    <n v="90"/>
  </r>
  <r>
    <x v="1"/>
    <s v="STHF78"/>
    <n v="3083"/>
    <x v="3"/>
    <x v="0"/>
    <x v="2"/>
    <x v="6"/>
    <x v="6"/>
    <d v="2023-04-22T00:00:00"/>
    <s v="SUMINISTRO"/>
    <x v="5"/>
    <s v="STA MARTA"/>
    <m/>
    <s v="BE-FOTON"/>
    <n v="4"/>
    <n v="2023"/>
    <n v="90"/>
  </r>
  <r>
    <x v="1"/>
    <s v="STHF82"/>
    <n v="3084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F84"/>
    <n v="3085"/>
    <x v="3"/>
    <x v="0"/>
    <x v="2"/>
    <x v="6"/>
    <x v="6"/>
    <d v="2023-04-22T00:00:00"/>
    <s v="SUMINISTRO"/>
    <x v="5"/>
    <s v="STA MARTA"/>
    <m/>
    <s v="BE-FOTON"/>
    <n v="4"/>
    <n v="2023"/>
    <n v="90"/>
  </r>
  <r>
    <x v="1"/>
    <s v="STHF88"/>
    <n v="3086"/>
    <x v="3"/>
    <x v="0"/>
    <x v="2"/>
    <x v="6"/>
    <x v="6"/>
    <d v="2023-04-22T00:00:00"/>
    <s v="SUMINISTRO"/>
    <x v="5"/>
    <s v="STA MARTA"/>
    <m/>
    <s v="BE-FOTON"/>
    <n v="4"/>
    <n v="2023"/>
    <n v="90"/>
  </r>
  <r>
    <x v="1"/>
    <s v="STHJ61"/>
    <n v="3087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J68"/>
    <n v="3088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J72"/>
    <n v="3089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J74"/>
    <n v="3090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J81"/>
    <n v="3091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J86"/>
    <n v="3092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J89"/>
    <n v="3093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J98"/>
    <n v="3094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J99"/>
    <n v="3095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K10"/>
    <n v="3096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K12"/>
    <n v="3097"/>
    <x v="3"/>
    <x v="0"/>
    <x v="2"/>
    <x v="6"/>
    <x v="6"/>
    <d v="2023-04-22T00:00:00"/>
    <s v="SUMINISTRO"/>
    <x v="5"/>
    <s v="STA MARTA"/>
    <m/>
    <s v="BE-FOTON"/>
    <n v="4"/>
    <n v="2023"/>
    <n v="90"/>
  </r>
  <r>
    <x v="1"/>
    <s v="STHK13"/>
    <n v="3098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K20"/>
    <n v="3099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K27"/>
    <n v="3100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K28"/>
    <n v="3101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K36"/>
    <n v="3102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K38"/>
    <n v="3103"/>
    <x v="3"/>
    <x v="0"/>
    <x v="2"/>
    <x v="6"/>
    <x v="6"/>
    <d v="2023-04-22T00:00:00"/>
    <s v="SUMINISTRO"/>
    <x v="5"/>
    <s v="STA MARTA"/>
    <m/>
    <s v="BE-FOTON"/>
    <n v="4"/>
    <n v="2023"/>
    <n v="90"/>
  </r>
  <r>
    <x v="1"/>
    <s v="STHK39"/>
    <n v="3104"/>
    <x v="3"/>
    <x v="0"/>
    <x v="2"/>
    <x v="6"/>
    <x v="6"/>
    <d v="2023-04-22T00:00:00"/>
    <s v="SUMINISTRO"/>
    <x v="5"/>
    <s v="STA MARTA"/>
    <m/>
    <s v="BE-FOTON"/>
    <n v="4"/>
    <n v="2023"/>
    <n v="90"/>
  </r>
  <r>
    <x v="1"/>
    <s v="STHK53"/>
    <n v="3105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K62"/>
    <n v="3106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K69"/>
    <n v="3107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K70"/>
    <n v="3108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L11"/>
    <n v="3109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L27"/>
    <n v="3110"/>
    <x v="3"/>
    <x v="0"/>
    <x v="2"/>
    <x v="6"/>
    <x v="6"/>
    <d v="2023-04-22T00:00:00"/>
    <s v="SUMINISTRO"/>
    <x v="5"/>
    <s v="STA MARTA"/>
    <m/>
    <s v="BE-FOTON"/>
    <n v="4"/>
    <n v="2023"/>
    <n v="90"/>
  </r>
  <r>
    <x v="1"/>
    <s v="STHL29"/>
    <n v="3111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L35"/>
    <n v="3112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L42"/>
    <n v="3113"/>
    <x v="3"/>
    <x v="0"/>
    <x v="2"/>
    <x v="6"/>
    <x v="6"/>
    <d v="2023-04-22T00:00:00"/>
    <s v="SUMINISTRO"/>
    <x v="5"/>
    <s v="STA MARTA"/>
    <m/>
    <s v="BE-FOTON"/>
    <n v="4"/>
    <n v="2023"/>
    <n v="90"/>
  </r>
  <r>
    <x v="1"/>
    <s v="STHL46"/>
    <n v="3114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L51"/>
    <n v="3115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L95"/>
    <n v="3116"/>
    <x v="3"/>
    <x v="0"/>
    <x v="2"/>
    <x v="6"/>
    <x v="6"/>
    <d v="2023-04-22T00:00:00"/>
    <s v="SUMINISTRO"/>
    <x v="5"/>
    <s v="STA MARTA"/>
    <m/>
    <s v="BE-FOTON"/>
    <n v="4"/>
    <n v="2023"/>
    <n v="90"/>
  </r>
  <r>
    <x v="1"/>
    <s v="STHP12"/>
    <n v="3117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P52"/>
    <n v="3118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P97"/>
    <n v="3119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R18"/>
    <n v="3120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R23"/>
    <n v="3121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R36"/>
    <n v="3122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R46"/>
    <n v="3123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R60"/>
    <n v="3124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R72"/>
    <n v="3125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STHR80"/>
    <n v="3126"/>
    <x v="3"/>
    <x v="0"/>
    <x v="2"/>
    <x v="6"/>
    <x v="6"/>
    <d v="2023-08-12T00:00:00"/>
    <s v="SUMINISTRO"/>
    <x v="5"/>
    <s v="STA MARTA"/>
    <m/>
    <s v="BE-FOTON"/>
    <n v="8"/>
    <n v="2023"/>
    <n v="90"/>
  </r>
  <r>
    <x v="1"/>
    <s v="TXZH25"/>
    <n v="3127"/>
    <x v="3"/>
    <x v="1"/>
    <x v="2"/>
    <x v="6"/>
    <x v="6"/>
    <d v="2025-02-12T00:00:00"/>
    <s v="PROVISIÓN"/>
    <x v="5"/>
    <s v="STA MARTA"/>
    <m/>
    <s v="BE-FOTON"/>
    <n v="2"/>
    <n v="2025"/>
    <n v="90"/>
  </r>
  <r>
    <x v="1"/>
    <s v="TXZH26"/>
    <n v="3128"/>
    <x v="3"/>
    <x v="1"/>
    <x v="2"/>
    <x v="6"/>
    <x v="6"/>
    <d v="2025-02-04T00:00:00"/>
    <s v="PROVISIÓN"/>
    <x v="5"/>
    <s v="STA MARTA"/>
    <m/>
    <s v="BE-FOTON"/>
    <n v="2"/>
    <n v="2025"/>
    <n v="90"/>
  </r>
  <r>
    <x v="1"/>
    <s v="TXZH28"/>
    <n v="3129"/>
    <x v="3"/>
    <x v="1"/>
    <x v="2"/>
    <x v="6"/>
    <x v="6"/>
    <d v="2025-02-12T00:00:00"/>
    <s v="PROVISIÓN"/>
    <x v="5"/>
    <s v="STA MARTA"/>
    <m/>
    <s v="BE-FOTON"/>
    <n v="2"/>
    <n v="2025"/>
    <n v="90"/>
  </r>
  <r>
    <x v="1"/>
    <s v="TXZH30"/>
    <n v="3130"/>
    <x v="3"/>
    <x v="1"/>
    <x v="2"/>
    <x v="6"/>
    <x v="6"/>
    <d v="2025-02-04T00:00:00"/>
    <s v="PROVISIÓN"/>
    <x v="5"/>
    <s v="STA MARTA"/>
    <m/>
    <s v="BE-FOTON"/>
    <n v="2"/>
    <n v="2025"/>
    <n v="90"/>
  </r>
  <r>
    <x v="1"/>
    <s v="TXZH31"/>
    <n v="3131"/>
    <x v="3"/>
    <x v="1"/>
    <x v="2"/>
    <x v="6"/>
    <x v="6"/>
    <d v="2025-02-05T00:00:00"/>
    <s v="PROVISIÓN"/>
    <x v="5"/>
    <s v="STA MARTA"/>
    <m/>
    <s v="BE-FOTON"/>
    <n v="2"/>
    <n v="2025"/>
    <n v="90"/>
  </r>
  <r>
    <x v="1"/>
    <s v="TXZH32"/>
    <n v="3132"/>
    <x v="3"/>
    <x v="1"/>
    <x v="2"/>
    <x v="6"/>
    <x v="6"/>
    <d v="2025-02-04T00:00:00"/>
    <s v="PROVISIÓN"/>
    <x v="5"/>
    <s v="STA MARTA"/>
    <m/>
    <s v="BE-FOTON"/>
    <n v="2"/>
    <n v="2025"/>
    <n v="90"/>
  </r>
  <r>
    <x v="1"/>
    <s v="FLXP67"/>
    <n v="2027"/>
    <x v="1"/>
    <x v="2"/>
    <x v="1"/>
    <x v="6"/>
    <x v="6"/>
    <d v="2023-04-08T00:00:00"/>
    <s v="PROVISIÓN"/>
    <x v="5"/>
    <s v="STA MARTA"/>
    <s v="REPARACIÓN MAYOR"/>
    <s v="BPAL-MERCEDES BENZ"/>
    <n v="4"/>
    <n v="2023"/>
    <n v="90"/>
  </r>
  <r>
    <x v="1"/>
    <s v="FLXS60"/>
    <n v="2017"/>
    <x v="1"/>
    <x v="3"/>
    <x v="1"/>
    <x v="6"/>
    <x v="6"/>
    <d v="2023-04-22T00:00:00"/>
    <s v="PROVISIÓN"/>
    <x v="5"/>
    <s v="STA MARTA"/>
    <s v="REPARACIÓN MAYOR"/>
    <s v="BPAL-MERCEDES BENZ"/>
    <n v="4"/>
    <n v="2023"/>
    <n v="90"/>
  </r>
  <r>
    <x v="1"/>
    <s v="FLXS62"/>
    <n v="2019"/>
    <x v="1"/>
    <x v="3"/>
    <x v="1"/>
    <x v="6"/>
    <x v="6"/>
    <d v="2023-04-22T00:00:00"/>
    <s v="PROVISIÓN"/>
    <x v="5"/>
    <s v="STA MARTA"/>
    <s v="REPARACIÓN MAYOR"/>
    <s v="BPAL-MERCEDES BENZ"/>
    <n v="4"/>
    <n v="2023"/>
    <n v="90"/>
  </r>
  <r>
    <x v="0"/>
    <s v="FLXR87"/>
    <n v="6009"/>
    <x v="1"/>
    <x v="0"/>
    <x v="1"/>
    <x v="0"/>
    <x v="0"/>
    <d v="2023-03-18T00:00:00"/>
    <s v="PROVISIÓN"/>
    <x v="0"/>
    <s v="A. LUCO"/>
    <s v="REPARACIÓN MAYOR"/>
    <s v="BPAL-MERCEDES BENZ"/>
    <n v="3"/>
    <n v="2023"/>
    <n v="9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s v="US1"/>
    <s v="SHCY11"/>
    <n v="1002"/>
    <x v="0"/>
    <x v="0"/>
    <x v="0"/>
    <s v="EL RETIRO"/>
    <d v="2022-12-17T00:00:00"/>
  </r>
  <r>
    <s v="US1"/>
    <s v="SHCY32"/>
    <n v="1003"/>
    <x v="0"/>
    <x v="0"/>
    <x v="0"/>
    <s v="EL RETIRO"/>
    <d v="2022-12-17T00:00:00"/>
  </r>
  <r>
    <s v="US1"/>
    <s v="SHCY33"/>
    <n v="1004"/>
    <x v="0"/>
    <x v="0"/>
    <x v="0"/>
    <s v="EL RETIRO"/>
    <d v="2022-12-17T00:00:00"/>
  </r>
  <r>
    <s v="US1"/>
    <s v="SHCY34"/>
    <n v="1005"/>
    <x v="0"/>
    <x v="0"/>
    <x v="0"/>
    <s v="EL RETIRO"/>
    <d v="2022-12-17T00:00:00"/>
  </r>
  <r>
    <s v="US1"/>
    <s v="SHCY39"/>
    <n v="1008"/>
    <x v="0"/>
    <x v="1"/>
    <x v="0"/>
    <s v="EL RETIRO"/>
    <d v="2022-12-17T00:00:00"/>
  </r>
  <r>
    <s v="US1"/>
    <s v="SHCY40"/>
    <n v="1009"/>
    <x v="0"/>
    <x v="1"/>
    <x v="0"/>
    <s v="EL RETIRO"/>
    <d v="2022-12-17T00:00:00"/>
  </r>
  <r>
    <s v="US1"/>
    <s v="SHCY46"/>
    <n v="1010"/>
    <x v="0"/>
    <x v="0"/>
    <x v="0"/>
    <s v="EL RETIRO"/>
    <d v="2022-12-17T00:00:00"/>
  </r>
  <r>
    <s v="US1"/>
    <s v="SHCY47"/>
    <n v="1011"/>
    <x v="0"/>
    <x v="0"/>
    <x v="0"/>
    <s v="EL RETIRO"/>
    <d v="2022-12-17T00:00:00"/>
  </r>
  <r>
    <s v="US1"/>
    <s v="SHCY49"/>
    <n v="1012"/>
    <x v="0"/>
    <x v="0"/>
    <x v="0"/>
    <s v="EL RETIRO"/>
    <d v="2022-12-17T00:00:00"/>
  </r>
  <r>
    <s v="US1"/>
    <s v="SHCY50"/>
    <n v="1013"/>
    <x v="0"/>
    <x v="0"/>
    <x v="0"/>
    <s v="EL RETIRO"/>
    <d v="2022-12-17T00:00:00"/>
  </r>
  <r>
    <s v="US1"/>
    <s v="SHCY55"/>
    <n v="1015"/>
    <x v="0"/>
    <x v="0"/>
    <x v="0"/>
    <s v="EL RETIRO"/>
    <d v="2022-12-17T00:00:00"/>
  </r>
  <r>
    <s v="US1"/>
    <s v="LXDH97"/>
    <n v="2055"/>
    <x v="1"/>
    <x v="0"/>
    <x v="1"/>
    <s v="EL RETIRO"/>
    <d v="2022-12-17T00:00:00"/>
  </r>
  <r>
    <s v="US1"/>
    <s v="LXDJ16"/>
    <n v="2064"/>
    <x v="1"/>
    <x v="0"/>
    <x v="1"/>
    <s v="EL RETIRO"/>
    <d v="2023-01-07T00:00:00"/>
  </r>
  <r>
    <s v="US1"/>
    <s v="LXDJ22"/>
    <n v="2070"/>
    <x v="1"/>
    <x v="0"/>
    <x v="1"/>
    <s v="EL RETIRO"/>
    <d v="2022-12-17T00:00:00"/>
  </r>
  <r>
    <s v="US1"/>
    <s v="SHXF30"/>
    <n v="4035"/>
    <x v="2"/>
    <x v="0"/>
    <x v="0"/>
    <s v="EL RETIRO"/>
    <d v="2023-01-02T00:00:00"/>
  </r>
  <r>
    <s v="US1"/>
    <s v="SHXG17"/>
    <n v="4036"/>
    <x v="2"/>
    <x v="0"/>
    <x v="0"/>
    <s v="EL RETIRO"/>
    <d v="2023-01-02T00:00:00"/>
  </r>
  <r>
    <s v="US1"/>
    <s v="SHXG31"/>
    <n v="4038"/>
    <x v="2"/>
    <x v="0"/>
    <x v="0"/>
    <s v="EL RETIRO"/>
    <d v="2023-01-02T00:00:00"/>
  </r>
  <r>
    <s v="US1"/>
    <s v="SHXG34"/>
    <n v="4040"/>
    <x v="2"/>
    <x v="0"/>
    <x v="0"/>
    <s v="EL RETIRO"/>
    <d v="2023-01-02T00:00:00"/>
  </r>
  <r>
    <s v="US1"/>
    <s v="SJPC36"/>
    <n v="4043"/>
    <x v="2"/>
    <x v="1"/>
    <x v="0"/>
    <s v="EL RETIRO"/>
    <d v="2023-01-02T00:00:00"/>
  </r>
  <r>
    <s v="US1"/>
    <s v="SJPC37"/>
    <n v="4044"/>
    <x v="2"/>
    <x v="0"/>
    <x v="0"/>
    <s v="EL RETIRO"/>
    <d v="2023-01-02T00:00:00"/>
  </r>
  <r>
    <s v="US1"/>
    <s v="SJPC41"/>
    <n v="4046"/>
    <x v="2"/>
    <x v="0"/>
    <x v="0"/>
    <s v="EL RETIRO"/>
    <d v="2023-01-02T00:00:00"/>
  </r>
  <r>
    <s v="US1"/>
    <s v="SJPC45"/>
    <n v="4048"/>
    <x v="2"/>
    <x v="0"/>
    <x v="0"/>
    <s v="EL RETIRO"/>
    <d v="2023-01-02T00:00:00"/>
  </r>
  <r>
    <s v="US1"/>
    <s v="SJPC48"/>
    <n v="4049"/>
    <x v="2"/>
    <x v="0"/>
    <x v="0"/>
    <s v="EL RETIRO"/>
    <d v="2023-01-02T00:00:00"/>
  </r>
  <r>
    <s v="US1"/>
    <s v="SJPC49"/>
    <n v="4050"/>
    <x v="2"/>
    <x v="0"/>
    <x v="0"/>
    <s v="EL RETIRO"/>
    <d v="2023-01-02T00:00:00"/>
  </r>
  <r>
    <s v="US1"/>
    <s v="SJPC52"/>
    <n v="4052"/>
    <x v="2"/>
    <x v="0"/>
    <x v="0"/>
    <s v="EL RETIRO"/>
    <d v="2023-01-02T00:00:00"/>
  </r>
  <r>
    <s v="US1"/>
    <s v="SJPD89"/>
    <n v="4057"/>
    <x v="2"/>
    <x v="0"/>
    <x v="0"/>
    <s v="EL RETIRO"/>
    <d v="2023-01-02T00:00:00"/>
  </r>
  <r>
    <s v="US1"/>
    <s v="SJPD90"/>
    <n v="4058"/>
    <x v="2"/>
    <x v="0"/>
    <x v="0"/>
    <s v="EL RETIRO"/>
    <d v="2023-01-02T00:00:00"/>
  </r>
  <r>
    <s v="US1"/>
    <s v="SJPD91"/>
    <n v="4059"/>
    <x v="2"/>
    <x v="0"/>
    <x v="0"/>
    <s v="EL RETIRO"/>
    <d v="2023-01-02T00:00:00"/>
  </r>
  <r>
    <s v="US1"/>
    <s v="SJPD93"/>
    <n v="4061"/>
    <x v="2"/>
    <x v="0"/>
    <x v="0"/>
    <s v="EL RETIRO"/>
    <d v="2023-01-02T00:00:00"/>
  </r>
  <r>
    <s v="US1"/>
    <s v="SJPD95"/>
    <n v="4063"/>
    <x v="2"/>
    <x v="0"/>
    <x v="0"/>
    <s v="EL RETIRO"/>
    <d v="2023-01-02T00:00:00"/>
  </r>
  <r>
    <s v="US1"/>
    <s v="SJPD96"/>
    <n v="4064"/>
    <x v="2"/>
    <x v="0"/>
    <x v="0"/>
    <s v="EL RETIRO"/>
    <d v="2023-01-02T00:00:00"/>
  </r>
  <r>
    <s v="US1"/>
    <s v="SJPC68"/>
    <n v="4067"/>
    <x v="2"/>
    <x v="0"/>
    <x v="0"/>
    <s v="EL RETIRO"/>
    <d v="2023-01-07T00:00:00"/>
  </r>
  <r>
    <s v="US1"/>
    <s v="SJPF87"/>
    <n v="4069"/>
    <x v="2"/>
    <x v="0"/>
    <x v="0"/>
    <s v="EL RETIRO"/>
    <d v="2023-01-07T00:00:00"/>
  </r>
  <r>
    <s v="US1"/>
    <s v="LXDH84"/>
    <n v="2042"/>
    <x v="1"/>
    <x v="0"/>
    <x v="1"/>
    <s v="EL RETIRO"/>
    <d v="2022-12-17T00:00:00"/>
  </r>
  <r>
    <s v="US1"/>
    <s v="LXDH85"/>
    <n v="2043"/>
    <x v="1"/>
    <x v="0"/>
    <x v="1"/>
    <s v="EL RETIRO"/>
    <d v="2022-12-17T00:00:00"/>
  </r>
  <r>
    <s v="US1"/>
    <s v="LXDH98"/>
    <n v="2056"/>
    <x v="1"/>
    <x v="0"/>
    <x v="1"/>
    <s v="EL RETIRO"/>
    <d v="2022-12-17T00:00:00"/>
  </r>
  <r>
    <s v="US1"/>
    <s v="LXDH86"/>
    <n v="2044"/>
    <x v="1"/>
    <x v="0"/>
    <x v="1"/>
    <s v="EL RETIRO"/>
    <d v="2023-01-07T00:00:00"/>
  </r>
  <r>
    <s v="US1"/>
    <s v="LXDH87"/>
    <n v="2045"/>
    <x v="1"/>
    <x v="0"/>
    <x v="1"/>
    <s v="EL RETIRO"/>
    <d v="2022-12-17T00:00:00"/>
  </r>
  <r>
    <s v="US1"/>
    <s v="LXDH89"/>
    <n v="2047"/>
    <x v="1"/>
    <x v="0"/>
    <x v="1"/>
    <s v="EL RETIRO"/>
    <d v="2022-12-17T00:00:00"/>
  </r>
  <r>
    <s v="US1"/>
    <s v="LXDH90"/>
    <n v="2048"/>
    <x v="1"/>
    <x v="0"/>
    <x v="1"/>
    <s v="EL RETIRO"/>
    <d v="2022-12-17T00:00:00"/>
  </r>
  <r>
    <s v="US1"/>
    <s v="LXDH91"/>
    <n v="2049"/>
    <x v="1"/>
    <x v="0"/>
    <x v="1"/>
    <s v="EL RETIRO"/>
    <d v="2022-12-17T00:00:00"/>
  </r>
  <r>
    <s v="US1"/>
    <s v="LXDH92"/>
    <n v="2050"/>
    <x v="1"/>
    <x v="0"/>
    <x v="1"/>
    <s v="EL RETIRO"/>
    <d v="2022-12-17T00:00:00"/>
  </r>
  <r>
    <s v="US1"/>
    <s v="LXDH93"/>
    <n v="2051"/>
    <x v="1"/>
    <x v="0"/>
    <x v="1"/>
    <s v="EL RETIRO"/>
    <d v="2022-12-17T00:00:00"/>
  </r>
  <r>
    <s v="US1"/>
    <s v="LXDH94"/>
    <n v="2052"/>
    <x v="1"/>
    <x v="0"/>
    <x v="1"/>
    <s v="EL RETIRO"/>
    <d v="2022-12-17T00:00:00"/>
  </r>
  <r>
    <s v="US1"/>
    <s v="LXDH95"/>
    <n v="2053"/>
    <x v="1"/>
    <x v="0"/>
    <x v="1"/>
    <s v="EL RETIRO"/>
    <d v="2022-12-17T00:00:00"/>
  </r>
  <r>
    <s v="US1"/>
    <s v="LXDH96"/>
    <n v="2054"/>
    <x v="1"/>
    <x v="0"/>
    <x v="1"/>
    <s v="EL RETIRO"/>
    <d v="2022-12-17T00:00:00"/>
  </r>
  <r>
    <s v="US1"/>
    <s v="LXDJ10"/>
    <n v="2058"/>
    <x v="1"/>
    <x v="0"/>
    <x v="1"/>
    <s v="EL RETIRO"/>
    <d v="2022-12-17T00:00:00"/>
  </r>
  <r>
    <s v="US1"/>
    <s v="LXDJ11"/>
    <n v="2059"/>
    <x v="1"/>
    <x v="0"/>
    <x v="1"/>
    <s v="EL RETIRO"/>
    <d v="2023-01-02T00:00:00"/>
  </r>
  <r>
    <s v="US1"/>
    <s v="LXDJ21"/>
    <n v="2069"/>
    <x v="1"/>
    <x v="0"/>
    <x v="1"/>
    <s v="EL RETIRO"/>
    <d v="2023-01-02T00:00:00"/>
  </r>
  <r>
    <s v="US1"/>
    <s v="LXDJ12"/>
    <n v="2060"/>
    <x v="1"/>
    <x v="0"/>
    <x v="1"/>
    <s v="EL RETIRO"/>
    <d v="2022-12-17T00:00:00"/>
  </r>
  <r>
    <s v="US1"/>
    <s v="LXDJ25"/>
    <n v="2073"/>
    <x v="1"/>
    <x v="0"/>
    <x v="1"/>
    <s v="EL RETIRO"/>
    <d v="2023-01-07T00:00:00"/>
  </r>
  <r>
    <s v="US1"/>
    <s v="LXDJ24"/>
    <n v="2072"/>
    <x v="1"/>
    <x v="0"/>
    <x v="1"/>
    <s v="EL RETIRO"/>
    <d v="2023-01-02T00:00:00"/>
  </r>
  <r>
    <s v="US1"/>
    <s v="LXDH99"/>
    <n v="2057"/>
    <x v="1"/>
    <x v="0"/>
    <x v="1"/>
    <s v="EL RETIRO"/>
    <d v="2022-12-17T00:00:00"/>
  </r>
  <r>
    <s v="US1"/>
    <s v="LXDJ13"/>
    <n v="2061"/>
    <x v="1"/>
    <x v="0"/>
    <x v="1"/>
    <s v="EL RETIRO"/>
    <d v="2022-12-17T00:00:00"/>
  </r>
  <r>
    <s v="US1"/>
    <s v="LXDJ14"/>
    <n v="2062"/>
    <x v="1"/>
    <x v="0"/>
    <x v="1"/>
    <s v="EL RETIRO"/>
    <d v="2022-12-17T00:00:00"/>
  </r>
  <r>
    <s v="US1"/>
    <s v="LXDJ15"/>
    <n v="2063"/>
    <x v="1"/>
    <x v="0"/>
    <x v="1"/>
    <s v="EL RETIRO"/>
    <d v="2022-12-17T00:00:00"/>
  </r>
  <r>
    <s v="US1"/>
    <s v="LXDJ19"/>
    <n v="2067"/>
    <x v="1"/>
    <x v="0"/>
    <x v="1"/>
    <s v="EL RETIRO"/>
    <d v="2023-01-07T00:00:00"/>
  </r>
  <r>
    <s v="US1"/>
    <s v="LXDJ20"/>
    <n v="2068"/>
    <x v="1"/>
    <x v="0"/>
    <x v="1"/>
    <s v="EL RETIRO"/>
    <d v="2023-01-02T00:00: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US1"/>
    <s v="LXDH88"/>
    <n v="2046"/>
    <x v="0"/>
    <x v="0"/>
    <x v="0"/>
    <s v="SANTA MARGARITA"/>
    <d v="2022-12-17T00:00:00"/>
  </r>
  <r>
    <s v="US1"/>
    <s v="LXDJ28"/>
    <n v="2076"/>
    <x v="0"/>
    <x v="0"/>
    <x v="0"/>
    <s v="SANTA MARGARITA"/>
    <d v="2023-01-02T00:00:00"/>
  </r>
  <r>
    <s v="US1"/>
    <s v="LXDJ30"/>
    <n v="2078"/>
    <x v="0"/>
    <x v="0"/>
    <x v="0"/>
    <s v="SANTA MARGARITA"/>
    <d v="2023-01-02T00:00:00"/>
  </r>
  <r>
    <s v="US1"/>
    <s v="LXDJ17"/>
    <n v="2065"/>
    <x v="0"/>
    <x v="0"/>
    <x v="0"/>
    <s v="SANTA MARGARITA"/>
    <d v="2023-01-07T00:00:00"/>
  </r>
  <r>
    <s v="US1"/>
    <s v="LXDJ18"/>
    <n v="2066"/>
    <x v="0"/>
    <x v="0"/>
    <x v="0"/>
    <s v="SANTA MARGARITA"/>
    <d v="2023-01-02T00:00:00"/>
  </r>
  <r>
    <s v="US1"/>
    <s v="LXDJ26"/>
    <n v="2074"/>
    <x v="0"/>
    <x v="0"/>
    <x v="0"/>
    <s v="SANTA MARGARITA"/>
    <d v="2023-01-07T00:00:00"/>
  </r>
  <r>
    <s v="US1"/>
    <s v="LXDJ27"/>
    <n v="2075"/>
    <x v="0"/>
    <x v="0"/>
    <x v="0"/>
    <s v="SANTA MARGARITA"/>
    <d v="2023-01-07T00:00:00"/>
  </r>
  <r>
    <s v="US1"/>
    <s v="LXDJ29"/>
    <n v="2077"/>
    <x v="0"/>
    <x v="0"/>
    <x v="0"/>
    <s v="SANTA MARGARITA"/>
    <d v="2023-01-07T00:00:00"/>
  </r>
  <r>
    <s v="US1"/>
    <s v="LXDJ31"/>
    <n v="2079"/>
    <x v="0"/>
    <x v="0"/>
    <x v="0"/>
    <s v="SANTA MARGARITA"/>
    <d v="2023-01-02T00:00:00"/>
  </r>
  <r>
    <s v="US1"/>
    <s v="SHCY17"/>
    <n v="4027"/>
    <x v="1"/>
    <x v="0"/>
    <x v="1"/>
    <s v="SANTA MARGARITA"/>
    <d v="2023-01-02T00:00:00"/>
  </r>
  <r>
    <s v="US1"/>
    <s v="SHCY18"/>
    <n v="4025"/>
    <x v="1"/>
    <x v="0"/>
    <x v="1"/>
    <s v="SANTA MARGARITA"/>
    <d v="2023-01-02T00:00:00"/>
  </r>
  <r>
    <s v="US1"/>
    <s v="SHXC20"/>
    <n v="4026"/>
    <x v="1"/>
    <x v="0"/>
    <x v="1"/>
    <s v="SANTA MARGARITA"/>
    <d v="2023-01-02T00:00:00"/>
  </r>
  <r>
    <s v="US1"/>
    <s v="SHXD76"/>
    <n v="4028"/>
    <x v="1"/>
    <x v="0"/>
    <x v="1"/>
    <s v="SANTA MARGARITA"/>
    <d v="2023-01-02T00:00:00"/>
  </r>
  <r>
    <s v="US1"/>
    <s v="SHXD78"/>
    <n v="4029"/>
    <x v="1"/>
    <x v="0"/>
    <x v="1"/>
    <s v="SANTA MARGARITA"/>
    <d v="2023-01-02T00:00:00"/>
  </r>
  <r>
    <s v="US1"/>
    <s v="SHXF26"/>
    <n v="4032"/>
    <x v="1"/>
    <x v="0"/>
    <x v="1"/>
    <s v="SANTA MARGARITA"/>
    <d v="2023-01-02T00:00:00"/>
  </r>
  <r>
    <s v="US1"/>
    <s v="SHXF27"/>
    <n v="4033"/>
    <x v="1"/>
    <x v="0"/>
    <x v="1"/>
    <s v="SANTA MARGARITA"/>
    <d v="2023-01-02T00:00:00"/>
  </r>
  <r>
    <s v="US1"/>
    <s v="SHXF28"/>
    <n v="4034"/>
    <x v="1"/>
    <x v="0"/>
    <x v="1"/>
    <s v="SANTA MARGARITA"/>
    <d v="2023-01-02T00:00:00"/>
  </r>
  <r>
    <s v="US1"/>
    <s v="SHXG32"/>
    <n v="4039"/>
    <x v="1"/>
    <x v="0"/>
    <x v="1"/>
    <s v="SANTA MARGARITA"/>
    <d v="2023-01-02T00:00:00"/>
  </r>
  <r>
    <s v="US1"/>
    <s v="SJPC38"/>
    <n v="4045"/>
    <x v="1"/>
    <x v="0"/>
    <x v="1"/>
    <s v="SANTA MARGARITA"/>
    <d v="2023-01-02T00:00:00"/>
  </r>
  <r>
    <s v="US1"/>
    <s v="SHXF24"/>
    <n v="4030"/>
    <x v="1"/>
    <x v="0"/>
    <x v="1"/>
    <s v="SANTA MARGARITA"/>
    <d v="2023-01-02T00:00:00"/>
  </r>
  <r>
    <s v="US1"/>
    <s v="SHXG30"/>
    <n v="4037"/>
    <x v="1"/>
    <x v="0"/>
    <x v="1"/>
    <s v="SANTA MARGARITA"/>
    <d v="2023-01-02T00:00:00"/>
  </r>
  <r>
    <s v="US1"/>
    <s v="SJPC44"/>
    <n v="4047"/>
    <x v="1"/>
    <x v="0"/>
    <x v="1"/>
    <s v="SANTA MARGARITA"/>
    <d v="2023-01-02T00:00:00"/>
  </r>
  <r>
    <s v="US1"/>
    <s v="SJPC56"/>
    <n v="4053"/>
    <x v="1"/>
    <x v="0"/>
    <x v="1"/>
    <s v="SANTA MARGARITA"/>
    <d v="2023-01-02T00:00:00"/>
  </r>
  <r>
    <s v="US1"/>
    <s v="SJPC66"/>
    <n v="4054"/>
    <x v="1"/>
    <x v="0"/>
    <x v="1"/>
    <s v="SANTA MARGARITA"/>
    <d v="2023-01-02T00:00:00"/>
  </r>
  <r>
    <s v="US1"/>
    <s v="SJPC67"/>
    <n v="4055"/>
    <x v="1"/>
    <x v="0"/>
    <x v="1"/>
    <s v="SANTA MARGARITA"/>
    <d v="2023-01-02T00:00:00"/>
  </r>
  <r>
    <s v="US1"/>
    <s v="SJPD92"/>
    <n v="4060"/>
    <x v="1"/>
    <x v="0"/>
    <x v="1"/>
    <s v="SANTA MARGARITA"/>
    <d v="2023-01-02T00:00:00"/>
  </r>
  <r>
    <s v="US1"/>
    <s v="SJPD94"/>
    <n v="4062"/>
    <x v="1"/>
    <x v="0"/>
    <x v="1"/>
    <s v="SANTA MARGARITA"/>
    <d v="2023-01-02T00:00:00"/>
  </r>
  <r>
    <s v="US1"/>
    <s v="SJPD99"/>
    <n v="4065"/>
    <x v="1"/>
    <x v="0"/>
    <x v="1"/>
    <s v="SANTA MARGARITA"/>
    <d v="2023-01-02T00:00: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s v="US1"/>
    <s v="SHCX53"/>
    <n v="1000"/>
    <x v="0"/>
    <x v="0"/>
    <x v="0"/>
    <s v="CONDELL"/>
    <d v="2022-12-17T00:00:00"/>
  </r>
  <r>
    <s v="US1"/>
    <s v="SHCY10"/>
    <n v="1001"/>
    <x v="0"/>
    <x v="0"/>
    <x v="0"/>
    <s v="CONDELL"/>
    <d v="2022-12-17T00:00:00"/>
  </r>
  <r>
    <s v="US1"/>
    <s v="SHXF83"/>
    <n v="1018"/>
    <x v="0"/>
    <x v="0"/>
    <x v="0"/>
    <s v="CONDELL"/>
    <d v="2023-01-07T00:00:00"/>
  </r>
  <r>
    <s v="US1"/>
    <s v="SHXG99"/>
    <n v="1019"/>
    <x v="0"/>
    <x v="0"/>
    <x v="0"/>
    <s v="CONDELL"/>
    <d v="2023-01-07T00:00:00"/>
  </r>
  <r>
    <s v="US1"/>
    <s v="SHCY62"/>
    <n v="1020"/>
    <x v="0"/>
    <x v="0"/>
    <x v="0"/>
    <s v="CONDELL"/>
    <d v="2023-01-07T00:00:00"/>
  </r>
  <r>
    <s v="US1"/>
    <s v="SHCY45"/>
    <n v="1021"/>
    <x v="0"/>
    <x v="0"/>
    <x v="0"/>
    <s v="CONDELL"/>
    <d v="2023-01-07T00:00:00"/>
  </r>
  <r>
    <s v="US1"/>
    <s v="SHCY44"/>
    <n v="1022"/>
    <x v="0"/>
    <x v="0"/>
    <x v="0"/>
    <s v="CONDELL"/>
    <d v="2023-01-07T00:00:00"/>
  </r>
  <r>
    <s v="US1"/>
    <s v="SHCY43"/>
    <n v="1023"/>
    <x v="0"/>
    <x v="1"/>
    <x v="0"/>
    <s v="CONDELL"/>
    <d v="2023-01-07T00:00:00"/>
  </r>
  <r>
    <s v="US1"/>
    <s v="SHXD83"/>
    <n v="1028"/>
    <x v="0"/>
    <x v="0"/>
    <x v="0"/>
    <s v="CONDELL"/>
    <d v="2023-01-07T00:00:00"/>
  </r>
  <r>
    <s v="US1"/>
    <s v="SHCY38"/>
    <n v="1029"/>
    <x v="0"/>
    <x v="0"/>
    <x v="0"/>
    <s v="CONDELL"/>
    <d v="2023-01-07T00:00:00"/>
  </r>
  <r>
    <s v="US1"/>
    <s v="LDJP73"/>
    <n v="2084"/>
    <x v="1"/>
    <x v="0"/>
    <x v="1"/>
    <s v="CONDELL"/>
    <d v="2023-01-07T00:00:00"/>
  </r>
  <r>
    <s v="US1"/>
    <s v="LDJV43"/>
    <n v="2085"/>
    <x v="1"/>
    <x v="0"/>
    <x v="1"/>
    <s v="CONDELL"/>
    <d v="2023-01-07T00:00:00"/>
  </r>
  <r>
    <s v="US1"/>
    <s v="LDJV46"/>
    <n v="2088"/>
    <x v="1"/>
    <x v="0"/>
    <x v="1"/>
    <s v="CONDELL"/>
    <d v="2023-01-07T00:00:00"/>
  </r>
  <r>
    <s v="US1"/>
    <s v="LDJV48"/>
    <n v="2089"/>
    <x v="1"/>
    <x v="0"/>
    <x v="1"/>
    <s v="CONDELL"/>
    <d v="2023-01-07T00:00:00"/>
  </r>
  <r>
    <s v="US1"/>
    <s v="LDJV49"/>
    <n v="2090"/>
    <x v="1"/>
    <x v="0"/>
    <x v="1"/>
    <s v="CONDELL"/>
    <d v="2023-01-07T00:00:00"/>
  </r>
  <r>
    <s v="US1"/>
    <s v="LDJV51"/>
    <n v="2092"/>
    <x v="1"/>
    <x v="0"/>
    <x v="1"/>
    <s v="CONDELL"/>
    <d v="2023-01-07T00:00:00"/>
  </r>
  <r>
    <s v="US1"/>
    <s v="LDJV52"/>
    <n v="2093"/>
    <x v="1"/>
    <x v="0"/>
    <x v="1"/>
    <s v="CONDELL"/>
    <d v="2023-01-07T00:00:00"/>
  </r>
  <r>
    <s v="US1"/>
    <s v="LDJW29"/>
    <n v="2094"/>
    <x v="1"/>
    <x v="0"/>
    <x v="1"/>
    <s v="CONDELL"/>
    <d v="2023-01-07T00:00:00"/>
  </r>
  <r>
    <s v="US1"/>
    <s v="LDJW48"/>
    <n v="2111"/>
    <x v="1"/>
    <x v="0"/>
    <x v="1"/>
    <s v="CONDELL"/>
    <d v="2023-01-07T00:00:00"/>
  </r>
  <r>
    <s v="US1"/>
    <s v="SJTD55"/>
    <n v="3000"/>
    <x v="2"/>
    <x v="1"/>
    <x v="2"/>
    <s v="CONDELL"/>
    <d v="2023-01-07T00:00:00"/>
  </r>
  <r>
    <s v="US1"/>
    <s v="SJTD56"/>
    <n v="3001"/>
    <x v="2"/>
    <x v="1"/>
    <x v="2"/>
    <s v="CONDELL"/>
    <d v="2023-01-07T00:00:00"/>
  </r>
  <r>
    <s v="US1"/>
    <s v="SJTD57"/>
    <n v="3002"/>
    <x v="2"/>
    <x v="1"/>
    <x v="2"/>
    <s v="CONDELL"/>
    <d v="2023-01-07T00:00:00"/>
  </r>
  <r>
    <s v="US1"/>
    <s v="SJTD61"/>
    <n v="3004"/>
    <x v="2"/>
    <x v="1"/>
    <x v="2"/>
    <s v="CONDELL"/>
    <d v="2023-01-07T00:00:00"/>
  </r>
  <r>
    <s v="US1"/>
    <s v="SJTD62"/>
    <n v="3005"/>
    <x v="2"/>
    <x v="1"/>
    <x v="2"/>
    <s v="CONDELL"/>
    <d v="2023-01-07T00:00:00"/>
  </r>
  <r>
    <s v="US1"/>
    <s v="SJTD63"/>
    <n v="3006"/>
    <x v="2"/>
    <x v="1"/>
    <x v="2"/>
    <s v="CONDELL"/>
    <d v="2023-01-07T00:00:00"/>
  </r>
  <r>
    <s v="US1"/>
    <s v="SJTD64"/>
    <n v="3007"/>
    <x v="2"/>
    <x v="1"/>
    <x v="2"/>
    <s v="CONDELL"/>
    <d v="2023-01-07T00:00:00"/>
  </r>
  <r>
    <s v="US1"/>
    <s v="SJTD65"/>
    <n v="3008"/>
    <x v="2"/>
    <x v="1"/>
    <x v="2"/>
    <s v="CONDELL"/>
    <d v="2023-01-07T00:00:00"/>
  </r>
  <r>
    <s v="US1"/>
    <s v="SJTD66"/>
    <n v="3009"/>
    <x v="2"/>
    <x v="1"/>
    <x v="2"/>
    <s v="CONDELL"/>
    <d v="2023-01-07T00:00:00"/>
  </r>
  <r>
    <s v="US1"/>
    <s v="SKHF49"/>
    <n v="3010"/>
    <x v="2"/>
    <x v="0"/>
    <x v="2"/>
    <s v="CONDELL"/>
    <d v="2023-01-07T00:00:00"/>
  </r>
  <r>
    <s v="US1"/>
    <s v="SKHF84"/>
    <n v="3011"/>
    <x v="2"/>
    <x v="0"/>
    <x v="2"/>
    <s v="CONDELL"/>
    <d v="2023-01-07T00:00:00"/>
  </r>
  <r>
    <s v="US1"/>
    <s v="SKHF87"/>
    <n v="3012"/>
    <x v="2"/>
    <x v="0"/>
    <x v="2"/>
    <s v="CONDELL"/>
    <d v="2023-01-07T00:00:00"/>
  </r>
  <r>
    <s v="US1"/>
    <s v="SKHF91"/>
    <n v="3013"/>
    <x v="2"/>
    <x v="0"/>
    <x v="2"/>
    <s v="CONDELL"/>
    <d v="2023-01-07T00:00:00"/>
  </r>
  <r>
    <s v="US1"/>
    <s v="SKHF92"/>
    <n v="3014"/>
    <x v="2"/>
    <x v="0"/>
    <x v="2"/>
    <s v="CONDELL"/>
    <d v="2023-01-07T00:00:00"/>
  </r>
  <r>
    <s v="US1"/>
    <s v="SKHG14"/>
    <n v="3015"/>
    <x v="2"/>
    <x v="0"/>
    <x v="2"/>
    <s v="CONDELL"/>
    <d v="2023-01-07T00:00:00"/>
  </r>
  <r>
    <s v="US1"/>
    <s v="SKHG17"/>
    <n v="3016"/>
    <x v="2"/>
    <x v="0"/>
    <x v="2"/>
    <s v="CONDELL"/>
    <d v="2023-01-07T00:00:00"/>
  </r>
  <r>
    <s v="US1"/>
    <s v="SKHG20"/>
    <n v="3017"/>
    <x v="2"/>
    <x v="0"/>
    <x v="2"/>
    <s v="CONDELL"/>
    <d v="2023-01-07T00:00:00"/>
  </r>
  <r>
    <s v="US1"/>
    <s v="SKHG33"/>
    <n v="3018"/>
    <x v="2"/>
    <x v="0"/>
    <x v="2"/>
    <s v="CONDELL"/>
    <d v="2023-01-07T00:00:00"/>
  </r>
  <r>
    <s v="US1"/>
    <s v="SKHG37"/>
    <n v="3019"/>
    <x v="2"/>
    <x v="0"/>
    <x v="2"/>
    <s v="CONDELL"/>
    <d v="2023-01-07T00:00:00"/>
  </r>
  <r>
    <s v="US1"/>
    <s v="SKHG39"/>
    <n v="3020"/>
    <x v="2"/>
    <x v="0"/>
    <x v="2"/>
    <s v="CONDELL"/>
    <d v="2023-01-07T00:00:00"/>
  </r>
  <r>
    <s v="US1"/>
    <s v="SKHG40"/>
    <n v="3021"/>
    <x v="2"/>
    <x v="0"/>
    <x v="2"/>
    <s v="CONDELL"/>
    <d v="2023-01-07T00:00:00"/>
  </r>
  <r>
    <s v="US1"/>
    <s v="SKHG42"/>
    <n v="3022"/>
    <x v="2"/>
    <x v="0"/>
    <x v="2"/>
    <s v="CONDELL"/>
    <d v="2023-01-07T00:00:00"/>
  </r>
  <r>
    <s v="US1"/>
    <s v="SKHG47"/>
    <n v="3023"/>
    <x v="2"/>
    <x v="0"/>
    <x v="2"/>
    <s v="CONDELL"/>
    <d v="2023-01-07T00:00:00"/>
  </r>
  <r>
    <s v="US1"/>
    <s v="SKHG55"/>
    <n v="3024"/>
    <x v="2"/>
    <x v="0"/>
    <x v="2"/>
    <s v="CONDELL"/>
    <d v="2023-01-07T00:00:00"/>
  </r>
  <r>
    <s v="US1"/>
    <s v="SKHG57"/>
    <n v="3025"/>
    <x v="2"/>
    <x v="0"/>
    <x v="2"/>
    <s v="CONDELL"/>
    <d v="2023-01-07T00:00:00"/>
  </r>
  <r>
    <s v="US1"/>
    <s v="SKHG59"/>
    <n v="3026"/>
    <x v="2"/>
    <x v="0"/>
    <x v="2"/>
    <s v="CONDELL"/>
    <d v="2023-01-07T00:00:00"/>
  </r>
  <r>
    <s v="US1"/>
    <s v="SKHG62"/>
    <n v="3027"/>
    <x v="2"/>
    <x v="0"/>
    <x v="2"/>
    <s v="CONDELL"/>
    <d v="2023-01-07T00:00:00"/>
  </r>
  <r>
    <s v="US1"/>
    <s v="SKHG65"/>
    <n v="3028"/>
    <x v="2"/>
    <x v="0"/>
    <x v="2"/>
    <s v="CONDELL"/>
    <d v="2023-01-07T00:00:00"/>
  </r>
  <r>
    <s v="US1"/>
    <s v="SKHG69"/>
    <n v="3029"/>
    <x v="2"/>
    <x v="0"/>
    <x v="2"/>
    <s v="CONDELL"/>
    <d v="2023-01-07T00:00:00"/>
  </r>
  <r>
    <s v="US1"/>
    <s v="SKHG70"/>
    <n v="3030"/>
    <x v="2"/>
    <x v="0"/>
    <x v="2"/>
    <s v="CONDELL"/>
    <d v="2023-01-07T00:00:00"/>
  </r>
  <r>
    <s v="US1"/>
    <s v="SKHG73"/>
    <n v="3031"/>
    <x v="2"/>
    <x v="0"/>
    <x v="2"/>
    <s v="CONDELL"/>
    <d v="2023-01-07T00:00:00"/>
  </r>
  <r>
    <s v="US1"/>
    <s v="SKHG74"/>
    <n v="3032"/>
    <x v="2"/>
    <x v="0"/>
    <x v="2"/>
    <s v="CONDELL"/>
    <d v="2023-01-07T00:00:00"/>
  </r>
  <r>
    <s v="US1"/>
    <s v="SKHG79"/>
    <n v="3033"/>
    <x v="2"/>
    <x v="0"/>
    <x v="2"/>
    <s v="CONDELL"/>
    <d v="2023-01-07T00:00:00"/>
  </r>
  <r>
    <s v="US1"/>
    <s v="SKHG80"/>
    <n v="3034"/>
    <x v="2"/>
    <x v="0"/>
    <x v="2"/>
    <s v="CONDELL"/>
    <d v="2023-01-07T00:00:00"/>
  </r>
  <r>
    <s v="US1"/>
    <s v="SKHG82"/>
    <n v="3035"/>
    <x v="2"/>
    <x v="0"/>
    <x v="2"/>
    <s v="CONDELL"/>
    <d v="2023-01-07T00:00:00"/>
  </r>
  <r>
    <s v="US1"/>
    <s v="SKHG85"/>
    <n v="3036"/>
    <x v="2"/>
    <x v="0"/>
    <x v="2"/>
    <s v="CONDELL"/>
    <d v="2023-01-07T00:00:00"/>
  </r>
  <r>
    <s v="US1"/>
    <s v="SKHG89"/>
    <n v="3037"/>
    <x v="2"/>
    <x v="0"/>
    <x v="2"/>
    <s v="CONDELL"/>
    <d v="2023-01-07T00:00:00"/>
  </r>
  <r>
    <s v="US1"/>
    <s v="SKHG90"/>
    <n v="3038"/>
    <x v="2"/>
    <x v="0"/>
    <x v="2"/>
    <s v="CONDELL"/>
    <d v="2023-01-07T00:00:00"/>
  </r>
  <r>
    <s v="US1"/>
    <s v="SKHG92"/>
    <n v="3039"/>
    <x v="2"/>
    <x v="0"/>
    <x v="2"/>
    <s v="CONDELL"/>
    <d v="2023-01-07T00:00:00"/>
  </r>
  <r>
    <s v="US1"/>
    <s v="SKHG93"/>
    <n v="3040"/>
    <x v="2"/>
    <x v="0"/>
    <x v="2"/>
    <s v="CONDELL"/>
    <d v="2023-01-07T00:00:00"/>
  </r>
  <r>
    <s v="US1"/>
    <s v="SKHG95"/>
    <n v="3041"/>
    <x v="2"/>
    <x v="0"/>
    <x v="2"/>
    <s v="CONDELL"/>
    <d v="2023-01-07T00:00:00"/>
  </r>
  <r>
    <s v="US1"/>
    <s v="SPZX34"/>
    <n v="3042"/>
    <x v="2"/>
    <x v="0"/>
    <x v="2"/>
    <s v="CONDELL"/>
    <d v="2023-03-06T00:00:00"/>
  </r>
  <r>
    <s v="US1"/>
    <s v="SPZX36"/>
    <n v="3043"/>
    <x v="2"/>
    <x v="0"/>
    <x v="2"/>
    <s v="CONDELL"/>
    <d v="2023-03-06T00:00:00"/>
  </r>
  <r>
    <s v="US1"/>
    <s v="SPZX39"/>
    <n v="3044"/>
    <x v="2"/>
    <x v="0"/>
    <x v="2"/>
    <s v="CONDELL"/>
    <d v="2023-03-06T00:00:00"/>
  </r>
  <r>
    <s v="US1"/>
    <s v="SPZX41"/>
    <n v="3045"/>
    <x v="2"/>
    <x v="0"/>
    <x v="2"/>
    <s v="CONDELL"/>
    <d v="2023-03-06T00:00:00"/>
  </r>
  <r>
    <s v="US1"/>
    <s v="SPZX42"/>
    <n v="3046"/>
    <x v="2"/>
    <x v="0"/>
    <x v="2"/>
    <s v="CONDELL"/>
    <d v="2023-03-06T00:00:00"/>
  </r>
  <r>
    <s v="US1"/>
    <s v="SPZX46"/>
    <n v="3047"/>
    <x v="2"/>
    <x v="0"/>
    <x v="2"/>
    <s v="CONDELL"/>
    <d v="2023-03-06T00:00:00"/>
  </r>
  <r>
    <s v="US1"/>
    <s v="SPZX51"/>
    <n v="3048"/>
    <x v="2"/>
    <x v="0"/>
    <x v="2"/>
    <s v="CONDELL"/>
    <d v="2023-03-06T00:00:00"/>
  </r>
  <r>
    <s v="US1"/>
    <s v="SPZX55"/>
    <n v="3049"/>
    <x v="2"/>
    <x v="0"/>
    <x v="2"/>
    <s v="CONDELL"/>
    <d v="2023-03-06T00:00:00"/>
  </r>
  <r>
    <s v="US1"/>
    <s v="SPZX56"/>
    <n v="3050"/>
    <x v="2"/>
    <x v="0"/>
    <x v="2"/>
    <s v="CONDELL"/>
    <d v="2023-03-06T00:00:00"/>
  </r>
  <r>
    <s v="US1"/>
    <s v="SPZX58"/>
    <n v="3051"/>
    <x v="2"/>
    <x v="0"/>
    <x v="2"/>
    <s v="CONDELL"/>
    <d v="2023-03-06T00:00:00"/>
  </r>
  <r>
    <s v="US1"/>
    <s v="STHB50"/>
    <n v="3059"/>
    <x v="2"/>
    <x v="0"/>
    <x v="2"/>
    <s v="CONDELL"/>
    <d v="2023-04-22T00:00:00"/>
  </r>
  <r>
    <s v="US1"/>
    <s v="STHD21"/>
    <n v="3065"/>
    <x v="2"/>
    <x v="0"/>
    <x v="2"/>
    <s v="CONDELL"/>
    <d v="2023-04-22T00:00:00"/>
  </r>
  <r>
    <s v="US1"/>
    <s v="STHD35"/>
    <n v="3066"/>
    <x v="2"/>
    <x v="0"/>
    <x v="2"/>
    <s v="CONDELL"/>
    <d v="2023-04-22T00:00:00"/>
  </r>
  <r>
    <s v="US1"/>
    <s v="STHD47"/>
    <n v="3067"/>
    <x v="2"/>
    <x v="0"/>
    <x v="2"/>
    <s v="CONDELL"/>
    <d v="2023-04-22T00:00:00"/>
  </r>
  <r>
    <s v="US1"/>
    <s v="STHD54"/>
    <n v="3068"/>
    <x v="2"/>
    <x v="0"/>
    <x v="2"/>
    <s v="CONDELL"/>
    <d v="2023-04-22T00:00:00"/>
  </r>
  <r>
    <s v="US1"/>
    <s v="STHD65"/>
    <n v="3069"/>
    <x v="2"/>
    <x v="0"/>
    <x v="2"/>
    <s v="CONDELL"/>
    <d v="2023-04-22T00:00:00"/>
  </r>
  <r>
    <s v="US1"/>
    <s v="STHD72"/>
    <n v="3070"/>
    <x v="2"/>
    <x v="0"/>
    <x v="2"/>
    <s v="CONDELL"/>
    <d v="2023-04-22T00:00:00"/>
  </r>
  <r>
    <s v="US1"/>
    <s v="STHF13"/>
    <n v="3071"/>
    <x v="2"/>
    <x v="0"/>
    <x v="2"/>
    <s v="CONDELL"/>
    <d v="2023-04-22T00:00:00"/>
  </r>
  <r>
    <s v="US1"/>
    <s v="STHF15"/>
    <n v="3072"/>
    <x v="2"/>
    <x v="0"/>
    <x v="2"/>
    <s v="CONDELL"/>
    <d v="2023-04-22T00:00:00"/>
  </r>
  <r>
    <s v="US1"/>
    <s v="STHF35"/>
    <n v="3074"/>
    <x v="2"/>
    <x v="0"/>
    <x v="2"/>
    <s v="CONDELL"/>
    <d v="2023-04-22T00:00:00"/>
  </r>
  <r>
    <s v="US1"/>
    <s v="STHF42"/>
    <n v="3075"/>
    <x v="2"/>
    <x v="0"/>
    <x v="2"/>
    <s v="CONDELL"/>
    <d v="2023-04-22T00:00:00"/>
  </r>
  <r>
    <s v="US1"/>
    <s v="STHF45"/>
    <n v="3076"/>
    <x v="2"/>
    <x v="0"/>
    <x v="2"/>
    <s v="CONDELL"/>
    <d v="2023-04-22T00:00:00"/>
  </r>
  <r>
    <s v="US1"/>
    <s v="STHF49"/>
    <n v="3077"/>
    <x v="2"/>
    <x v="0"/>
    <x v="2"/>
    <s v="CONDELL"/>
    <d v="2023-04-22T00:00:00"/>
  </r>
  <r>
    <s v="US1"/>
    <s v="STHF62"/>
    <n v="3079"/>
    <x v="2"/>
    <x v="0"/>
    <x v="2"/>
    <s v="CONDELL"/>
    <d v="2023-04-22T00:00:00"/>
  </r>
  <r>
    <s v="US1"/>
    <s v="STHF76"/>
    <n v="3081"/>
    <x v="2"/>
    <x v="0"/>
    <x v="2"/>
    <s v="CONDELL"/>
    <d v="2023-04-22T00:00:00"/>
  </r>
  <r>
    <s v="US1"/>
    <s v="VTFK64"/>
    <n v="3141"/>
    <x v="2"/>
    <x v="1"/>
    <x v="2"/>
    <s v="CONDELL"/>
    <d v="2026-04-10T00:00:00"/>
  </r>
  <r>
    <s v="US1"/>
    <s v="LDJX67"/>
    <n v="4000"/>
    <x v="3"/>
    <x v="0"/>
    <x v="1"/>
    <s v="CONDELL"/>
    <d v="2023-01-07T00:00:00"/>
  </r>
  <r>
    <s v="US1"/>
    <s v="LDSW88"/>
    <n v="4001"/>
    <x v="3"/>
    <x v="0"/>
    <x v="1"/>
    <s v="CONDELL"/>
    <d v="2023-01-07T00:00:00"/>
  </r>
  <r>
    <s v="US1"/>
    <s v="LDSX94"/>
    <n v="4002"/>
    <x v="3"/>
    <x v="0"/>
    <x v="1"/>
    <s v="CONDELL"/>
    <d v="2023-01-07T00:00:00"/>
  </r>
  <r>
    <s v="US1"/>
    <s v="LDSX95"/>
    <n v="4003"/>
    <x v="3"/>
    <x v="0"/>
    <x v="1"/>
    <s v="CONDELL"/>
    <d v="2023-03-22T00:00:00"/>
  </r>
  <r>
    <s v="US1"/>
    <s v="LDSX96"/>
    <n v="4004"/>
    <x v="3"/>
    <x v="0"/>
    <x v="1"/>
    <s v="CONDELL"/>
    <d v="2023-01-07T00:00:00"/>
  </r>
  <r>
    <s v="US1"/>
    <s v="LDTG63"/>
    <n v="4005"/>
    <x v="3"/>
    <x v="0"/>
    <x v="1"/>
    <s v="CONDELL"/>
    <d v="2023-01-07T00:00:00"/>
  </r>
  <r>
    <s v="US1"/>
    <s v="LDTG64"/>
    <n v="4006"/>
    <x v="3"/>
    <x v="0"/>
    <x v="1"/>
    <s v="CONDELL"/>
    <d v="2023-01-07T00:00:00"/>
  </r>
  <r>
    <s v="US1"/>
    <s v="LDTG65"/>
    <n v="4007"/>
    <x v="3"/>
    <x v="0"/>
    <x v="1"/>
    <s v="CONDELL"/>
    <d v="2023-01-07T00:00:00"/>
  </r>
  <r>
    <s v="US1"/>
    <s v="LDTG66"/>
    <n v="4008"/>
    <x v="3"/>
    <x v="0"/>
    <x v="1"/>
    <s v="CONDELL"/>
    <d v="2023-01-07T00:00:00"/>
  </r>
  <r>
    <s v="US1"/>
    <s v="LDTG67"/>
    <n v="4009"/>
    <x v="3"/>
    <x v="0"/>
    <x v="1"/>
    <s v="CONDELL"/>
    <d v="2023-01-07T00:00:00"/>
  </r>
  <r>
    <s v="US1"/>
    <s v="LFGJ89"/>
    <n v="4010"/>
    <x v="3"/>
    <x v="0"/>
    <x v="1"/>
    <s v="CONDELL"/>
    <d v="2023-01-07T00:00:00"/>
  </r>
  <r>
    <s v="US1"/>
    <s v="LFGJ90"/>
    <n v="4011"/>
    <x v="3"/>
    <x v="0"/>
    <x v="1"/>
    <s v="CONDELL"/>
    <d v="2023-01-07T00:00:00"/>
  </r>
  <r>
    <s v="US1"/>
    <s v="LFGJ91"/>
    <n v="4012"/>
    <x v="3"/>
    <x v="0"/>
    <x v="1"/>
    <s v="CONDELL"/>
    <d v="2023-01-07T00:00:00"/>
  </r>
  <r>
    <s v="US1"/>
    <s v="LFGJ92"/>
    <n v="4013"/>
    <x v="3"/>
    <x v="0"/>
    <x v="1"/>
    <s v="CONDELL"/>
    <d v="2023-01-07T00:00:00"/>
  </r>
  <r>
    <s v="US1"/>
    <s v="LFGJ93"/>
    <n v="4014"/>
    <x v="3"/>
    <x v="0"/>
    <x v="1"/>
    <s v="CONDELL"/>
    <d v="2023-01-07T00:00:00"/>
  </r>
  <r>
    <s v="US1"/>
    <s v="LFGJ94"/>
    <n v="4015"/>
    <x v="3"/>
    <x v="0"/>
    <x v="1"/>
    <s v="CONDELL"/>
    <d v="2023-01-07T00:00:00"/>
  </r>
  <r>
    <s v="US1"/>
    <s v="LFGJ95"/>
    <n v="4016"/>
    <x v="3"/>
    <x v="0"/>
    <x v="1"/>
    <s v="CONDELL"/>
    <d v="2023-01-07T00:00:00"/>
  </r>
  <r>
    <s v="US1"/>
    <s v="LFGJ97"/>
    <n v="4018"/>
    <x v="3"/>
    <x v="0"/>
    <x v="1"/>
    <s v="CONDELL"/>
    <d v="2023-01-07T00:00:00"/>
  </r>
  <r>
    <s v="US1"/>
    <s v="LFGW21"/>
    <n v="4019"/>
    <x v="3"/>
    <x v="0"/>
    <x v="1"/>
    <s v="CONDELL"/>
    <d v="2023-01-07T00:00:00"/>
  </r>
  <r>
    <s v="US1"/>
    <s v="LFGW22"/>
    <n v="4020"/>
    <x v="3"/>
    <x v="0"/>
    <x v="1"/>
    <s v="CONDELL"/>
    <d v="2023-01-07T00:00:00"/>
  </r>
  <r>
    <s v="US1"/>
    <s v="LFGW31"/>
    <n v="4021"/>
    <x v="3"/>
    <x v="0"/>
    <x v="1"/>
    <s v="CONDELL"/>
    <d v="2023-01-07T00:00:00"/>
  </r>
  <r>
    <s v="US1"/>
    <s v="LFGW32"/>
    <n v="4022"/>
    <x v="3"/>
    <x v="0"/>
    <x v="1"/>
    <s v="CONDELL"/>
    <d v="2023-01-07T00:00:00"/>
  </r>
  <r>
    <s v="US1"/>
    <s v="LFGW33"/>
    <n v="4023"/>
    <x v="3"/>
    <x v="0"/>
    <x v="1"/>
    <s v="CONDELL"/>
    <d v="2023-01-07T00:00:00"/>
  </r>
  <r>
    <s v="US1"/>
    <s v="LFGW34"/>
    <n v="4024"/>
    <x v="3"/>
    <x v="1"/>
    <x v="1"/>
    <s v="CONDELL"/>
    <d v="2023-01-07T00:00:00"/>
  </r>
  <r>
    <s v="US1"/>
    <s v="SHXF25"/>
    <n v="4031"/>
    <x v="3"/>
    <x v="0"/>
    <x v="0"/>
    <s v="CONDELL"/>
    <d v="2023-01-02T00:00:00"/>
  </r>
  <r>
    <s v="US1"/>
    <s v="SHXG87"/>
    <n v="4041"/>
    <x v="3"/>
    <x v="0"/>
    <x v="0"/>
    <s v="CONDELL"/>
    <d v="2023-01-02T00:00:00"/>
  </r>
  <r>
    <s v="US1"/>
    <s v="SJPC35"/>
    <n v="4042"/>
    <x v="3"/>
    <x v="1"/>
    <x v="0"/>
    <s v="CONDELL"/>
    <d v="2023-01-02T00:00:00"/>
  </r>
  <r>
    <s v="US1"/>
    <s v="SJPC50"/>
    <n v="4051"/>
    <x v="3"/>
    <x v="0"/>
    <x v="0"/>
    <s v="CONDELL"/>
    <d v="2023-01-02T00:00:00"/>
  </r>
  <r>
    <s v="US1"/>
    <s v="SJPD73"/>
    <n v="4056"/>
    <x v="3"/>
    <x v="0"/>
    <x v="0"/>
    <s v="CONDELL"/>
    <d v="2023-01-02T00:00:00"/>
  </r>
  <r>
    <s v="US1"/>
    <s v="SJPF88"/>
    <n v="4066"/>
    <x v="3"/>
    <x v="1"/>
    <x v="0"/>
    <s v="CONDELL"/>
    <d v="2023-01-02T00:00:00"/>
  </r>
  <r>
    <s v="US1"/>
    <s v="SJPF86"/>
    <n v="4068"/>
    <x v="3"/>
    <x v="0"/>
    <x v="0"/>
    <s v="CONDELL"/>
    <d v="2023-01-07T00:00:00"/>
  </r>
  <r>
    <s v="US1"/>
    <s v="LDJV50"/>
    <n v="2091"/>
    <x v="1"/>
    <x v="0"/>
    <x v="1"/>
    <s v="CONDELL"/>
    <d v="2023-01-07T00:00:00"/>
  </r>
  <r>
    <s v="US1"/>
    <s v="LDJW30"/>
    <n v="2095"/>
    <x v="1"/>
    <x v="0"/>
    <x v="1"/>
    <s v="CONDELL"/>
    <d v="2023-01-07T00:00:00"/>
  </r>
  <r>
    <s v="US1"/>
    <s v="LDJW31"/>
    <n v="2096"/>
    <x v="1"/>
    <x v="0"/>
    <x v="1"/>
    <s v="CONDELL"/>
    <d v="2023-01-07T00:00:00"/>
  </r>
  <r>
    <s v="US1"/>
    <s v="TXZH33"/>
    <n v="3133"/>
    <x v="2"/>
    <x v="1"/>
    <x v="2"/>
    <s v="CONDELL"/>
    <d v="2025-02-07T00:00:00"/>
  </r>
  <r>
    <s v="US1"/>
    <s v="TXZH34"/>
    <n v="3134"/>
    <x v="2"/>
    <x v="1"/>
    <x v="2"/>
    <s v="CONDELL"/>
    <d v="2025-02-07T00:00:00"/>
  </r>
  <r>
    <s v="US1"/>
    <s v="TXZH35"/>
    <n v="3135"/>
    <x v="2"/>
    <x v="1"/>
    <x v="2"/>
    <s v="CONDELL"/>
    <d v="2025-02-13T00:00:00"/>
  </r>
  <r>
    <s v="US1"/>
    <s v="TXZH36"/>
    <n v="3136"/>
    <x v="2"/>
    <x v="1"/>
    <x v="2"/>
    <s v="CONDELL"/>
    <d v="2025-02-07T00:00:00"/>
  </r>
  <r>
    <s v="US1"/>
    <s v="TXZH37"/>
    <n v="3137"/>
    <x v="2"/>
    <x v="1"/>
    <x v="2"/>
    <s v="CONDELL"/>
    <d v="2025-02-07T00:00:00"/>
  </r>
  <r>
    <s v="US1"/>
    <s v="TXZH38"/>
    <n v="3138"/>
    <x v="2"/>
    <x v="1"/>
    <x v="2"/>
    <s v="CONDELL"/>
    <d v="2025-02-07T00:00:00"/>
  </r>
  <r>
    <s v="US1"/>
    <s v="TXZH39"/>
    <n v="3139"/>
    <x v="2"/>
    <x v="1"/>
    <x v="2"/>
    <s v="CONDELL"/>
    <d v="2025-02-14T00:00:00"/>
  </r>
  <r>
    <s v="US1"/>
    <s v="TXZK38"/>
    <n v="3140"/>
    <x v="2"/>
    <x v="1"/>
    <x v="2"/>
    <s v="CONDELL"/>
    <d v="2025-02-14T00:00:0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s v="US1"/>
    <s v="SHCY36"/>
    <n v="1006"/>
    <x v="0"/>
    <x v="0"/>
    <x v="0"/>
    <s v="STA MARTA"/>
    <d v="2023-04-22T00:00:00"/>
  </r>
  <r>
    <s v="US1"/>
    <s v="SHCY37"/>
    <n v="1007"/>
    <x v="0"/>
    <x v="0"/>
    <x v="0"/>
    <s v="STA MARTA"/>
    <d v="2023-04-22T00:00:00"/>
  </r>
  <r>
    <s v="US1"/>
    <s v="SHCY51"/>
    <n v="1014"/>
    <x v="0"/>
    <x v="0"/>
    <x v="0"/>
    <s v="STA MARTA"/>
    <d v="2023-04-22T00:00:00"/>
  </r>
  <r>
    <s v="US1"/>
    <s v="SHCY16"/>
    <n v="1016"/>
    <x v="0"/>
    <x v="0"/>
    <x v="0"/>
    <s v="STA MARTA"/>
    <d v="2023-04-22T00:00:00"/>
  </r>
  <r>
    <s v="US1"/>
    <s v="SHCY35"/>
    <n v="1017"/>
    <x v="0"/>
    <x v="0"/>
    <x v="0"/>
    <s v="STA MARTA"/>
    <d v="2023-04-22T00:00:00"/>
  </r>
  <r>
    <s v="US1"/>
    <s v="SHCX43"/>
    <n v="1024"/>
    <x v="0"/>
    <x v="0"/>
    <x v="0"/>
    <s v="STA MARTA"/>
    <d v="2023-04-22T00:00:00"/>
  </r>
  <r>
    <s v="US1"/>
    <s v="SHCY59"/>
    <n v="1025"/>
    <x v="0"/>
    <x v="0"/>
    <x v="0"/>
    <s v="STA MARTA"/>
    <d v="2023-04-22T00:00:00"/>
  </r>
  <r>
    <s v="US1"/>
    <s v="SHCX54"/>
    <n v="1026"/>
    <x v="0"/>
    <x v="0"/>
    <x v="0"/>
    <s v="STA MARTA"/>
    <d v="2023-04-22T00:00:00"/>
  </r>
  <r>
    <s v="US1"/>
    <s v="SHCY58"/>
    <n v="1027"/>
    <x v="0"/>
    <x v="0"/>
    <x v="0"/>
    <s v="STA MARTA"/>
    <d v="2023-04-22T00:00:00"/>
  </r>
  <r>
    <s v="US1"/>
    <s v="SHXF23"/>
    <n v="1030"/>
    <x v="0"/>
    <x v="0"/>
    <x v="0"/>
    <s v="STA MARTA"/>
    <d v="2023-04-22T00:00:00"/>
  </r>
  <r>
    <s v="US1"/>
    <s v="SHCY64"/>
    <n v="1031"/>
    <x v="0"/>
    <x v="0"/>
    <x v="0"/>
    <s v="STA MARTA"/>
    <d v="2023-04-22T00:00:00"/>
  </r>
  <r>
    <s v="US1"/>
    <s v="SHCY57"/>
    <n v="1032"/>
    <x v="0"/>
    <x v="0"/>
    <x v="0"/>
    <s v="STA MARTA"/>
    <d v="2023-04-22T00:00:00"/>
  </r>
  <r>
    <s v="US1"/>
    <s v="SHXF45"/>
    <n v="1033"/>
    <x v="0"/>
    <x v="0"/>
    <x v="0"/>
    <s v="STA MARTA"/>
    <d v="2023-04-22T00:00:00"/>
  </r>
  <r>
    <s v="US1"/>
    <s v="SHXF19"/>
    <n v="1034"/>
    <x v="0"/>
    <x v="0"/>
    <x v="0"/>
    <s v="STA MARTA"/>
    <d v="2023-04-22T00:00:00"/>
  </r>
  <r>
    <s v="US1"/>
    <s v="SJPB20"/>
    <n v="1035"/>
    <x v="0"/>
    <x v="0"/>
    <x v="0"/>
    <s v="STA MARTA"/>
    <d v="2023-04-22T00:00:00"/>
  </r>
  <r>
    <s v="US1"/>
    <s v="SJPC30"/>
    <n v="1036"/>
    <x v="0"/>
    <x v="0"/>
    <x v="0"/>
    <s v="STA MARTA"/>
    <d v="2023-04-22T00:00:00"/>
  </r>
  <r>
    <s v="US1"/>
    <s v="FLXS43"/>
    <n v="2000"/>
    <x v="1"/>
    <x v="0"/>
    <x v="1"/>
    <s v="STA MARTA"/>
    <d v="2023-04-22T00:00:00"/>
  </r>
  <r>
    <s v="US1"/>
    <s v="FLXS44"/>
    <n v="2001"/>
    <x v="1"/>
    <x v="0"/>
    <x v="1"/>
    <s v="STA MARTA"/>
    <d v="2023-04-22T00:00:00"/>
  </r>
  <r>
    <s v="US1"/>
    <s v="FLXS45"/>
    <n v="2002"/>
    <x v="1"/>
    <x v="0"/>
    <x v="1"/>
    <s v="STA MARTA"/>
    <d v="2023-04-22T00:00:00"/>
  </r>
  <r>
    <s v="US1"/>
    <s v="FLXS46"/>
    <n v="2003"/>
    <x v="1"/>
    <x v="0"/>
    <x v="1"/>
    <s v="STA MARTA"/>
    <d v="2023-04-22T00:00:00"/>
  </r>
  <r>
    <s v="US1"/>
    <s v="FLXS47"/>
    <n v="2004"/>
    <x v="1"/>
    <x v="0"/>
    <x v="1"/>
    <s v="STA MARTA"/>
    <d v="2023-04-22T00:00:00"/>
  </r>
  <r>
    <s v="US1"/>
    <s v="FLXS48"/>
    <n v="2005"/>
    <x v="1"/>
    <x v="0"/>
    <x v="1"/>
    <s v="STA MARTA"/>
    <d v="2023-04-22T00:00:00"/>
  </r>
  <r>
    <s v="US1"/>
    <s v="FLXS49"/>
    <n v="2006"/>
    <x v="1"/>
    <x v="0"/>
    <x v="1"/>
    <s v="STA MARTA"/>
    <d v="2023-04-22T00:00:00"/>
  </r>
  <r>
    <s v="US1"/>
    <s v="FLXS50"/>
    <n v="2007"/>
    <x v="1"/>
    <x v="0"/>
    <x v="1"/>
    <s v="STA MARTA"/>
    <d v="2023-04-22T00:00:00"/>
  </r>
  <r>
    <s v="US1"/>
    <s v="FLXS51"/>
    <n v="2008"/>
    <x v="1"/>
    <x v="0"/>
    <x v="1"/>
    <s v="STA MARTA"/>
    <d v="2023-04-22T00:00:00"/>
  </r>
  <r>
    <s v="US1"/>
    <s v="FLXS52"/>
    <n v="2009"/>
    <x v="1"/>
    <x v="0"/>
    <x v="1"/>
    <s v="STA MARTA"/>
    <d v="2023-04-22T00:00:00"/>
  </r>
  <r>
    <s v="US1"/>
    <s v="FLXS53"/>
    <n v="2010"/>
    <x v="1"/>
    <x v="0"/>
    <x v="1"/>
    <s v="STA MARTA"/>
    <d v="2023-04-22T00:00:00"/>
  </r>
  <r>
    <s v="US1"/>
    <s v="FLXS54"/>
    <n v="2011"/>
    <x v="1"/>
    <x v="0"/>
    <x v="1"/>
    <s v="STA MARTA"/>
    <d v="2023-04-22T00:00:00"/>
  </r>
  <r>
    <s v="US1"/>
    <s v="FLXS55"/>
    <n v="2012"/>
    <x v="1"/>
    <x v="0"/>
    <x v="1"/>
    <s v="STA MARTA"/>
    <d v="2023-04-22T00:00:00"/>
  </r>
  <r>
    <s v="US1"/>
    <s v="FLXS56"/>
    <n v="2013"/>
    <x v="1"/>
    <x v="0"/>
    <x v="1"/>
    <s v="STA MARTA"/>
    <d v="2023-04-22T00:00:00"/>
  </r>
  <r>
    <s v="US1"/>
    <s v="FLXS57"/>
    <n v="2014"/>
    <x v="1"/>
    <x v="0"/>
    <x v="1"/>
    <s v="STA MARTA"/>
    <d v="2023-04-22T00:00:00"/>
  </r>
  <r>
    <s v="US1"/>
    <s v="FLXS58"/>
    <n v="2015"/>
    <x v="1"/>
    <x v="0"/>
    <x v="1"/>
    <s v="STA MARTA"/>
    <d v="2023-04-22T00:00:00"/>
  </r>
  <r>
    <s v="US1"/>
    <s v="FLXS59"/>
    <n v="2016"/>
    <x v="1"/>
    <x v="0"/>
    <x v="1"/>
    <s v="STA MARTA"/>
    <d v="2023-04-22T00:00:00"/>
  </r>
  <r>
    <s v="US1"/>
    <s v="FLXS61"/>
    <n v="2018"/>
    <x v="1"/>
    <x v="0"/>
    <x v="1"/>
    <s v="STA MARTA"/>
    <d v="2023-04-22T00:00:00"/>
  </r>
  <r>
    <s v="US1"/>
    <s v="FLXS63"/>
    <n v="2020"/>
    <x v="1"/>
    <x v="0"/>
    <x v="1"/>
    <s v="STA MARTA"/>
    <d v="2023-04-22T00:00:00"/>
  </r>
  <r>
    <s v="US1"/>
    <s v="FLXP83"/>
    <n v="2021"/>
    <x v="1"/>
    <x v="1"/>
    <x v="1"/>
    <s v="STA MARTA"/>
    <d v="2023-04-22T00:00:00"/>
  </r>
  <r>
    <s v="US1"/>
    <s v="FLXP84"/>
    <n v="2022"/>
    <x v="1"/>
    <x v="1"/>
    <x v="1"/>
    <s v="STA MARTA"/>
    <d v="2023-04-22T00:00:00"/>
  </r>
  <r>
    <s v="US1"/>
    <s v="FLXP85"/>
    <n v="2023"/>
    <x v="1"/>
    <x v="0"/>
    <x v="1"/>
    <s v="STA MARTA"/>
    <d v="2023-04-22T00:00:00"/>
  </r>
  <r>
    <s v="US1"/>
    <s v="FLXP86"/>
    <n v="2024"/>
    <x v="1"/>
    <x v="0"/>
    <x v="1"/>
    <s v="STA MARTA"/>
    <d v="2023-04-22T00:00:00"/>
  </r>
  <r>
    <s v="US1"/>
    <s v="FLXP87"/>
    <n v="2025"/>
    <x v="1"/>
    <x v="0"/>
    <x v="1"/>
    <s v="STA MARTA"/>
    <d v="2023-04-22T00:00:00"/>
  </r>
  <r>
    <s v="US1"/>
    <s v="STGZ28"/>
    <n v="3052"/>
    <x v="2"/>
    <x v="0"/>
    <x v="2"/>
    <s v="STA MARTA"/>
    <d v="2023-08-12T00:00:00"/>
  </r>
  <r>
    <s v="US1"/>
    <s v="STGZ62"/>
    <n v="3053"/>
    <x v="2"/>
    <x v="0"/>
    <x v="2"/>
    <s v="STA MARTA"/>
    <d v="2023-08-12T00:00:00"/>
  </r>
  <r>
    <s v="US1"/>
    <s v="STGZ85"/>
    <n v="3054"/>
    <x v="2"/>
    <x v="0"/>
    <x v="2"/>
    <s v="STA MARTA"/>
    <d v="2023-08-12T00:00:00"/>
  </r>
  <r>
    <s v="US1"/>
    <s v="STHB12"/>
    <n v="3055"/>
    <x v="2"/>
    <x v="0"/>
    <x v="2"/>
    <s v="STA MARTA"/>
    <d v="2023-08-12T00:00:00"/>
  </r>
  <r>
    <s v="US1"/>
    <s v="STHB21"/>
    <n v="3056"/>
    <x v="2"/>
    <x v="0"/>
    <x v="2"/>
    <s v="STA MARTA"/>
    <d v="2023-08-12T00:00:00"/>
  </r>
  <r>
    <s v="US1"/>
    <s v="STHB29"/>
    <n v="3057"/>
    <x v="2"/>
    <x v="0"/>
    <x v="2"/>
    <s v="STA MARTA"/>
    <d v="2023-08-12T00:00:00"/>
  </r>
  <r>
    <s v="US1"/>
    <s v="STHB36"/>
    <n v="3058"/>
    <x v="2"/>
    <x v="0"/>
    <x v="2"/>
    <s v="STA MARTA"/>
    <d v="2023-08-12T00:00:00"/>
  </r>
  <r>
    <s v="US1"/>
    <s v="STHB62"/>
    <n v="3060"/>
    <x v="2"/>
    <x v="0"/>
    <x v="2"/>
    <s v="STA MARTA"/>
    <d v="2023-08-12T00:00:00"/>
  </r>
  <r>
    <s v="US1"/>
    <s v="STHC45"/>
    <n v="3061"/>
    <x v="2"/>
    <x v="0"/>
    <x v="2"/>
    <s v="STA MARTA"/>
    <d v="2023-08-12T00:00:00"/>
  </r>
  <r>
    <s v="US1"/>
    <s v="STHC51"/>
    <n v="3062"/>
    <x v="2"/>
    <x v="0"/>
    <x v="2"/>
    <s v="STA MARTA"/>
    <d v="2023-08-12T00:00:00"/>
  </r>
  <r>
    <s v="US1"/>
    <s v="STHC54"/>
    <n v="3063"/>
    <x v="2"/>
    <x v="0"/>
    <x v="2"/>
    <s v="STA MARTA"/>
    <d v="2023-08-12T00:00:00"/>
  </r>
  <r>
    <s v="US1"/>
    <s v="STHC69"/>
    <n v="3064"/>
    <x v="2"/>
    <x v="0"/>
    <x v="2"/>
    <s v="STA MARTA"/>
    <d v="2023-08-12T00:00:00"/>
  </r>
  <r>
    <s v="US1"/>
    <s v="STHF31"/>
    <n v="3073"/>
    <x v="2"/>
    <x v="0"/>
    <x v="2"/>
    <s v="STA MARTA"/>
    <d v="2023-08-12T00:00:00"/>
  </r>
  <r>
    <s v="US1"/>
    <s v="STHF54"/>
    <n v="3078"/>
    <x v="2"/>
    <x v="0"/>
    <x v="2"/>
    <s v="STA MARTA"/>
    <d v="2023-08-12T00:00:00"/>
  </r>
  <r>
    <s v="US1"/>
    <s v="STHF70"/>
    <n v="3080"/>
    <x v="2"/>
    <x v="0"/>
    <x v="2"/>
    <s v="STA MARTA"/>
    <d v="2023-08-12T00:00:00"/>
  </r>
  <r>
    <s v="US1"/>
    <s v="STHF77"/>
    <n v="3082"/>
    <x v="2"/>
    <x v="0"/>
    <x v="2"/>
    <s v="STA MARTA"/>
    <d v="2023-04-22T00:00:00"/>
  </r>
  <r>
    <s v="US1"/>
    <s v="STHF78"/>
    <n v="3083"/>
    <x v="2"/>
    <x v="0"/>
    <x v="2"/>
    <s v="STA MARTA"/>
    <d v="2023-04-22T00:00:00"/>
  </r>
  <r>
    <s v="US1"/>
    <s v="STHF82"/>
    <n v="3084"/>
    <x v="2"/>
    <x v="0"/>
    <x v="2"/>
    <s v="STA MARTA"/>
    <d v="2023-08-12T00:00:00"/>
  </r>
  <r>
    <s v="US1"/>
    <s v="STHF84"/>
    <n v="3085"/>
    <x v="2"/>
    <x v="0"/>
    <x v="2"/>
    <s v="STA MARTA"/>
    <d v="2023-04-22T00:00:00"/>
  </r>
  <r>
    <s v="US1"/>
    <s v="STHF88"/>
    <n v="3086"/>
    <x v="2"/>
    <x v="0"/>
    <x v="2"/>
    <s v="STA MARTA"/>
    <d v="2023-04-22T00:00:00"/>
  </r>
  <r>
    <s v="US1"/>
    <s v="STHJ61"/>
    <n v="3087"/>
    <x v="2"/>
    <x v="0"/>
    <x v="2"/>
    <s v="STA MARTA"/>
    <d v="2023-08-12T00:00:00"/>
  </r>
  <r>
    <s v="US1"/>
    <s v="STHJ68"/>
    <n v="3088"/>
    <x v="2"/>
    <x v="0"/>
    <x v="2"/>
    <s v="STA MARTA"/>
    <d v="2023-08-12T00:00:00"/>
  </r>
  <r>
    <s v="US1"/>
    <s v="STHJ72"/>
    <n v="3089"/>
    <x v="2"/>
    <x v="0"/>
    <x v="2"/>
    <s v="STA MARTA"/>
    <d v="2023-08-12T00:00:00"/>
  </r>
  <r>
    <s v="US1"/>
    <s v="STHJ74"/>
    <n v="3090"/>
    <x v="2"/>
    <x v="0"/>
    <x v="2"/>
    <s v="STA MARTA"/>
    <d v="2023-08-12T00:00:00"/>
  </r>
  <r>
    <s v="US1"/>
    <s v="STHJ81"/>
    <n v="3091"/>
    <x v="2"/>
    <x v="0"/>
    <x v="2"/>
    <s v="STA MARTA"/>
    <d v="2023-08-12T00:00:00"/>
  </r>
  <r>
    <s v="US1"/>
    <s v="STHJ86"/>
    <n v="3092"/>
    <x v="2"/>
    <x v="0"/>
    <x v="2"/>
    <s v="STA MARTA"/>
    <d v="2023-08-12T00:00:00"/>
  </r>
  <r>
    <s v="US1"/>
    <s v="STHJ89"/>
    <n v="3093"/>
    <x v="2"/>
    <x v="0"/>
    <x v="2"/>
    <s v="STA MARTA"/>
    <d v="2023-08-12T00:00:00"/>
  </r>
  <r>
    <s v="US1"/>
    <s v="STHJ98"/>
    <n v="3094"/>
    <x v="2"/>
    <x v="0"/>
    <x v="2"/>
    <s v="STA MARTA"/>
    <d v="2023-08-12T00:00:00"/>
  </r>
  <r>
    <s v="US1"/>
    <s v="STHJ99"/>
    <n v="3095"/>
    <x v="2"/>
    <x v="0"/>
    <x v="2"/>
    <s v="STA MARTA"/>
    <d v="2023-08-12T00:00:00"/>
  </r>
  <r>
    <s v="US1"/>
    <s v="STHK10"/>
    <n v="3096"/>
    <x v="2"/>
    <x v="0"/>
    <x v="2"/>
    <s v="STA MARTA"/>
    <d v="2023-08-12T00:00:00"/>
  </r>
  <r>
    <s v="US1"/>
    <s v="STHK12"/>
    <n v="3097"/>
    <x v="2"/>
    <x v="0"/>
    <x v="2"/>
    <s v="STA MARTA"/>
    <d v="2023-04-22T00:00:00"/>
  </r>
  <r>
    <s v="US1"/>
    <s v="STHK13"/>
    <n v="3098"/>
    <x v="2"/>
    <x v="0"/>
    <x v="2"/>
    <s v="STA MARTA"/>
    <d v="2023-08-12T00:00:00"/>
  </r>
  <r>
    <s v="US1"/>
    <s v="STHK20"/>
    <n v="3099"/>
    <x v="2"/>
    <x v="0"/>
    <x v="2"/>
    <s v="STA MARTA"/>
    <d v="2023-08-12T00:00:00"/>
  </r>
  <r>
    <s v="US1"/>
    <s v="STHK27"/>
    <n v="3100"/>
    <x v="2"/>
    <x v="0"/>
    <x v="2"/>
    <s v="STA MARTA"/>
    <d v="2023-08-12T00:00:00"/>
  </r>
  <r>
    <s v="US1"/>
    <s v="STHK28"/>
    <n v="3101"/>
    <x v="2"/>
    <x v="0"/>
    <x v="2"/>
    <s v="STA MARTA"/>
    <d v="2023-08-12T00:00:00"/>
  </r>
  <r>
    <s v="US1"/>
    <s v="STHK36"/>
    <n v="3102"/>
    <x v="2"/>
    <x v="0"/>
    <x v="2"/>
    <s v="STA MARTA"/>
    <d v="2023-08-12T00:00:00"/>
  </r>
  <r>
    <s v="US1"/>
    <s v="STHK38"/>
    <n v="3103"/>
    <x v="2"/>
    <x v="0"/>
    <x v="2"/>
    <s v="STA MARTA"/>
    <d v="2023-04-22T00:00:00"/>
  </r>
  <r>
    <s v="US1"/>
    <s v="STHK39"/>
    <n v="3104"/>
    <x v="2"/>
    <x v="0"/>
    <x v="2"/>
    <s v="STA MARTA"/>
    <d v="2023-04-22T00:00:00"/>
  </r>
  <r>
    <s v="US1"/>
    <s v="STHK53"/>
    <n v="3105"/>
    <x v="2"/>
    <x v="0"/>
    <x v="2"/>
    <s v="STA MARTA"/>
    <d v="2023-08-12T00:00:00"/>
  </r>
  <r>
    <s v="US1"/>
    <s v="STHK62"/>
    <n v="3106"/>
    <x v="2"/>
    <x v="0"/>
    <x v="2"/>
    <s v="STA MARTA"/>
    <d v="2023-08-12T00:00:00"/>
  </r>
  <r>
    <s v="US1"/>
    <s v="STHK69"/>
    <n v="3107"/>
    <x v="2"/>
    <x v="0"/>
    <x v="2"/>
    <s v="STA MARTA"/>
    <d v="2023-08-12T00:00:00"/>
  </r>
  <r>
    <s v="US1"/>
    <s v="STHK70"/>
    <n v="3108"/>
    <x v="2"/>
    <x v="0"/>
    <x v="2"/>
    <s v="STA MARTA"/>
    <d v="2023-08-12T00:00:00"/>
  </r>
  <r>
    <s v="US1"/>
    <s v="STHL11"/>
    <n v="3109"/>
    <x v="2"/>
    <x v="0"/>
    <x v="2"/>
    <s v="STA MARTA"/>
    <d v="2023-08-12T00:00:00"/>
  </r>
  <r>
    <s v="US1"/>
    <s v="STHL27"/>
    <n v="3110"/>
    <x v="2"/>
    <x v="0"/>
    <x v="2"/>
    <s v="STA MARTA"/>
    <d v="2023-04-22T00:00:00"/>
  </r>
  <r>
    <s v="US1"/>
    <s v="STHL29"/>
    <n v="3111"/>
    <x v="2"/>
    <x v="0"/>
    <x v="2"/>
    <s v="STA MARTA"/>
    <d v="2023-08-12T00:00:00"/>
  </r>
  <r>
    <s v="US1"/>
    <s v="STHL35"/>
    <n v="3112"/>
    <x v="2"/>
    <x v="0"/>
    <x v="2"/>
    <s v="STA MARTA"/>
    <d v="2023-08-12T00:00:00"/>
  </r>
  <r>
    <s v="US1"/>
    <s v="STHL42"/>
    <n v="3113"/>
    <x v="2"/>
    <x v="0"/>
    <x v="2"/>
    <s v="STA MARTA"/>
    <d v="2023-04-22T00:00:00"/>
  </r>
  <r>
    <s v="US1"/>
    <s v="STHL46"/>
    <n v="3114"/>
    <x v="2"/>
    <x v="0"/>
    <x v="2"/>
    <s v="STA MARTA"/>
    <d v="2023-08-12T00:00:00"/>
  </r>
  <r>
    <s v="US1"/>
    <s v="STHL51"/>
    <n v="3115"/>
    <x v="2"/>
    <x v="0"/>
    <x v="2"/>
    <s v="STA MARTA"/>
    <d v="2023-08-12T00:00:00"/>
  </r>
  <r>
    <s v="US1"/>
    <s v="STHL95"/>
    <n v="3116"/>
    <x v="2"/>
    <x v="0"/>
    <x v="2"/>
    <s v="STA MARTA"/>
    <d v="2023-04-22T00:00:00"/>
  </r>
  <r>
    <s v="US1"/>
    <s v="STHP12"/>
    <n v="3117"/>
    <x v="2"/>
    <x v="0"/>
    <x v="2"/>
    <s v="STA MARTA"/>
    <d v="2023-08-12T00:00:00"/>
  </r>
  <r>
    <s v="US1"/>
    <s v="STHP52"/>
    <n v="3118"/>
    <x v="2"/>
    <x v="0"/>
    <x v="2"/>
    <s v="STA MARTA"/>
    <d v="2023-08-12T00:00:00"/>
  </r>
  <r>
    <s v="US1"/>
    <s v="STHP97"/>
    <n v="3119"/>
    <x v="2"/>
    <x v="0"/>
    <x v="2"/>
    <s v="STA MARTA"/>
    <d v="2023-08-12T00:00:00"/>
  </r>
  <r>
    <s v="US1"/>
    <s v="STHR18"/>
    <n v="3120"/>
    <x v="2"/>
    <x v="0"/>
    <x v="2"/>
    <s v="STA MARTA"/>
    <d v="2023-08-12T00:00:00"/>
  </r>
  <r>
    <s v="US1"/>
    <s v="STHR23"/>
    <n v="3121"/>
    <x v="2"/>
    <x v="0"/>
    <x v="2"/>
    <s v="STA MARTA"/>
    <d v="2023-08-12T00:00:00"/>
  </r>
  <r>
    <s v="US1"/>
    <s v="STHR36"/>
    <n v="3122"/>
    <x v="2"/>
    <x v="0"/>
    <x v="2"/>
    <s v="STA MARTA"/>
    <d v="2023-08-12T00:00:00"/>
  </r>
  <r>
    <s v="US1"/>
    <s v="STHR46"/>
    <n v="3123"/>
    <x v="2"/>
    <x v="0"/>
    <x v="2"/>
    <s v="STA MARTA"/>
    <d v="2023-08-12T00:00:00"/>
  </r>
  <r>
    <s v="US1"/>
    <s v="STHR60"/>
    <n v="3124"/>
    <x v="2"/>
    <x v="0"/>
    <x v="2"/>
    <s v="STA MARTA"/>
    <d v="2023-08-12T00:00:00"/>
  </r>
  <r>
    <s v="US1"/>
    <s v="STHR72"/>
    <n v="3125"/>
    <x v="2"/>
    <x v="0"/>
    <x v="2"/>
    <s v="STA MARTA"/>
    <d v="2023-08-12T00:00:00"/>
  </r>
  <r>
    <s v="US1"/>
    <s v="STHR80"/>
    <n v="3126"/>
    <x v="2"/>
    <x v="0"/>
    <x v="2"/>
    <s v="STA MARTA"/>
    <d v="2023-08-12T00:00:00"/>
  </r>
  <r>
    <s v="US1"/>
    <s v="LDJW34"/>
    <n v="2097"/>
    <x v="3"/>
    <x v="0"/>
    <x v="1"/>
    <s v="STA MARTA"/>
    <d v="2023-01-07T00:00:00"/>
  </r>
  <r>
    <s v="US1"/>
    <s v="LDJW35"/>
    <n v="2098"/>
    <x v="3"/>
    <x v="0"/>
    <x v="1"/>
    <s v="STA MARTA"/>
    <d v="2023-01-07T00:00:00"/>
  </r>
  <r>
    <s v="US1"/>
    <s v="LDJW36"/>
    <n v="2099"/>
    <x v="3"/>
    <x v="0"/>
    <x v="1"/>
    <s v="STA MARTA"/>
    <d v="2023-01-07T00:00:00"/>
  </r>
  <r>
    <s v="US1"/>
    <s v="LDJW37"/>
    <n v="2100"/>
    <x v="3"/>
    <x v="0"/>
    <x v="1"/>
    <s v="STA MARTA"/>
    <d v="2023-01-07T00:00:00"/>
  </r>
  <r>
    <s v="US1"/>
    <s v="LDJW38"/>
    <n v="2101"/>
    <x v="3"/>
    <x v="0"/>
    <x v="1"/>
    <s v="STA MARTA"/>
    <d v="2023-01-07T00:00:00"/>
  </r>
  <r>
    <s v="US1"/>
    <s v="LDJW39"/>
    <n v="2102"/>
    <x v="3"/>
    <x v="0"/>
    <x v="1"/>
    <s v="STA MARTA"/>
    <d v="2023-01-07T00:00:00"/>
  </r>
  <r>
    <s v="US1"/>
    <s v="LDJW40"/>
    <n v="2103"/>
    <x v="3"/>
    <x v="1"/>
    <x v="1"/>
    <s v="STA MARTA"/>
    <d v="2023-01-07T00:00:00"/>
  </r>
  <r>
    <s v="US1"/>
    <s v="LDJW41"/>
    <n v="2104"/>
    <x v="3"/>
    <x v="0"/>
    <x v="1"/>
    <s v="STA MARTA"/>
    <d v="2023-01-07T00:00:00"/>
  </r>
  <r>
    <s v="US1"/>
    <s v="LDJW42"/>
    <n v="2105"/>
    <x v="3"/>
    <x v="0"/>
    <x v="1"/>
    <s v="STA MARTA"/>
    <d v="2023-01-07T00:00:00"/>
  </r>
  <r>
    <s v="US1"/>
    <s v="LDJW43"/>
    <n v="2106"/>
    <x v="3"/>
    <x v="0"/>
    <x v="1"/>
    <s v="STA MARTA"/>
    <d v="2023-01-07T00:00:00"/>
  </r>
  <r>
    <s v="US1"/>
    <s v="LDJW44"/>
    <n v="2107"/>
    <x v="3"/>
    <x v="0"/>
    <x v="1"/>
    <s v="STA MARTA"/>
    <d v="2023-01-07T00:00:00"/>
  </r>
  <r>
    <s v="US1"/>
    <s v="LDJW45"/>
    <n v="2108"/>
    <x v="3"/>
    <x v="0"/>
    <x v="1"/>
    <s v="STA MARTA"/>
    <d v="2023-01-07T00:00:00"/>
  </r>
  <r>
    <s v="US1"/>
    <s v="LDJW46"/>
    <n v="2109"/>
    <x v="3"/>
    <x v="0"/>
    <x v="1"/>
    <s v="STA MARTA"/>
    <d v="2023-01-07T00:00:00"/>
  </r>
  <r>
    <s v="US1"/>
    <s v="LDJW47"/>
    <n v="2110"/>
    <x v="3"/>
    <x v="0"/>
    <x v="1"/>
    <s v="STA MARTA"/>
    <d v="2023-01-07T00:00:00"/>
  </r>
  <r>
    <s v="US1"/>
    <s v="LJDL48"/>
    <n v="2113"/>
    <x v="3"/>
    <x v="1"/>
    <x v="1"/>
    <s v="STA MARTA"/>
    <d v="2023-01-07T00:00:00"/>
  </r>
  <r>
    <s v="US1"/>
    <s v="LDJP67"/>
    <n v="2080"/>
    <x v="3"/>
    <x v="0"/>
    <x v="1"/>
    <s v="STA MARTA"/>
    <d v="2023-01-07T00:00:00"/>
  </r>
  <r>
    <s v="US1"/>
    <s v="LDJP70"/>
    <n v="2081"/>
    <x v="3"/>
    <x v="0"/>
    <x v="1"/>
    <s v="STA MARTA"/>
    <d v="2023-01-07T00:00:00"/>
  </r>
  <r>
    <s v="US1"/>
    <s v="LDJP71"/>
    <n v="2082"/>
    <x v="3"/>
    <x v="0"/>
    <x v="1"/>
    <s v="STA MARTA"/>
    <d v="2023-01-07T00:00:00"/>
  </r>
  <r>
    <s v="US1"/>
    <s v="LDJP72"/>
    <n v="2083"/>
    <x v="3"/>
    <x v="0"/>
    <x v="1"/>
    <s v="STA MARTA"/>
    <d v="2023-01-07T00:00:00"/>
  </r>
  <r>
    <s v="US1"/>
    <s v="LDJV44"/>
    <n v="2086"/>
    <x v="3"/>
    <x v="1"/>
    <x v="1"/>
    <s v="STA MARTA"/>
    <d v="2023-01-07T00:00:00"/>
  </r>
  <r>
    <s v="US1"/>
    <s v="LDJV45"/>
    <n v="2087"/>
    <x v="3"/>
    <x v="1"/>
    <x v="1"/>
    <s v="STA MARTA"/>
    <d v="2023-01-07T00:00:00"/>
  </r>
  <r>
    <s v="US1"/>
    <s v="TXZH25"/>
    <n v="3127"/>
    <x v="2"/>
    <x v="1"/>
    <x v="2"/>
    <s v="STA MARTA"/>
    <d v="2025-02-12T00:00:00"/>
  </r>
  <r>
    <s v="US1"/>
    <s v="TXZH26"/>
    <n v="3128"/>
    <x v="2"/>
    <x v="1"/>
    <x v="2"/>
    <s v="STA MARTA"/>
    <d v="2025-02-04T00:00:00"/>
  </r>
  <r>
    <s v="US1"/>
    <s v="TXZH28"/>
    <n v="3129"/>
    <x v="2"/>
    <x v="1"/>
    <x v="2"/>
    <s v="STA MARTA"/>
    <d v="2025-02-12T00:00:00"/>
  </r>
  <r>
    <s v="US1"/>
    <s v="TXZH30"/>
    <n v="3130"/>
    <x v="2"/>
    <x v="1"/>
    <x v="2"/>
    <s v="STA MARTA"/>
    <d v="2025-02-04T00:00:00"/>
  </r>
  <r>
    <s v="US1"/>
    <s v="TXZH31"/>
    <n v="3131"/>
    <x v="2"/>
    <x v="1"/>
    <x v="2"/>
    <s v="STA MARTA"/>
    <d v="2025-02-05T00:00:00"/>
  </r>
  <r>
    <s v="US1"/>
    <s v="TXZH32"/>
    <n v="3132"/>
    <x v="2"/>
    <x v="1"/>
    <x v="2"/>
    <s v="STA MARTA"/>
    <d v="2025-02-04T00:00:00"/>
  </r>
  <r>
    <s v="US1"/>
    <s v="LDJW49"/>
    <n v="2112"/>
    <x v="3"/>
    <x v="0"/>
    <x v="1"/>
    <s v="STA MARTA"/>
    <d v="2023-01-07T00:00:00"/>
  </r>
  <r>
    <s v="US1"/>
    <s v="HYFL60"/>
    <n v="2114"/>
    <x v="1"/>
    <x v="1"/>
    <x v="3"/>
    <s v="STA MARTA"/>
    <d v="2025-03-19T00:00:00"/>
  </r>
  <r>
    <s v="US1"/>
    <s v="HVFH32"/>
    <n v="2115"/>
    <x v="1"/>
    <x v="0"/>
    <x v="3"/>
    <s v="STA MARTA"/>
    <d v="2025-03-14T00:00:00"/>
  </r>
  <r>
    <s v="US1"/>
    <s v="HVFH33"/>
    <n v="2116"/>
    <x v="1"/>
    <x v="0"/>
    <x v="3"/>
    <s v="STA MARTA"/>
    <d v="2025-03-14T00:00:00"/>
  </r>
  <r>
    <s v="US1"/>
    <s v="FLXP66"/>
    <n v="2026"/>
    <x v="1"/>
    <x v="2"/>
    <x v="1"/>
    <s v="STA MARTA"/>
    <d v="2023-04-08T00:00:00"/>
  </r>
  <r>
    <s v="US1"/>
    <s v="FLXP67"/>
    <n v="2027"/>
    <x v="1"/>
    <x v="2"/>
    <x v="1"/>
    <s v="STA MARTA"/>
    <d v="2023-04-08T00:00:00"/>
  </r>
  <r>
    <s v="US1"/>
    <s v="FLXP68"/>
    <n v="2028"/>
    <x v="1"/>
    <x v="2"/>
    <x v="1"/>
    <s v="STA MARTA"/>
    <d v="2023-04-08T00:00:00"/>
  </r>
  <r>
    <s v="US1"/>
    <s v="FLXP69"/>
    <n v="2029"/>
    <x v="1"/>
    <x v="2"/>
    <x v="1"/>
    <s v="STA MARTA"/>
    <d v="2023-04-08T00:00:00"/>
  </r>
  <r>
    <s v="US1"/>
    <s v="FLXP70"/>
    <n v="2030"/>
    <x v="1"/>
    <x v="2"/>
    <x v="1"/>
    <s v="STA MARTA"/>
    <d v="2023-04-08T00:00:00"/>
  </r>
  <r>
    <s v="US1"/>
    <s v="FLXP71"/>
    <n v="2031"/>
    <x v="1"/>
    <x v="2"/>
    <x v="1"/>
    <s v="STA MARTA"/>
    <d v="2023-04-08T00:00:00"/>
  </r>
  <r>
    <s v="US1"/>
    <s v="FLXP72"/>
    <n v="2032"/>
    <x v="1"/>
    <x v="2"/>
    <x v="1"/>
    <s v="STA MARTA"/>
    <d v="2023-04-08T00:00:00"/>
  </r>
  <r>
    <s v="US1"/>
    <s v="FLXP73"/>
    <n v="2033"/>
    <x v="1"/>
    <x v="2"/>
    <x v="1"/>
    <s v="STA MARTA"/>
    <d v="2023-04-08T00:00:00"/>
  </r>
  <r>
    <s v="US1"/>
    <s v="FLXP75"/>
    <n v="2034"/>
    <x v="1"/>
    <x v="2"/>
    <x v="1"/>
    <s v="STA MARTA"/>
    <d v="2023-04-08T00:00:00"/>
  </r>
  <r>
    <s v="US1"/>
    <s v="FLXP76"/>
    <n v="2035"/>
    <x v="1"/>
    <x v="2"/>
    <x v="1"/>
    <s v="STA MARTA"/>
    <d v="2023-04-08T00:00:00"/>
  </r>
  <r>
    <s v="US1"/>
    <s v="FLXP77"/>
    <n v="2036"/>
    <x v="1"/>
    <x v="2"/>
    <x v="1"/>
    <s v="STA MARTA"/>
    <d v="2023-04-08T00:00:00"/>
  </r>
  <r>
    <s v="US1"/>
    <s v="FLXP78"/>
    <n v="2037"/>
    <x v="1"/>
    <x v="2"/>
    <x v="1"/>
    <s v="STA MARTA"/>
    <d v="2023-04-08T00:00:00"/>
  </r>
  <r>
    <s v="US1"/>
    <s v="FLXP79"/>
    <n v="2038"/>
    <x v="1"/>
    <x v="2"/>
    <x v="1"/>
    <s v="STA MARTA"/>
    <d v="2023-04-08T00:00:00"/>
  </r>
  <r>
    <s v="US1"/>
    <s v="FLXP80"/>
    <n v="2039"/>
    <x v="1"/>
    <x v="2"/>
    <x v="1"/>
    <s v="STA MARTA"/>
    <d v="2023-04-08T00:00:00"/>
  </r>
  <r>
    <s v="US1"/>
    <s v="FLXP81"/>
    <n v="2040"/>
    <x v="1"/>
    <x v="2"/>
    <x v="1"/>
    <s v="STA MARTA"/>
    <d v="2023-04-08T00:00:00"/>
  </r>
  <r>
    <s v="US1"/>
    <s v="FLXP82"/>
    <n v="2041"/>
    <x v="1"/>
    <x v="2"/>
    <x v="1"/>
    <s v="STA MARTA"/>
    <d v="2023-04-08T00:00:0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s v="US2"/>
    <s v="LBTS79"/>
    <n v="6031"/>
    <x v="0"/>
    <x v="0"/>
    <x v="0"/>
    <s v="JUANITA"/>
    <d v="2023-03-18T00:00:00"/>
  </r>
  <r>
    <s v="US2"/>
    <s v="LBTS80"/>
    <n v="6032"/>
    <x v="0"/>
    <x v="0"/>
    <x v="0"/>
    <s v="JUANITA"/>
    <d v="2023-04-08T00:00:00"/>
  </r>
  <r>
    <s v="US2"/>
    <s v="LBTS81"/>
    <n v="6033"/>
    <x v="0"/>
    <x v="0"/>
    <x v="0"/>
    <s v="JUANITA"/>
    <d v="2023-03-18T00:00:00"/>
  </r>
  <r>
    <s v="US2"/>
    <s v="LBTS82"/>
    <n v="6034"/>
    <x v="0"/>
    <x v="0"/>
    <x v="0"/>
    <s v="JUANITA"/>
    <d v="2023-03-18T00:00:00"/>
  </r>
  <r>
    <s v="US2"/>
    <s v="LBTS83"/>
    <n v="6035"/>
    <x v="0"/>
    <x v="0"/>
    <x v="0"/>
    <s v="JUANITA"/>
    <d v="2023-03-18T00:00:00"/>
  </r>
  <r>
    <s v="US2"/>
    <s v="LBTS85"/>
    <n v="6036"/>
    <x v="0"/>
    <x v="0"/>
    <x v="0"/>
    <s v="JUANITA"/>
    <d v="2023-03-18T00:00:00"/>
  </r>
  <r>
    <s v="US2"/>
    <s v="LBTS86"/>
    <n v="6037"/>
    <x v="0"/>
    <x v="0"/>
    <x v="0"/>
    <s v="JUANITA"/>
    <d v="2023-03-18T00:00:00"/>
  </r>
  <r>
    <s v="US2"/>
    <s v="LBTS87"/>
    <n v="6038"/>
    <x v="0"/>
    <x v="0"/>
    <x v="0"/>
    <s v="JUANITA"/>
    <d v="2023-03-18T00:00:00"/>
  </r>
  <r>
    <s v="US2"/>
    <s v="LBTS88"/>
    <n v="6039"/>
    <x v="0"/>
    <x v="0"/>
    <x v="0"/>
    <s v="JUANITA"/>
    <d v="2023-03-18T00:00:00"/>
  </r>
  <r>
    <s v="US2"/>
    <s v="LBTS89"/>
    <n v="6040"/>
    <x v="0"/>
    <x v="0"/>
    <x v="0"/>
    <s v="JUANITA"/>
    <d v="2023-03-18T00:00:00"/>
  </r>
  <r>
    <s v="US2"/>
    <s v="LBTS90"/>
    <n v="6041"/>
    <x v="0"/>
    <x v="0"/>
    <x v="0"/>
    <s v="JUANITA"/>
    <d v="2023-03-18T00:00:00"/>
  </r>
  <r>
    <s v="US2"/>
    <s v="LBTS91"/>
    <n v="6042"/>
    <x v="0"/>
    <x v="0"/>
    <x v="0"/>
    <s v="JUANITA"/>
    <d v="2023-03-18T00:00:00"/>
  </r>
  <r>
    <s v="US2"/>
    <s v="LBTS92"/>
    <n v="6043"/>
    <x v="0"/>
    <x v="0"/>
    <x v="0"/>
    <s v="JUANITA"/>
    <d v="2023-03-18T00:00:00"/>
  </r>
  <r>
    <s v="US2"/>
    <s v="LBTS94"/>
    <n v="6045"/>
    <x v="0"/>
    <x v="0"/>
    <x v="0"/>
    <s v="JUANITA"/>
    <d v="2023-03-18T00:00:00"/>
  </r>
  <r>
    <s v="US2"/>
    <s v="LBTS95"/>
    <n v="6046"/>
    <x v="0"/>
    <x v="0"/>
    <x v="0"/>
    <s v="JUANITA"/>
    <d v="2023-03-18T00:00:00"/>
  </r>
  <r>
    <s v="US2"/>
    <s v="LBTS96"/>
    <n v="6047"/>
    <x v="0"/>
    <x v="0"/>
    <x v="0"/>
    <s v="JUANITA"/>
    <d v="2023-03-18T00:00:00"/>
  </r>
  <r>
    <s v="US2"/>
    <s v="LBTS97"/>
    <n v="6048"/>
    <x v="0"/>
    <x v="0"/>
    <x v="0"/>
    <s v="JUANITA"/>
    <d v="2023-03-18T00:00:00"/>
  </r>
  <r>
    <s v="US2"/>
    <s v="LBTS98"/>
    <n v="6049"/>
    <x v="0"/>
    <x v="0"/>
    <x v="0"/>
    <s v="JUANITA"/>
    <d v="2023-03-18T00:00:00"/>
  </r>
  <r>
    <s v="US2"/>
    <s v="LBTS99"/>
    <n v="6050"/>
    <x v="0"/>
    <x v="0"/>
    <x v="0"/>
    <s v="JUANITA"/>
    <d v="2023-03-18T00:00:00"/>
  </r>
  <r>
    <s v="US2"/>
    <s v="LBTT10"/>
    <n v="6051"/>
    <x v="0"/>
    <x v="0"/>
    <x v="0"/>
    <s v="JUANITA"/>
    <d v="2023-03-18T00:00:00"/>
  </r>
  <r>
    <s v="US2"/>
    <s v="LBTT11"/>
    <n v="6052"/>
    <x v="0"/>
    <x v="0"/>
    <x v="0"/>
    <s v="JUANITA"/>
    <d v="2023-03-18T00:00:00"/>
  </r>
  <r>
    <s v="US2"/>
    <s v="LBTT12"/>
    <n v="6053"/>
    <x v="0"/>
    <x v="0"/>
    <x v="0"/>
    <s v="JUANITA"/>
    <d v="2023-03-18T00:00:00"/>
  </r>
  <r>
    <s v="US2"/>
    <s v="LBTT13"/>
    <n v="6054"/>
    <x v="0"/>
    <x v="0"/>
    <x v="0"/>
    <s v="JUANITA"/>
    <d v="2023-03-18T00:00:00"/>
  </r>
  <r>
    <s v="US2"/>
    <s v="LBTT15"/>
    <n v="6056"/>
    <x v="0"/>
    <x v="1"/>
    <x v="0"/>
    <s v="JUANITA"/>
    <d v="2023-04-08T00:00:00"/>
  </r>
  <r>
    <s v="US2"/>
    <s v="LBTT16"/>
    <n v="6057"/>
    <x v="0"/>
    <x v="0"/>
    <x v="0"/>
    <s v="JUANITA"/>
    <d v="2023-04-08T00:00:00"/>
  </r>
  <r>
    <s v="US2"/>
    <s v="LBTT17"/>
    <n v="6058"/>
    <x v="0"/>
    <x v="0"/>
    <x v="0"/>
    <s v="JUANITA"/>
    <d v="2023-04-08T00:00:00"/>
  </r>
  <r>
    <s v="US2"/>
    <s v="LBTT18"/>
    <n v="6059"/>
    <x v="0"/>
    <x v="0"/>
    <x v="0"/>
    <s v="JUANITA"/>
    <d v="2023-04-08T00:00:00"/>
  </r>
  <r>
    <s v="US2"/>
    <s v="LBTT19"/>
    <n v="6060"/>
    <x v="0"/>
    <x v="0"/>
    <x v="0"/>
    <s v="JUANITA"/>
    <d v="2023-03-18T00:00:00"/>
  </r>
  <r>
    <s v="US2"/>
    <s v="LBTT20"/>
    <n v="6061"/>
    <x v="0"/>
    <x v="0"/>
    <x v="0"/>
    <s v="JUANITA"/>
    <d v="2023-04-08T00:00:00"/>
  </r>
  <r>
    <s v="US2"/>
    <s v="LBTT21"/>
    <n v="6062"/>
    <x v="0"/>
    <x v="0"/>
    <x v="0"/>
    <s v="JUANITA"/>
    <d v="2023-04-08T00:00:00"/>
  </r>
  <r>
    <s v="US2"/>
    <s v="LBTT23"/>
    <n v="6064"/>
    <x v="0"/>
    <x v="0"/>
    <x v="0"/>
    <s v="JUANITA"/>
    <d v="2023-04-08T00:00:00"/>
  </r>
  <r>
    <s v="US2"/>
    <s v="LBTT24"/>
    <n v="6065"/>
    <x v="0"/>
    <x v="0"/>
    <x v="0"/>
    <s v="JUANITA"/>
    <d v="2023-04-08T00:00:00"/>
  </r>
  <r>
    <s v="US2"/>
    <s v="LBTT25"/>
    <n v="6066"/>
    <x v="0"/>
    <x v="0"/>
    <x v="0"/>
    <s v="JUANITA"/>
    <d v="2023-04-08T00:00:00"/>
  </r>
  <r>
    <s v="US2"/>
    <s v="LCPG31"/>
    <n v="6067"/>
    <x v="0"/>
    <x v="0"/>
    <x v="0"/>
    <s v="JUANITA"/>
    <d v="2023-04-08T00:00:00"/>
  </r>
  <r>
    <s v="US2"/>
    <s v="LCPG32"/>
    <n v="6068"/>
    <x v="0"/>
    <x v="0"/>
    <x v="0"/>
    <s v="JUANITA"/>
    <d v="2023-04-08T00:00:00"/>
  </r>
  <r>
    <s v="US2"/>
    <s v="LCPG34"/>
    <n v="6070"/>
    <x v="0"/>
    <x v="0"/>
    <x v="0"/>
    <s v="JUANITA"/>
    <d v="2023-04-08T00:00:00"/>
  </r>
  <r>
    <s v="US2"/>
    <s v="LCPG36"/>
    <n v="6072"/>
    <x v="0"/>
    <x v="0"/>
    <x v="0"/>
    <s v="JUANITA"/>
    <d v="2023-04-08T00:00:00"/>
  </r>
  <r>
    <s v="US2"/>
    <s v="LCPG37"/>
    <n v="6073"/>
    <x v="0"/>
    <x v="0"/>
    <x v="0"/>
    <s v="JUANITA"/>
    <d v="2023-04-08T00:00:00"/>
  </r>
  <r>
    <s v="US2"/>
    <s v="LCPG38"/>
    <n v="6074"/>
    <x v="0"/>
    <x v="0"/>
    <x v="0"/>
    <s v="JUANITA"/>
    <d v="2023-04-08T00:00:00"/>
  </r>
  <r>
    <s v="US2"/>
    <s v="LCPG39"/>
    <n v="6075"/>
    <x v="0"/>
    <x v="0"/>
    <x v="0"/>
    <s v="JUANITA"/>
    <d v="2023-04-08T00:00:00"/>
  </r>
  <r>
    <s v="US2"/>
    <s v="LCPG40"/>
    <n v="6076"/>
    <x v="0"/>
    <x v="0"/>
    <x v="0"/>
    <s v="JUANITA"/>
    <d v="2023-04-08T00:00:00"/>
  </r>
  <r>
    <s v="US2"/>
    <s v="LCPG41"/>
    <n v="6077"/>
    <x v="0"/>
    <x v="0"/>
    <x v="0"/>
    <s v="JUANITA"/>
    <d v="2023-04-08T00:00:00"/>
  </r>
  <r>
    <s v="US2"/>
    <s v="LCPG42"/>
    <n v="6078"/>
    <x v="0"/>
    <x v="0"/>
    <x v="0"/>
    <s v="JUANITA"/>
    <d v="2023-04-08T00:00:00"/>
  </r>
  <r>
    <s v="US2"/>
    <s v="LCPG43"/>
    <n v="6079"/>
    <x v="0"/>
    <x v="0"/>
    <x v="0"/>
    <s v="JUANITA"/>
    <d v="2023-04-08T00:00:00"/>
  </r>
  <r>
    <s v="US2"/>
    <s v="LCPG44"/>
    <n v="6080"/>
    <x v="0"/>
    <x v="0"/>
    <x v="0"/>
    <s v="JUANITA"/>
    <d v="2023-04-08T00:00:00"/>
  </r>
  <r>
    <s v="US2"/>
    <s v="LCPG46"/>
    <n v="6082"/>
    <x v="0"/>
    <x v="0"/>
    <x v="0"/>
    <s v="JUANITA"/>
    <d v="2023-04-08T00:00:00"/>
  </r>
  <r>
    <s v="US2"/>
    <s v="LCPG48"/>
    <n v="6084"/>
    <x v="0"/>
    <x v="0"/>
    <x v="0"/>
    <s v="JUANITA"/>
    <d v="2023-04-08T00:00:00"/>
  </r>
  <r>
    <s v="US2"/>
    <s v="LCPG50"/>
    <n v="6086"/>
    <x v="0"/>
    <x v="0"/>
    <x v="0"/>
    <s v="JUANITA"/>
    <d v="2023-04-08T00:00:00"/>
  </r>
  <r>
    <s v="US2"/>
    <s v="LCPG51"/>
    <n v="6087"/>
    <x v="0"/>
    <x v="0"/>
    <x v="0"/>
    <s v="JUANITA"/>
    <d v="2023-04-08T00:00:00"/>
  </r>
  <r>
    <s v="US2"/>
    <s v="LCPG52"/>
    <n v="6088"/>
    <x v="0"/>
    <x v="0"/>
    <x v="0"/>
    <s v="JUANITA"/>
    <d v="2023-04-08T00:00:00"/>
  </r>
  <r>
    <s v="US2"/>
    <s v="LCTG23"/>
    <n v="7000"/>
    <x v="1"/>
    <x v="1"/>
    <x v="1"/>
    <s v="JUANITA"/>
    <d v="2023-04-08T00:00:00"/>
  </r>
  <r>
    <s v="US2"/>
    <s v="LCTG24"/>
    <n v="7001"/>
    <x v="1"/>
    <x v="1"/>
    <x v="1"/>
    <s v="JUANITA"/>
    <d v="2023-04-08T00:00:00"/>
  </r>
  <r>
    <s v="US2"/>
    <s v="LCTG25"/>
    <n v="7002"/>
    <x v="1"/>
    <x v="0"/>
    <x v="1"/>
    <s v="JUANITA"/>
    <d v="2023-04-08T00:00:00"/>
  </r>
  <r>
    <s v="US2"/>
    <s v="LCTG26"/>
    <n v="7003"/>
    <x v="1"/>
    <x v="0"/>
    <x v="1"/>
    <s v="JUANITA"/>
    <d v="2023-04-08T00:00:00"/>
  </r>
  <r>
    <s v="US2"/>
    <s v="LCTG27"/>
    <n v="7004"/>
    <x v="1"/>
    <x v="0"/>
    <x v="1"/>
    <s v="JUANITA"/>
    <d v="2023-04-08T00:00:00"/>
  </r>
  <r>
    <s v="US2"/>
    <s v="LCTG28"/>
    <n v="7005"/>
    <x v="1"/>
    <x v="0"/>
    <x v="1"/>
    <s v="JUANITA"/>
    <d v="2023-04-08T00:00:00"/>
  </r>
  <r>
    <s v="US2"/>
    <s v="LCTG29"/>
    <n v="7006"/>
    <x v="1"/>
    <x v="0"/>
    <x v="1"/>
    <s v="JUANITA"/>
    <d v="2023-04-08T00:00:00"/>
  </r>
  <r>
    <s v="US2"/>
    <s v="LCTG30"/>
    <n v="7007"/>
    <x v="1"/>
    <x v="0"/>
    <x v="1"/>
    <s v="JUANITA"/>
    <d v="2023-04-08T00:00:00"/>
  </r>
  <r>
    <s v="US2"/>
    <s v="LCTG31"/>
    <n v="7008"/>
    <x v="1"/>
    <x v="0"/>
    <x v="1"/>
    <s v="JUANITA"/>
    <d v="2023-04-08T00:00:00"/>
  </r>
  <r>
    <s v="US2"/>
    <s v="LCTG32"/>
    <n v="7009"/>
    <x v="1"/>
    <x v="0"/>
    <x v="1"/>
    <s v="JUANITA"/>
    <d v="2023-04-08T00:00:00"/>
  </r>
  <r>
    <s v="US2"/>
    <s v="LCTG33"/>
    <n v="7010"/>
    <x v="1"/>
    <x v="0"/>
    <x v="1"/>
    <s v="JUANITA"/>
    <d v="2023-04-08T00:00:00"/>
  </r>
  <r>
    <s v="US2"/>
    <s v="LCTG34"/>
    <n v="7011"/>
    <x v="1"/>
    <x v="0"/>
    <x v="1"/>
    <s v="JUANITA"/>
    <d v="2023-04-08T00:00:00"/>
  </r>
  <r>
    <s v="US2"/>
    <s v="LCTG35"/>
    <n v="7012"/>
    <x v="1"/>
    <x v="0"/>
    <x v="1"/>
    <s v="JUANITA"/>
    <d v="2023-04-08T00:00:00"/>
  </r>
  <r>
    <s v="US2"/>
    <s v="LCTG36"/>
    <n v="7013"/>
    <x v="1"/>
    <x v="0"/>
    <x v="1"/>
    <s v="JUANITA"/>
    <d v="2023-04-08T00:00:00"/>
  </r>
  <r>
    <s v="US2"/>
    <s v="LCTG37"/>
    <n v="7014"/>
    <x v="1"/>
    <x v="0"/>
    <x v="1"/>
    <s v="JUANITA"/>
    <d v="2023-04-08T00:00:00"/>
  </r>
  <r>
    <s v="US2"/>
    <s v="LCTG38"/>
    <n v="7015"/>
    <x v="1"/>
    <x v="0"/>
    <x v="1"/>
    <s v="JUANITA"/>
    <d v="2023-04-08T00:00:00"/>
  </r>
  <r>
    <s v="US2"/>
    <s v="LCTG39"/>
    <n v="7016"/>
    <x v="1"/>
    <x v="0"/>
    <x v="1"/>
    <s v="JUANITA"/>
    <d v="2023-04-08T00:00:00"/>
  </r>
  <r>
    <s v="US2"/>
    <s v="LCTG40"/>
    <n v="7017"/>
    <x v="1"/>
    <x v="0"/>
    <x v="1"/>
    <s v="JUANITA"/>
    <d v="2023-04-08T00:00:00"/>
  </r>
  <r>
    <s v="US2"/>
    <s v="LCTG41"/>
    <n v="7018"/>
    <x v="1"/>
    <x v="0"/>
    <x v="1"/>
    <s v="JUANITA"/>
    <d v="2023-04-08T00:00:00"/>
  </r>
  <r>
    <s v="US2"/>
    <s v="LCTG42"/>
    <n v="7019"/>
    <x v="1"/>
    <x v="0"/>
    <x v="1"/>
    <s v="JUANITA"/>
    <d v="2023-04-08T00:00:00"/>
  </r>
  <r>
    <s v="US2"/>
    <s v="LCTG43"/>
    <n v="7020"/>
    <x v="1"/>
    <x v="0"/>
    <x v="1"/>
    <s v="JUANITA"/>
    <d v="2023-04-08T00:00:00"/>
  </r>
  <r>
    <s v="US2"/>
    <s v="LCTG44"/>
    <n v="7021"/>
    <x v="1"/>
    <x v="0"/>
    <x v="1"/>
    <s v="JUANITA"/>
    <d v="2023-04-08T00:00:00"/>
  </r>
  <r>
    <s v="US2"/>
    <s v="LCTG45"/>
    <n v="7022"/>
    <x v="1"/>
    <x v="0"/>
    <x v="1"/>
    <s v="JUANITA"/>
    <d v="2023-04-08T00:00:00"/>
  </r>
  <r>
    <s v="US2"/>
    <s v="LCTG46"/>
    <n v="7023"/>
    <x v="1"/>
    <x v="0"/>
    <x v="1"/>
    <s v="JUANITA"/>
    <d v="2023-04-08T00:00:00"/>
  </r>
  <r>
    <s v="US2"/>
    <s v="LCTG47"/>
    <n v="7024"/>
    <x v="1"/>
    <x v="0"/>
    <x v="1"/>
    <s v="JUANITA"/>
    <d v="2023-04-08T00:00:00"/>
  </r>
  <r>
    <s v="US2"/>
    <s v="SPZX43"/>
    <n v="7025"/>
    <x v="1"/>
    <x v="1"/>
    <x v="2"/>
    <s v="JUANITA"/>
    <d v="2023-03-18T00:00:00"/>
  </r>
  <r>
    <s v="US2"/>
    <s v="SPZX52"/>
    <n v="7028"/>
    <x v="1"/>
    <x v="1"/>
    <x v="2"/>
    <s v="JUANITA"/>
    <d v="2023-03-18T00:00:00"/>
  </r>
  <r>
    <s v="US2"/>
    <s v="SPZX57"/>
    <n v="7030"/>
    <x v="1"/>
    <x v="0"/>
    <x v="2"/>
    <s v="JUANITA"/>
    <d v="2023-03-18T00:00:00"/>
  </r>
  <r>
    <s v="US2"/>
    <s v="SPZX70"/>
    <n v="7040"/>
    <x v="1"/>
    <x v="1"/>
    <x v="2"/>
    <s v="JUANITA"/>
    <d v="2023-03-18T00:00:00"/>
  </r>
  <r>
    <s v="US2"/>
    <s v="SPZX72"/>
    <n v="7042"/>
    <x v="1"/>
    <x v="0"/>
    <x v="2"/>
    <s v="JUANITA"/>
    <d v="2023-03-18T00:00:00"/>
  </r>
  <r>
    <s v="US2"/>
    <s v="SPZX78"/>
    <n v="7048"/>
    <x v="1"/>
    <x v="0"/>
    <x v="2"/>
    <s v="JUANITA"/>
    <d v="2023-03-18T00:00:00"/>
  </r>
  <r>
    <s v="US2"/>
    <s v="SPZX81"/>
    <n v="7051"/>
    <x v="1"/>
    <x v="0"/>
    <x v="2"/>
    <s v="JUANITA"/>
    <d v="2023-03-18T00:00:00"/>
  </r>
  <r>
    <s v="US2"/>
    <s v="SPZX98"/>
    <n v="7059"/>
    <x v="1"/>
    <x v="0"/>
    <x v="2"/>
    <s v="JUANITA"/>
    <d v="2023-03-18T00:00:00"/>
  </r>
  <r>
    <s v="US2"/>
    <s v="SPZY25"/>
    <n v="7066"/>
    <x v="1"/>
    <x v="0"/>
    <x v="2"/>
    <s v="JUANITA"/>
    <d v="2023-03-18T00:00:00"/>
  </r>
  <r>
    <s v="US2"/>
    <s v="SPZY28"/>
    <n v="7068"/>
    <x v="1"/>
    <x v="0"/>
    <x v="2"/>
    <s v="JUANITA"/>
    <d v="2023-03-18T00:00:00"/>
  </r>
  <r>
    <s v="US2"/>
    <s v="SPZY31"/>
    <n v="7069"/>
    <x v="1"/>
    <x v="0"/>
    <x v="2"/>
    <s v="JUANITA"/>
    <d v="2023-03-18T00:00:00"/>
  </r>
  <r>
    <s v="US2"/>
    <s v="SPZY41"/>
    <n v="7071"/>
    <x v="1"/>
    <x v="0"/>
    <x v="2"/>
    <s v="JUANITA"/>
    <d v="2023-03-18T00:00:00"/>
  </r>
  <r>
    <s v="US2"/>
    <s v="SPZY49"/>
    <n v="7077"/>
    <x v="1"/>
    <x v="0"/>
    <x v="2"/>
    <s v="JUANITA"/>
    <d v="2023-03-18T00:00:00"/>
  </r>
  <r>
    <s v="US2"/>
    <s v="SPZY53"/>
    <n v="7080"/>
    <x v="1"/>
    <x v="0"/>
    <x v="2"/>
    <s v="JUANITA"/>
    <d v="2023-03-18T00:00:00"/>
  </r>
  <r>
    <s v="US2"/>
    <s v="SPZY55"/>
    <n v="7082"/>
    <x v="1"/>
    <x v="0"/>
    <x v="2"/>
    <s v="JUANITA"/>
    <d v="2023-03-18T00:00:00"/>
  </r>
  <r>
    <s v="US2"/>
    <s v="SPZY57"/>
    <n v="7084"/>
    <x v="1"/>
    <x v="0"/>
    <x v="2"/>
    <s v="JUANITA"/>
    <d v="2023-03-18T00:00:00"/>
  </r>
  <r>
    <s v="US2"/>
    <s v="SPZY59"/>
    <n v="7086"/>
    <x v="1"/>
    <x v="0"/>
    <x v="2"/>
    <s v="JUANITA"/>
    <d v="2023-03-18T00:00:00"/>
  </r>
  <r>
    <s v="US2"/>
    <s v="SPZY61"/>
    <n v="7088"/>
    <x v="1"/>
    <x v="0"/>
    <x v="2"/>
    <s v="JUANITA"/>
    <d v="2023-03-18T00:00:00"/>
  </r>
  <r>
    <s v="US2"/>
    <s v="SPZY63"/>
    <n v="7089"/>
    <x v="1"/>
    <x v="0"/>
    <x v="2"/>
    <s v="JUANITA"/>
    <d v="2023-03-18T00:00:00"/>
  </r>
  <r>
    <s v="US2"/>
    <s v="SPZY68"/>
    <n v="7094"/>
    <x v="1"/>
    <x v="0"/>
    <x v="2"/>
    <s v="JUANITA"/>
    <d v="2023-03-18T00:00:00"/>
  </r>
  <r>
    <s v="US2"/>
    <s v="SRVJ10"/>
    <n v="7108"/>
    <x v="1"/>
    <x v="0"/>
    <x v="2"/>
    <s v="JUANITA"/>
    <d v="2023-03-18T00:00:00"/>
  </r>
  <r>
    <s v="US2"/>
    <s v="SRVF74"/>
    <n v="7121"/>
    <x v="1"/>
    <x v="1"/>
    <x v="2"/>
    <s v="JUANITA"/>
    <d v="2023-04-08T00:00:00"/>
  </r>
  <r>
    <s v="US2"/>
    <s v="SRVF76"/>
    <n v="7122"/>
    <x v="1"/>
    <x v="1"/>
    <x v="2"/>
    <s v="JUANITA"/>
    <d v="2023-04-08T00:00:00"/>
  </r>
  <r>
    <s v="US2"/>
    <s v="SRVF79"/>
    <n v="7123"/>
    <x v="1"/>
    <x v="1"/>
    <x v="2"/>
    <s v="JUANITA"/>
    <d v="2023-04-08T00:00:00"/>
  </r>
  <r>
    <s v="US2"/>
    <s v="SRVF81"/>
    <n v="7124"/>
    <x v="1"/>
    <x v="1"/>
    <x v="2"/>
    <s v="JUANITA"/>
    <d v="2023-04-08T00:00:00"/>
  </r>
  <r>
    <s v="US2"/>
    <s v="SRVF83"/>
    <n v="7125"/>
    <x v="1"/>
    <x v="1"/>
    <x v="2"/>
    <s v="JUANITA"/>
    <d v="2023-04-08T00:00:00"/>
  </r>
  <r>
    <s v="US2"/>
    <s v="SRVF84"/>
    <n v="7126"/>
    <x v="1"/>
    <x v="0"/>
    <x v="2"/>
    <s v="JUANITA"/>
    <d v="2023-04-08T00:00:00"/>
  </r>
  <r>
    <s v="US2"/>
    <s v="SRVF90"/>
    <n v="7127"/>
    <x v="1"/>
    <x v="0"/>
    <x v="2"/>
    <s v="JUANITA"/>
    <d v="2023-04-08T00:00:00"/>
  </r>
  <r>
    <s v="US2"/>
    <s v="SRVF96"/>
    <n v="7128"/>
    <x v="1"/>
    <x v="0"/>
    <x v="2"/>
    <s v="JUANITA"/>
    <d v="2023-04-08T00:00:00"/>
  </r>
  <r>
    <s v="US2"/>
    <s v="SRVG10"/>
    <n v="7129"/>
    <x v="1"/>
    <x v="0"/>
    <x v="2"/>
    <s v="JUANITA"/>
    <d v="2023-04-08T00:00:00"/>
  </r>
  <r>
    <s v="US2"/>
    <s v="SRVG25"/>
    <n v="7130"/>
    <x v="1"/>
    <x v="0"/>
    <x v="2"/>
    <s v="JUANITA"/>
    <d v="2023-04-08T00:00:00"/>
  </r>
  <r>
    <s v="US2"/>
    <s v="SRVG32"/>
    <n v="7131"/>
    <x v="1"/>
    <x v="0"/>
    <x v="2"/>
    <s v="JUANITA"/>
    <d v="2023-04-08T00:00:00"/>
  </r>
  <r>
    <s v="US2"/>
    <s v="SRVG44"/>
    <n v="7132"/>
    <x v="1"/>
    <x v="0"/>
    <x v="2"/>
    <s v="JUANITA"/>
    <d v="2023-04-08T00:00:00"/>
  </r>
  <r>
    <s v="US2"/>
    <s v="SRVG48"/>
    <n v="7133"/>
    <x v="1"/>
    <x v="0"/>
    <x v="2"/>
    <s v="JUANITA"/>
    <d v="2023-04-08T00:00:00"/>
  </r>
  <r>
    <s v="US2"/>
    <s v="SRVG49"/>
    <n v="7134"/>
    <x v="1"/>
    <x v="0"/>
    <x v="2"/>
    <s v="JUANITA"/>
    <d v="2023-04-08T00:00:00"/>
  </r>
  <r>
    <s v="US2"/>
    <s v="SRVG53"/>
    <n v="7135"/>
    <x v="1"/>
    <x v="0"/>
    <x v="2"/>
    <s v="JUANITA"/>
    <d v="2023-04-08T00:00:00"/>
  </r>
  <r>
    <s v="US2"/>
    <s v="SRVG65"/>
    <n v="7136"/>
    <x v="1"/>
    <x v="0"/>
    <x v="2"/>
    <s v="JUANITA"/>
    <d v="2023-04-08T00:00:00"/>
  </r>
  <r>
    <s v="US2"/>
    <s v="SRVG68"/>
    <n v="7137"/>
    <x v="1"/>
    <x v="0"/>
    <x v="2"/>
    <s v="JUANITA"/>
    <d v="2023-04-08T00:00:00"/>
  </r>
  <r>
    <s v="US2"/>
    <s v="SRVG70"/>
    <n v="7138"/>
    <x v="1"/>
    <x v="0"/>
    <x v="2"/>
    <s v="JUANITA"/>
    <d v="2023-04-08T00:00:00"/>
  </r>
  <r>
    <s v="US2"/>
    <s v="SRVG76"/>
    <n v="7139"/>
    <x v="1"/>
    <x v="0"/>
    <x v="2"/>
    <s v="JUANITA"/>
    <d v="2023-04-08T00:00:00"/>
  </r>
  <r>
    <s v="US2"/>
    <s v="SRVG77"/>
    <n v="7140"/>
    <x v="1"/>
    <x v="0"/>
    <x v="2"/>
    <s v="JUANITA"/>
    <d v="2023-04-08T00:00:00"/>
  </r>
  <r>
    <s v="US2"/>
    <s v="SRVG81"/>
    <n v="7141"/>
    <x v="1"/>
    <x v="0"/>
    <x v="2"/>
    <s v="JUANITA"/>
    <d v="2023-04-08T00:00:00"/>
  </r>
  <r>
    <s v="US2"/>
    <s v="SRVG83"/>
    <n v="7142"/>
    <x v="1"/>
    <x v="0"/>
    <x v="2"/>
    <s v="JUANITA"/>
    <d v="2023-04-08T00:00:00"/>
  </r>
  <r>
    <s v="US2"/>
    <s v="SRVG86"/>
    <n v="7143"/>
    <x v="1"/>
    <x v="0"/>
    <x v="2"/>
    <s v="JUANITA"/>
    <d v="2023-04-08T00:00:00"/>
  </r>
  <r>
    <s v="US2"/>
    <s v="SRVG88"/>
    <n v="7144"/>
    <x v="1"/>
    <x v="0"/>
    <x v="2"/>
    <s v="JUANITA"/>
    <d v="2023-04-08T00:00:00"/>
  </r>
  <r>
    <s v="US2"/>
    <s v="SRVG91"/>
    <n v="7145"/>
    <x v="1"/>
    <x v="0"/>
    <x v="2"/>
    <s v="JUANITA"/>
    <d v="2023-04-08T00:00:00"/>
  </r>
  <r>
    <s v="US2"/>
    <s v="SRVG92"/>
    <n v="7146"/>
    <x v="1"/>
    <x v="0"/>
    <x v="2"/>
    <s v="JUANITA"/>
    <d v="2023-04-08T00:00:00"/>
  </r>
  <r>
    <s v="US2"/>
    <s v="SRVG94"/>
    <n v="7147"/>
    <x v="1"/>
    <x v="0"/>
    <x v="2"/>
    <s v="JUANITA"/>
    <d v="2023-04-08T00:00:00"/>
  </r>
  <r>
    <s v="US2"/>
    <s v="SRVG98"/>
    <n v="7148"/>
    <x v="1"/>
    <x v="0"/>
    <x v="2"/>
    <s v="JUANITA"/>
    <d v="2023-04-08T00:00:00"/>
  </r>
  <r>
    <s v="US2"/>
    <s v="SRVH10"/>
    <n v="7149"/>
    <x v="1"/>
    <x v="0"/>
    <x v="2"/>
    <s v="JUANITA"/>
    <d v="2023-04-08T00:00:00"/>
  </r>
  <r>
    <s v="US2"/>
    <s v="SRVH11"/>
    <n v="7150"/>
    <x v="1"/>
    <x v="0"/>
    <x v="2"/>
    <s v="JUANITA"/>
    <d v="2023-04-08T00:00:00"/>
  </r>
  <r>
    <s v="US2"/>
    <s v="SRVH13"/>
    <n v="7151"/>
    <x v="1"/>
    <x v="0"/>
    <x v="2"/>
    <s v="JUANITA"/>
    <d v="2023-04-08T00:00:00"/>
  </r>
  <r>
    <s v="US2"/>
    <s v="SRVH19"/>
    <n v="7152"/>
    <x v="1"/>
    <x v="0"/>
    <x v="2"/>
    <s v="JUANITA"/>
    <d v="2023-04-08T00:00:00"/>
  </r>
  <r>
    <s v="US2"/>
    <s v="SRVH22"/>
    <n v="7153"/>
    <x v="1"/>
    <x v="0"/>
    <x v="2"/>
    <s v="JUANITA"/>
    <d v="2023-04-08T00:00:00"/>
  </r>
  <r>
    <s v="US2"/>
    <s v="SRVH45"/>
    <n v="7154"/>
    <x v="1"/>
    <x v="0"/>
    <x v="2"/>
    <s v="JUANITA"/>
    <d v="2023-04-08T00:00:00"/>
  </r>
  <r>
    <s v="US2"/>
    <s v="SRVH71"/>
    <n v="7155"/>
    <x v="1"/>
    <x v="0"/>
    <x v="2"/>
    <s v="JUANITA"/>
    <d v="2023-04-08T00:00:00"/>
  </r>
  <r>
    <s v="US2"/>
    <s v="SRVH73"/>
    <n v="7156"/>
    <x v="1"/>
    <x v="0"/>
    <x v="2"/>
    <s v="JUANITA"/>
    <d v="2023-04-08T00:00:00"/>
  </r>
  <r>
    <s v="US2"/>
    <s v="SRVJ34"/>
    <n v="7157"/>
    <x v="1"/>
    <x v="0"/>
    <x v="2"/>
    <s v="JUANITA"/>
    <d v="2023-04-08T00:00:00"/>
  </r>
  <r>
    <s v="US2"/>
    <s v="SRVJ39"/>
    <n v="7158"/>
    <x v="1"/>
    <x v="0"/>
    <x v="2"/>
    <s v="JUANITA"/>
    <d v="2023-04-08T00:00:00"/>
  </r>
  <r>
    <s v="US2"/>
    <s v="SRVJ43"/>
    <n v="7159"/>
    <x v="1"/>
    <x v="0"/>
    <x v="2"/>
    <s v="JUANITA"/>
    <d v="2023-04-08T00:00:00"/>
  </r>
  <r>
    <s v="US2"/>
    <s v="SRVJ55"/>
    <n v="7160"/>
    <x v="1"/>
    <x v="0"/>
    <x v="2"/>
    <s v="JUANITA"/>
    <d v="2023-04-08T00:00:00"/>
  </r>
  <r>
    <s v="US2"/>
    <s v="SRVJ64"/>
    <n v="7161"/>
    <x v="1"/>
    <x v="0"/>
    <x v="2"/>
    <s v="JUANITA"/>
    <d v="2023-04-08T00:00:00"/>
  </r>
  <r>
    <s v="US2"/>
    <s v="SRVJ78"/>
    <n v="7162"/>
    <x v="1"/>
    <x v="0"/>
    <x v="2"/>
    <s v="JUANITA"/>
    <d v="2023-04-08T00:00:00"/>
  </r>
  <r>
    <s v="US2"/>
    <s v="SRVJ82"/>
    <n v="7163"/>
    <x v="1"/>
    <x v="0"/>
    <x v="2"/>
    <s v="JUANITA"/>
    <d v="2023-04-08T00:00:00"/>
  </r>
  <r>
    <s v="US2"/>
    <s v="SRVJ90"/>
    <n v="7164"/>
    <x v="1"/>
    <x v="0"/>
    <x v="2"/>
    <s v="JUANITA"/>
    <d v="2023-04-08T00:00:00"/>
  </r>
  <r>
    <s v="US2"/>
    <s v="SRVK11"/>
    <n v="7165"/>
    <x v="1"/>
    <x v="0"/>
    <x v="2"/>
    <s v="JUANITA"/>
    <d v="2023-04-08T00:00:00"/>
  </r>
  <r>
    <s v="US2"/>
    <s v="SRVK42"/>
    <n v="7166"/>
    <x v="1"/>
    <x v="0"/>
    <x v="2"/>
    <s v="JUANITA"/>
    <d v="2023-04-08T00:00:00"/>
  </r>
  <r>
    <s v="US2"/>
    <s v="SRVK61"/>
    <n v="7167"/>
    <x v="1"/>
    <x v="0"/>
    <x v="2"/>
    <s v="JUANITA"/>
    <d v="2023-04-08T00:00:00"/>
  </r>
  <r>
    <s v="US2"/>
    <s v="SRVK90"/>
    <n v="7168"/>
    <x v="1"/>
    <x v="0"/>
    <x v="2"/>
    <s v="JUANITA"/>
    <d v="2023-04-08T00:00:00"/>
  </r>
  <r>
    <s v="US2"/>
    <s v="SRVK97"/>
    <n v="7169"/>
    <x v="1"/>
    <x v="0"/>
    <x v="2"/>
    <s v="JUANITA"/>
    <d v="2023-04-08T00:00:00"/>
  </r>
  <r>
    <s v="US2"/>
    <s v="SRVL11"/>
    <n v="7170"/>
    <x v="1"/>
    <x v="0"/>
    <x v="2"/>
    <s v="JUANITA"/>
    <d v="2023-04-08T00:00:00"/>
  </r>
  <r>
    <s v="US2"/>
    <s v="SRVL15"/>
    <n v="7171"/>
    <x v="1"/>
    <x v="0"/>
    <x v="2"/>
    <s v="JUANITA"/>
    <d v="2023-04-08T00:00:00"/>
  </r>
  <r>
    <s v="US2"/>
    <s v="SRVL21"/>
    <n v="7172"/>
    <x v="1"/>
    <x v="0"/>
    <x v="2"/>
    <s v="JUANITA"/>
    <d v="2023-04-08T00:00:00"/>
  </r>
  <r>
    <s v="US2"/>
    <s v="SRVL24"/>
    <n v="7173"/>
    <x v="1"/>
    <x v="0"/>
    <x v="2"/>
    <s v="JUANITA"/>
    <d v="2023-04-08T00:00:00"/>
  </r>
  <r>
    <s v="US2"/>
    <s v="SRVL25"/>
    <n v="7174"/>
    <x v="1"/>
    <x v="0"/>
    <x v="2"/>
    <s v="JUANITA"/>
    <d v="2023-04-08T00:00:00"/>
  </r>
  <r>
    <s v="US2"/>
    <s v="SRVL35"/>
    <n v="7175"/>
    <x v="1"/>
    <x v="0"/>
    <x v="2"/>
    <s v="JUANITA"/>
    <d v="2023-04-08T00:00:00"/>
  </r>
  <r>
    <s v="US2"/>
    <s v="SRVL40"/>
    <n v="7176"/>
    <x v="1"/>
    <x v="0"/>
    <x v="2"/>
    <s v="JUANITA"/>
    <d v="2023-04-08T00:00:00"/>
  </r>
  <r>
    <s v="US2"/>
    <s v="SRVL45"/>
    <n v="7177"/>
    <x v="1"/>
    <x v="0"/>
    <x v="2"/>
    <s v="JUANITA"/>
    <d v="2023-04-08T00:00:00"/>
  </r>
  <r>
    <s v="US2"/>
    <s v="SRVL72"/>
    <n v="7178"/>
    <x v="1"/>
    <x v="0"/>
    <x v="2"/>
    <s v="JUANITA"/>
    <d v="2023-04-08T00:00:00"/>
  </r>
  <r>
    <s v="US2"/>
    <s v="SRVL75"/>
    <n v="7179"/>
    <x v="1"/>
    <x v="0"/>
    <x v="2"/>
    <s v="JUANITA"/>
    <d v="2023-04-08T00:00:00"/>
  </r>
  <r>
    <s v="US2"/>
    <s v="SRVL78"/>
    <n v="7180"/>
    <x v="1"/>
    <x v="0"/>
    <x v="2"/>
    <s v="JUANITA"/>
    <d v="2023-04-08T00:00:00"/>
  </r>
  <r>
    <s v="US2"/>
    <s v="STHC57"/>
    <n v="7181"/>
    <x v="1"/>
    <x v="0"/>
    <x v="2"/>
    <s v="JUANITA"/>
    <d v="2023-04-08T00:00:00"/>
  </r>
  <r>
    <s v="US2"/>
    <s v="STHC95"/>
    <n v="7182"/>
    <x v="1"/>
    <x v="0"/>
    <x v="2"/>
    <s v="JUANITA"/>
    <d v="2023-04-08T00:00:00"/>
  </r>
  <r>
    <s v="US2"/>
    <s v="STHD12"/>
    <n v="7183"/>
    <x v="1"/>
    <x v="0"/>
    <x v="2"/>
    <s v="JUANITA"/>
    <d v="2023-04-08T00:00:00"/>
  </r>
  <r>
    <s v="US2"/>
    <s v="STHD50"/>
    <n v="7184"/>
    <x v="1"/>
    <x v="0"/>
    <x v="2"/>
    <s v="JUANITA"/>
    <d v="2023-04-08T00:00:00"/>
  </r>
  <r>
    <s v="US2"/>
    <s v="STHD26"/>
    <n v="7185"/>
    <x v="1"/>
    <x v="0"/>
    <x v="2"/>
    <s v="JUANITA"/>
    <d v="2023-04-08T00:00:00"/>
  </r>
  <r>
    <s v="US2"/>
    <s v="STHF36"/>
    <n v="7186"/>
    <x v="1"/>
    <x v="0"/>
    <x v="2"/>
    <s v="JUANITA"/>
    <d v="2023-04-08T00:00:00"/>
  </r>
  <r>
    <s v="US2"/>
    <s v="STHF56"/>
    <n v="7187"/>
    <x v="1"/>
    <x v="0"/>
    <x v="2"/>
    <s v="JUANITA"/>
    <d v="2023-04-08T00:00:00"/>
  </r>
  <r>
    <s v="US2"/>
    <s v="STHF57"/>
    <n v="7188"/>
    <x v="1"/>
    <x v="0"/>
    <x v="2"/>
    <s v="JUANITA"/>
    <d v="2023-04-08T00:00:00"/>
  </r>
  <r>
    <s v="US2"/>
    <s v="STHF67"/>
    <n v="7189"/>
    <x v="1"/>
    <x v="0"/>
    <x v="2"/>
    <s v="JUANITA"/>
    <d v="2023-04-08T00:00:00"/>
  </r>
  <r>
    <s v="US2"/>
    <s v="STHF69"/>
    <n v="7190"/>
    <x v="1"/>
    <x v="0"/>
    <x v="2"/>
    <s v="JUANITA"/>
    <d v="2023-04-08T00:00:00"/>
  </r>
  <r>
    <s v="US2"/>
    <s v="TXZH40"/>
    <n v="7191"/>
    <x v="1"/>
    <x v="1"/>
    <x v="2"/>
    <s v="JUANITA"/>
    <d v="2025-02-05T00:00:00"/>
  </r>
  <r>
    <s v="US2"/>
    <s v="TXZH41"/>
    <n v="7192"/>
    <x v="1"/>
    <x v="1"/>
    <x v="2"/>
    <s v="JUANITA"/>
    <d v="2025-02-08T00:00:00"/>
  </r>
  <r>
    <s v="US2"/>
    <s v="TXZH42"/>
    <n v="7193"/>
    <x v="1"/>
    <x v="1"/>
    <x v="2"/>
    <s v="JUANITA"/>
    <d v="2025-02-05T00:00:00"/>
  </r>
  <r>
    <s v="US2"/>
    <s v="TXZH43"/>
    <n v="7194"/>
    <x v="1"/>
    <x v="1"/>
    <x v="2"/>
    <s v="JUANITA"/>
    <d v="2025-02-08T00:00:00"/>
  </r>
  <r>
    <s v="US2"/>
    <s v="TXZH44"/>
    <n v="7195"/>
    <x v="1"/>
    <x v="1"/>
    <x v="2"/>
    <s v="JUANITA"/>
    <d v="2025-02-05T00:00:00"/>
  </r>
  <r>
    <s v="US2"/>
    <s v="TXZH45"/>
    <n v="7196"/>
    <x v="1"/>
    <x v="1"/>
    <x v="2"/>
    <s v="JUANITA"/>
    <d v="2025-02-04T00:00:0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s v="US2"/>
    <s v="SHCX61"/>
    <n v="5001"/>
    <x v="0"/>
    <x v="0"/>
    <x v="0"/>
    <s v="A. LUCO"/>
    <d v="2023-02-25T00:00:00"/>
  </r>
  <r>
    <s v="US2"/>
    <s v="SHCX44"/>
    <n v="5002"/>
    <x v="0"/>
    <x v="0"/>
    <x v="0"/>
    <s v="A. LUCO"/>
    <d v="2023-02-25T00:00:00"/>
  </r>
  <r>
    <s v="US2"/>
    <s v="SHCY41"/>
    <n v="5003"/>
    <x v="0"/>
    <x v="0"/>
    <x v="0"/>
    <s v="A. LUCO"/>
    <d v="2023-02-25T00:00:00"/>
  </r>
  <r>
    <s v="US2"/>
    <s v="SHCY56"/>
    <n v="5004"/>
    <x v="0"/>
    <x v="0"/>
    <x v="0"/>
    <s v="A. LUCO"/>
    <d v="2023-02-25T00:00:00"/>
  </r>
  <r>
    <s v="US2"/>
    <s v="SHXF37"/>
    <n v="5005"/>
    <x v="0"/>
    <x v="0"/>
    <x v="0"/>
    <s v="A. LUCO"/>
    <d v="2023-02-25T00:00:00"/>
  </r>
  <r>
    <s v="US2"/>
    <s v="TPWW72"/>
    <n v="5023"/>
    <x v="0"/>
    <x v="0"/>
    <x v="0"/>
    <s v="A. LUCO"/>
    <d v="2024-09-02T00:00:00"/>
  </r>
  <r>
    <s v="US2"/>
    <s v="FLXR78"/>
    <n v="6000"/>
    <x v="1"/>
    <x v="0"/>
    <x v="1"/>
    <s v="A. LUCO"/>
    <d v="2023-03-18T00:00:00"/>
  </r>
  <r>
    <s v="US2"/>
    <s v="FLXR79"/>
    <n v="6001"/>
    <x v="1"/>
    <x v="0"/>
    <x v="1"/>
    <s v="A. LUCO"/>
    <d v="2023-03-18T00:00:00"/>
  </r>
  <r>
    <s v="US2"/>
    <s v="FLXR80"/>
    <n v="6002"/>
    <x v="1"/>
    <x v="0"/>
    <x v="1"/>
    <s v="A. LUCO"/>
    <d v="2023-03-18T00:00:00"/>
  </r>
  <r>
    <s v="US2"/>
    <s v="FLXR81"/>
    <n v="6003"/>
    <x v="1"/>
    <x v="0"/>
    <x v="1"/>
    <s v="A. LUCO"/>
    <d v="2023-03-18T00:00:00"/>
  </r>
  <r>
    <s v="US2"/>
    <s v="FLXR82"/>
    <n v="6004"/>
    <x v="1"/>
    <x v="0"/>
    <x v="1"/>
    <s v="A. LUCO"/>
    <d v="2023-03-18T00:00:00"/>
  </r>
  <r>
    <s v="US2"/>
    <s v="FLXR83"/>
    <n v="6005"/>
    <x v="1"/>
    <x v="0"/>
    <x v="1"/>
    <s v="A. LUCO"/>
    <d v="2023-03-18T00:00:00"/>
  </r>
  <r>
    <s v="US2"/>
    <s v="FLXR85"/>
    <n v="6007"/>
    <x v="1"/>
    <x v="0"/>
    <x v="1"/>
    <s v="A. LUCO"/>
    <d v="2023-03-18T00:00:00"/>
  </r>
  <r>
    <s v="US2"/>
    <s v="FLXR86"/>
    <n v="6008"/>
    <x v="1"/>
    <x v="0"/>
    <x v="1"/>
    <s v="A. LUCO"/>
    <d v="2023-03-18T00:00:00"/>
  </r>
  <r>
    <s v="US2"/>
    <s v="FLXR89"/>
    <n v="6011"/>
    <x v="1"/>
    <x v="1"/>
    <x v="1"/>
    <s v="A. LUCO"/>
    <d v="2023-03-18T00:00:00"/>
  </r>
  <r>
    <s v="US2"/>
    <s v="FLXR90"/>
    <n v="6012"/>
    <x v="1"/>
    <x v="0"/>
    <x v="1"/>
    <s v="A. LUCO"/>
    <d v="2023-03-18T00:00:00"/>
  </r>
  <r>
    <s v="US2"/>
    <s v="FLXR91"/>
    <n v="6013"/>
    <x v="1"/>
    <x v="0"/>
    <x v="1"/>
    <s v="A. LUCO"/>
    <d v="2023-03-18T00:00:00"/>
  </r>
  <r>
    <s v="US2"/>
    <s v="FLXR92"/>
    <n v="6014"/>
    <x v="1"/>
    <x v="0"/>
    <x v="1"/>
    <s v="A. LUCO"/>
    <d v="2023-03-18T00:00:00"/>
  </r>
  <r>
    <s v="US2"/>
    <s v="FLXR93"/>
    <n v="6015"/>
    <x v="1"/>
    <x v="0"/>
    <x v="1"/>
    <s v="A. LUCO"/>
    <d v="2023-03-18T00:00:00"/>
  </r>
  <r>
    <s v="US2"/>
    <s v="SHCW61"/>
    <n v="6093"/>
    <x v="2"/>
    <x v="0"/>
    <x v="0"/>
    <s v="A. LUCO"/>
    <d v="2023-02-25T00:00:00"/>
  </r>
  <r>
    <s v="US2"/>
    <s v="SHCW64"/>
    <n v="6096"/>
    <x v="2"/>
    <x v="1"/>
    <x v="0"/>
    <s v="A. LUCO"/>
    <d v="2023-02-25T00:00:00"/>
  </r>
  <r>
    <s v="US2"/>
    <s v="SHCW71"/>
    <n v="6101"/>
    <x v="2"/>
    <x v="0"/>
    <x v="0"/>
    <s v="A. LUCO"/>
    <d v="2023-02-25T00:00:00"/>
  </r>
  <r>
    <s v="US2"/>
    <s v="SHCW75"/>
    <n v="6104"/>
    <x v="2"/>
    <x v="0"/>
    <x v="0"/>
    <s v="A. LUCO"/>
    <d v="2023-02-25T00:00:00"/>
  </r>
  <r>
    <s v="US2"/>
    <s v="SHCW76"/>
    <n v="6105"/>
    <x v="2"/>
    <x v="0"/>
    <x v="0"/>
    <s v="A. LUCO"/>
    <d v="2023-02-25T00:00:00"/>
  </r>
  <r>
    <s v="US2"/>
    <s v="SHCW77"/>
    <n v="6106"/>
    <x v="2"/>
    <x v="0"/>
    <x v="0"/>
    <s v="A. LUCO"/>
    <d v="2023-02-25T00:00:00"/>
  </r>
  <r>
    <s v="US2"/>
    <s v="SHCW79"/>
    <n v="6108"/>
    <x v="2"/>
    <x v="0"/>
    <x v="0"/>
    <s v="A. LUCO"/>
    <d v="2023-02-25T00:00:00"/>
  </r>
  <r>
    <s v="US2"/>
    <s v="SHCX26"/>
    <n v="6111"/>
    <x v="2"/>
    <x v="0"/>
    <x v="0"/>
    <s v="A. LUCO"/>
    <d v="2023-02-25T00:00:00"/>
  </r>
  <r>
    <s v="US2"/>
    <s v="SHCX27"/>
    <n v="6112"/>
    <x v="2"/>
    <x v="0"/>
    <x v="0"/>
    <s v="A. LUCO"/>
    <d v="2023-02-25T00:00:00"/>
  </r>
  <r>
    <s v="US2"/>
    <s v="SHCX29"/>
    <n v="6114"/>
    <x v="2"/>
    <x v="0"/>
    <x v="0"/>
    <s v="A. LUCO"/>
    <d v="2023-02-25T00:00:00"/>
  </r>
  <r>
    <s v="US2"/>
    <s v="SHCX30"/>
    <n v="6115"/>
    <x v="2"/>
    <x v="0"/>
    <x v="0"/>
    <s v="A. LUCO"/>
    <d v="2023-02-25T00:00:00"/>
  </r>
  <r>
    <s v="US2"/>
    <s v="SHCX34"/>
    <n v="6119"/>
    <x v="2"/>
    <x v="0"/>
    <x v="0"/>
    <s v="A. LUCO"/>
    <d v="2023-02-25T00:00:00"/>
  </r>
  <r>
    <s v="US2"/>
    <s v="SHCX35"/>
    <n v="6120"/>
    <x v="2"/>
    <x v="0"/>
    <x v="0"/>
    <s v="A. LUCO"/>
    <d v="2023-02-25T00:00:00"/>
  </r>
  <r>
    <s v="US2"/>
    <s v="SHXD87"/>
    <n v="6122"/>
    <x v="2"/>
    <x v="0"/>
    <x v="0"/>
    <s v="A. LUCO"/>
    <d v="2023-02-25T00:00:00"/>
  </r>
  <r>
    <s v="US2"/>
    <s v="SHXD90"/>
    <n v="6124"/>
    <x v="2"/>
    <x v="0"/>
    <x v="0"/>
    <s v="A. LUCO"/>
    <d v="2023-02-25T00:00:00"/>
  </r>
  <r>
    <s v="US2"/>
    <s v="SHXD93"/>
    <n v="6127"/>
    <x v="2"/>
    <x v="0"/>
    <x v="0"/>
    <s v="A. LUCO"/>
    <d v="2023-02-25T00:00:00"/>
  </r>
  <r>
    <s v="US2"/>
    <s v="SHXD94"/>
    <n v="6128"/>
    <x v="2"/>
    <x v="0"/>
    <x v="0"/>
    <s v="A. LUCO"/>
    <d v="2023-02-25T00:00:00"/>
  </r>
  <r>
    <s v="US2"/>
    <s v="SHXD95"/>
    <n v="6129"/>
    <x v="2"/>
    <x v="0"/>
    <x v="0"/>
    <s v="A. LUCO"/>
    <d v="2023-02-25T00:00:00"/>
  </r>
  <r>
    <s v="US2"/>
    <s v="SHXF21"/>
    <n v="6130"/>
    <x v="2"/>
    <x v="0"/>
    <x v="0"/>
    <s v="A. LUCO"/>
    <d v="2023-02-25T00:00:00"/>
  </r>
  <r>
    <s v="US2"/>
    <s v="SHXF42"/>
    <n v="6131"/>
    <x v="2"/>
    <x v="0"/>
    <x v="0"/>
    <s v="A. LUCO"/>
    <d v="2023-02-25T00:00:00"/>
  </r>
  <r>
    <s v="US2"/>
    <s v="SHXF43"/>
    <n v="6132"/>
    <x v="2"/>
    <x v="0"/>
    <x v="0"/>
    <s v="A. LUCO"/>
    <d v="2023-02-25T00:00:00"/>
  </r>
  <r>
    <s v="US2"/>
    <s v="SHXG18"/>
    <n v="6134"/>
    <x v="2"/>
    <x v="0"/>
    <x v="0"/>
    <s v="A. LUCO"/>
    <d v="2023-02-25T00:00:00"/>
  </r>
  <r>
    <s v="US2"/>
    <s v="SHXG90"/>
    <n v="6135"/>
    <x v="2"/>
    <x v="0"/>
    <x v="0"/>
    <s v="A. LUCO"/>
    <d v="2023-02-25T00:00:00"/>
  </r>
  <r>
    <s v="US2"/>
    <s v="SHXG91"/>
    <n v="6136"/>
    <x v="2"/>
    <x v="0"/>
    <x v="0"/>
    <s v="A. LUCO"/>
    <d v="2023-02-25T00:00:00"/>
  </r>
  <r>
    <s v="US2"/>
    <s v="SHXG94"/>
    <n v="6139"/>
    <x v="2"/>
    <x v="0"/>
    <x v="0"/>
    <s v="A. LUCO"/>
    <d v="2023-02-25T00:00:00"/>
  </r>
  <r>
    <s v="US2"/>
    <s v="SJPC31"/>
    <n v="6141"/>
    <x v="2"/>
    <x v="0"/>
    <x v="0"/>
    <s v="A. LUCO"/>
    <d v="2023-02-25T00:00:00"/>
  </r>
  <r>
    <s v="US2"/>
    <s v="SJPC33"/>
    <n v="6142"/>
    <x v="2"/>
    <x v="0"/>
    <x v="0"/>
    <s v="A. LUCO"/>
    <d v="2023-02-25T00:00:00"/>
  </r>
  <r>
    <s v="US2"/>
    <s v="SJPC34"/>
    <n v="6143"/>
    <x v="2"/>
    <x v="0"/>
    <x v="0"/>
    <s v="A. LUCO"/>
    <d v="2023-02-25T00:00:00"/>
  </r>
  <r>
    <s v="US2"/>
    <s v="SKPP55"/>
    <n v="6153"/>
    <x v="2"/>
    <x v="0"/>
    <x v="0"/>
    <s v="A. LUCO"/>
    <d v="2023-02-25T00:00:00"/>
  </r>
  <r>
    <s v="US2"/>
    <s v="SHXD86"/>
    <n v="6155"/>
    <x v="2"/>
    <x v="0"/>
    <x v="0"/>
    <s v="A. LUCO"/>
    <d v="2023-02-25T00:00:00"/>
  </r>
  <r>
    <s v="US2"/>
    <s v="SHXF20"/>
    <n v="6156"/>
    <x v="2"/>
    <x v="0"/>
    <x v="0"/>
    <s v="A. LUCO"/>
    <d v="2023-02-25T00:00:00"/>
  </r>
  <r>
    <s v="US2"/>
    <s v="SKPH71"/>
    <n v="6160"/>
    <x v="2"/>
    <x v="0"/>
    <x v="0"/>
    <s v="A. LUCO"/>
    <d v="2023-02-25T00:00:00"/>
  </r>
  <r>
    <s v="US2"/>
    <s v="SHCX31"/>
    <n v="6116"/>
    <x v="2"/>
    <x v="0"/>
    <x v="0"/>
    <s v="A. LUCO"/>
    <d v="2023-02-25T00:00:00"/>
  </r>
  <r>
    <s v="US2"/>
    <s v="FLXR73"/>
    <n v="6016"/>
    <x v="1"/>
    <x v="2"/>
    <x v="1"/>
    <s v="A. LUCO"/>
    <d v="2023-04-08T00:00:00"/>
  </r>
  <r>
    <s v="US2"/>
    <s v="FLXR74"/>
    <n v="6017"/>
    <x v="1"/>
    <x v="2"/>
    <x v="1"/>
    <s v="A. LUCO"/>
    <d v="2023-04-08T00:00:00"/>
  </r>
  <r>
    <s v="US2"/>
    <s v="FLXR75"/>
    <n v="6018"/>
    <x v="1"/>
    <x v="2"/>
    <x v="1"/>
    <s v="A. LUCO"/>
    <d v="2023-04-08T00:00:00"/>
  </r>
  <r>
    <s v="US2"/>
    <s v="FLXR76"/>
    <n v="6019"/>
    <x v="1"/>
    <x v="2"/>
    <x v="1"/>
    <s v="A. LUCO"/>
    <d v="2023-04-08T00:00:00"/>
  </r>
  <r>
    <s v="US2"/>
    <s v="FLXR77"/>
    <n v="6020"/>
    <x v="1"/>
    <x v="2"/>
    <x v="1"/>
    <s v="A. LUCO"/>
    <d v="2023-04-08T00:00:00"/>
  </r>
  <r>
    <s v="US2"/>
    <s v="FLXS32"/>
    <n v="6021"/>
    <x v="1"/>
    <x v="2"/>
    <x v="1"/>
    <s v="A. LUCO"/>
    <d v="2023-04-08T00:00:00"/>
  </r>
  <r>
    <s v="US2"/>
    <s v="FLXS38"/>
    <n v="6023"/>
    <x v="1"/>
    <x v="2"/>
    <x v="1"/>
    <s v="A. LUCO"/>
    <d v="2023-04-08T00:00:00"/>
  </r>
  <r>
    <s v="US2"/>
    <s v="FLXS41"/>
    <n v="6026"/>
    <x v="1"/>
    <x v="2"/>
    <x v="1"/>
    <s v="A. LUCO"/>
    <d v="2023-04-08T00:00:00"/>
  </r>
  <r>
    <s v="US2"/>
    <s v="FLXS33"/>
    <n v="6022"/>
    <x v="1"/>
    <x v="2"/>
    <x v="1"/>
    <s v="A. LUCO"/>
    <d v="2023-04-08T00:00:00"/>
  </r>
  <r>
    <s v="US2"/>
    <s v="FLXS39"/>
    <n v="6024"/>
    <x v="1"/>
    <x v="2"/>
    <x v="1"/>
    <s v="A. LUCO"/>
    <d v="2023-04-08T00:00:00"/>
  </r>
  <r>
    <s v="US2"/>
    <s v="FLXS40"/>
    <n v="6025"/>
    <x v="1"/>
    <x v="2"/>
    <x v="1"/>
    <s v="A. LUCO"/>
    <d v="2023-04-08T00:00:0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s v="US2"/>
    <s v="SHCX60"/>
    <n v="5006"/>
    <x v="0"/>
    <x v="0"/>
    <x v="0"/>
    <s v="PIE ANDINO"/>
    <d v="2023-03-18T00:00:00"/>
  </r>
  <r>
    <s v="US2"/>
    <s v="SHCY42"/>
    <n v="5007"/>
    <x v="0"/>
    <x v="0"/>
    <x v="0"/>
    <s v="PIE ANDINO"/>
    <d v="2023-03-18T00:00:00"/>
  </r>
  <r>
    <s v="US2"/>
    <s v="SHCY60"/>
    <n v="5009"/>
    <x v="0"/>
    <x v="0"/>
    <x v="0"/>
    <s v="PIE ANDINO"/>
    <d v="2023-03-18T00:00:00"/>
  </r>
  <r>
    <s v="US2"/>
    <s v="SHXD57"/>
    <n v="5010"/>
    <x v="0"/>
    <x v="0"/>
    <x v="0"/>
    <s v="PIE ANDINO"/>
    <d v="2023-03-18T00:00:00"/>
  </r>
  <r>
    <s v="US2"/>
    <s v="SHXF18"/>
    <n v="5011"/>
    <x v="0"/>
    <x v="0"/>
    <x v="0"/>
    <s v="PIE ANDINO"/>
    <d v="2023-03-18T00:00:00"/>
  </r>
  <r>
    <s v="US2"/>
    <s v="SHXF36"/>
    <n v="5012"/>
    <x v="0"/>
    <x v="0"/>
    <x v="0"/>
    <s v="PIE ANDINO"/>
    <d v="2023-03-18T00:00:00"/>
  </r>
  <r>
    <s v="US2"/>
    <s v="SHXF39"/>
    <n v="5013"/>
    <x v="0"/>
    <x v="0"/>
    <x v="0"/>
    <s v="PIE ANDINO"/>
    <d v="2023-03-18T00:00:00"/>
  </r>
  <r>
    <s v="US2"/>
    <s v="SHXF40"/>
    <n v="5014"/>
    <x v="0"/>
    <x v="0"/>
    <x v="0"/>
    <s v="PIE ANDINO"/>
    <d v="2023-03-18T00:00:00"/>
  </r>
  <r>
    <s v="US2"/>
    <s v="SHXG86"/>
    <n v="5015"/>
    <x v="0"/>
    <x v="0"/>
    <x v="0"/>
    <s v="PIE ANDINO"/>
    <d v="2023-03-18T00:00:00"/>
  </r>
  <r>
    <s v="US2"/>
    <s v="SHCY61"/>
    <n v="5016"/>
    <x v="0"/>
    <x v="0"/>
    <x v="0"/>
    <s v="PIE ANDINO"/>
    <d v="2023-03-18T00:00:00"/>
  </r>
  <r>
    <s v="US2"/>
    <s v="SHCY63"/>
    <n v="5017"/>
    <x v="0"/>
    <x v="0"/>
    <x v="0"/>
    <s v="PIE ANDINO"/>
    <d v="2023-03-18T00:00:00"/>
  </r>
  <r>
    <s v="US2"/>
    <s v="SHXD82"/>
    <n v="5018"/>
    <x v="0"/>
    <x v="0"/>
    <x v="0"/>
    <s v="PIE ANDINO"/>
    <d v="2023-03-18T00:00:00"/>
  </r>
  <r>
    <s v="US2"/>
    <s v="SHXD84"/>
    <n v="5019"/>
    <x v="0"/>
    <x v="0"/>
    <x v="0"/>
    <s v="PIE ANDINO"/>
    <d v="2023-03-18T00:00:00"/>
  </r>
  <r>
    <s v="US2"/>
    <s v="SHXF22"/>
    <n v="5020"/>
    <x v="0"/>
    <x v="0"/>
    <x v="0"/>
    <s v="PIE ANDINO"/>
    <d v="2023-03-18T00:00:00"/>
  </r>
  <r>
    <s v="US2"/>
    <s v="SHCY65"/>
    <n v="5022"/>
    <x v="0"/>
    <x v="0"/>
    <x v="0"/>
    <s v="PIE ANDINO"/>
    <d v="2023-03-18T00:00:00"/>
  </r>
  <r>
    <s v="US2"/>
    <s v="LBTS75"/>
    <n v="6027"/>
    <x v="1"/>
    <x v="0"/>
    <x v="1"/>
    <s v="PIE ANDINO"/>
    <d v="2023-03-18T00:00:00"/>
  </r>
  <r>
    <s v="US2"/>
    <s v="LBTS76"/>
    <n v="6028"/>
    <x v="1"/>
    <x v="1"/>
    <x v="1"/>
    <s v="PIE ANDINO"/>
    <d v="2023-03-18T00:00:00"/>
  </r>
  <r>
    <s v="US2"/>
    <s v="LBTS77"/>
    <n v="6029"/>
    <x v="1"/>
    <x v="1"/>
    <x v="1"/>
    <s v="PIE ANDINO"/>
    <d v="2023-03-18T00:00:00"/>
  </r>
  <r>
    <s v="US2"/>
    <s v="LBTS78"/>
    <n v="6030"/>
    <x v="1"/>
    <x v="1"/>
    <x v="1"/>
    <s v="PIE ANDINO"/>
    <d v="2023-03-18T00:00:00"/>
  </r>
  <r>
    <s v="US2"/>
    <s v="LBTT14"/>
    <n v="6055"/>
    <x v="1"/>
    <x v="1"/>
    <x v="1"/>
    <s v="PIE ANDINO"/>
    <d v="2023-04-08T00:00:00"/>
  </r>
  <r>
    <s v="US2"/>
    <s v="LBTT22"/>
    <n v="6063"/>
    <x v="1"/>
    <x v="0"/>
    <x v="1"/>
    <s v="PIE ANDINO"/>
    <d v="2023-04-08T00:00:00"/>
  </r>
  <r>
    <s v="US2"/>
    <s v="LCPG33"/>
    <n v="6069"/>
    <x v="1"/>
    <x v="0"/>
    <x v="1"/>
    <s v="PIE ANDINO"/>
    <d v="2023-04-08T00:00:00"/>
  </r>
  <r>
    <s v="US2"/>
    <s v="LCPG47"/>
    <n v="6083"/>
    <x v="1"/>
    <x v="0"/>
    <x v="1"/>
    <s v="PIE ANDINO"/>
    <d v="2023-04-08T00:00:00"/>
  </r>
  <r>
    <s v="US2"/>
    <s v="LCPW28"/>
    <n v="6089"/>
    <x v="1"/>
    <x v="0"/>
    <x v="1"/>
    <s v="PIE ANDINO"/>
    <d v="2023-04-08T00:00:00"/>
  </r>
  <r>
    <s v="US2"/>
    <s v="LCPW29"/>
    <n v="6090"/>
    <x v="1"/>
    <x v="0"/>
    <x v="1"/>
    <s v="PIE ANDINO"/>
    <d v="2023-04-08T00:00:00"/>
  </r>
  <r>
    <s v="US2"/>
    <s v="SHCW69"/>
    <n v="6091"/>
    <x v="1"/>
    <x v="0"/>
    <x v="0"/>
    <s v="PIE ANDINO"/>
    <d v="2023-03-18T00:00:00"/>
  </r>
  <r>
    <s v="US2"/>
    <s v="SHCW74"/>
    <n v="6092"/>
    <x v="1"/>
    <x v="0"/>
    <x v="0"/>
    <s v="PIE ANDINO"/>
    <d v="2023-03-18T00:00:00"/>
  </r>
  <r>
    <s v="US2"/>
    <s v="SHCW62"/>
    <n v="6094"/>
    <x v="1"/>
    <x v="1"/>
    <x v="0"/>
    <s v="PIE ANDINO"/>
    <d v="2023-02-25T00:00:00"/>
  </r>
  <r>
    <s v="US2"/>
    <s v="SHCW63"/>
    <n v="6095"/>
    <x v="1"/>
    <x v="1"/>
    <x v="0"/>
    <s v="PIE ANDINO"/>
    <d v="2023-02-25T00:00:00"/>
  </r>
  <r>
    <s v="US2"/>
    <s v="SHCW65"/>
    <n v="6097"/>
    <x v="1"/>
    <x v="0"/>
    <x v="0"/>
    <s v="PIE ANDINO"/>
    <d v="2023-02-25T00:00:00"/>
  </r>
  <r>
    <s v="US2"/>
    <s v="SHCW67"/>
    <n v="6098"/>
    <x v="1"/>
    <x v="0"/>
    <x v="0"/>
    <s v="PIE ANDINO"/>
    <d v="2023-02-25T00:00:00"/>
  </r>
  <r>
    <s v="US2"/>
    <s v="SHCW68"/>
    <n v="6099"/>
    <x v="1"/>
    <x v="0"/>
    <x v="0"/>
    <s v="PIE ANDINO"/>
    <d v="2023-02-25T00:00:00"/>
  </r>
  <r>
    <s v="US2"/>
    <s v="SHCW70"/>
    <n v="6100"/>
    <x v="1"/>
    <x v="0"/>
    <x v="0"/>
    <s v="PIE ANDINO"/>
    <d v="2023-02-25T00:00:00"/>
  </r>
  <r>
    <s v="US2"/>
    <s v="SHCW72"/>
    <n v="6102"/>
    <x v="1"/>
    <x v="0"/>
    <x v="0"/>
    <s v="PIE ANDINO"/>
    <d v="2023-02-25T00:00:00"/>
  </r>
  <r>
    <s v="US2"/>
    <s v="SHCW78"/>
    <n v="6107"/>
    <x v="1"/>
    <x v="0"/>
    <x v="0"/>
    <s v="PIE ANDINO"/>
    <d v="2023-02-25T00:00:00"/>
  </r>
  <r>
    <s v="US2"/>
    <s v="SHCW80"/>
    <n v="6109"/>
    <x v="1"/>
    <x v="0"/>
    <x v="0"/>
    <s v="PIE ANDINO"/>
    <d v="2023-02-25T00:00:00"/>
  </r>
  <r>
    <s v="US2"/>
    <s v="SHCW81"/>
    <n v="6110"/>
    <x v="1"/>
    <x v="0"/>
    <x v="0"/>
    <s v="PIE ANDINO"/>
    <d v="2023-02-25T00:00:00"/>
  </r>
  <r>
    <s v="US2"/>
    <s v="SHCX28"/>
    <n v="6113"/>
    <x v="1"/>
    <x v="0"/>
    <x v="0"/>
    <s v="PIE ANDINO"/>
    <d v="2023-02-25T00:00:00"/>
  </r>
  <r>
    <s v="US2"/>
    <s v="SHCX32"/>
    <n v="6117"/>
    <x v="1"/>
    <x v="0"/>
    <x v="0"/>
    <s v="PIE ANDINO"/>
    <d v="2023-02-25T00:00:00"/>
  </r>
  <r>
    <s v="US2"/>
    <s v="SHCX33"/>
    <n v="6118"/>
    <x v="1"/>
    <x v="0"/>
    <x v="0"/>
    <s v="PIE ANDINO"/>
    <d v="2023-02-25T00:00:00"/>
  </r>
  <r>
    <s v="US2"/>
    <s v="SHCY15"/>
    <n v="6121"/>
    <x v="1"/>
    <x v="0"/>
    <x v="0"/>
    <s v="PIE ANDINO"/>
    <d v="2023-03-18T00:00:00"/>
  </r>
  <r>
    <s v="US2"/>
    <s v="SHXD89"/>
    <n v="6123"/>
    <x v="1"/>
    <x v="0"/>
    <x v="0"/>
    <s v="PIE ANDINO"/>
    <d v="2023-02-25T00:00:00"/>
  </r>
  <r>
    <s v="US2"/>
    <s v="SHXD92"/>
    <n v="6126"/>
    <x v="1"/>
    <x v="0"/>
    <x v="0"/>
    <s v="PIE ANDINO"/>
    <d v="2023-02-25T00:00:00"/>
  </r>
  <r>
    <s v="US2"/>
    <s v="SHXG92"/>
    <n v="6137"/>
    <x v="1"/>
    <x v="0"/>
    <x v="0"/>
    <s v="PIE ANDINO"/>
    <d v="2023-02-25T00:00:00"/>
  </r>
  <r>
    <s v="US2"/>
    <s v="SHXG93"/>
    <n v="6138"/>
    <x v="1"/>
    <x v="0"/>
    <x v="0"/>
    <s v="PIE ANDINO"/>
    <d v="2023-02-25T00:00:00"/>
  </r>
  <r>
    <s v="US2"/>
    <s v="SHXG95"/>
    <n v="6140"/>
    <x v="1"/>
    <x v="0"/>
    <x v="0"/>
    <s v="PIE ANDINO"/>
    <d v="2023-02-25T00:00:00"/>
  </r>
  <r>
    <s v="US2"/>
    <s v="SJPC39"/>
    <n v="6144"/>
    <x v="1"/>
    <x v="0"/>
    <x v="0"/>
    <s v="PIE ANDINO"/>
    <d v="2023-02-25T00:00:00"/>
  </r>
  <r>
    <s v="US2"/>
    <s v="SJPC40"/>
    <n v="6145"/>
    <x v="1"/>
    <x v="0"/>
    <x v="0"/>
    <s v="PIE ANDINO"/>
    <d v="2023-02-25T00:00:00"/>
  </r>
  <r>
    <s v="US2"/>
    <s v="SJPC42"/>
    <n v="6146"/>
    <x v="1"/>
    <x v="0"/>
    <x v="0"/>
    <s v="PIE ANDINO"/>
    <d v="2023-02-25T00:00:00"/>
  </r>
  <r>
    <s v="US2"/>
    <s v="SJPC43"/>
    <n v="6147"/>
    <x v="1"/>
    <x v="0"/>
    <x v="0"/>
    <s v="PIE ANDINO"/>
    <d v="2023-02-25T00:00:00"/>
  </r>
  <r>
    <s v="US2"/>
    <s v="SJPC75"/>
    <n v="6148"/>
    <x v="1"/>
    <x v="0"/>
    <x v="0"/>
    <s v="PIE ANDINO"/>
    <d v="2023-02-25T00:00:00"/>
  </r>
  <r>
    <s v="US2"/>
    <s v="SJPD87"/>
    <n v="6149"/>
    <x v="1"/>
    <x v="0"/>
    <x v="0"/>
    <s v="PIE ANDINO"/>
    <d v="2023-02-25T00:00:00"/>
  </r>
  <r>
    <s v="US2"/>
    <s v="SJPD98"/>
    <n v="6150"/>
    <x v="1"/>
    <x v="0"/>
    <x v="0"/>
    <s v="PIE ANDINO"/>
    <d v="2023-02-25T00:00:00"/>
  </r>
  <r>
    <s v="US2"/>
    <s v="SJPF89"/>
    <n v="6151"/>
    <x v="1"/>
    <x v="0"/>
    <x v="0"/>
    <s v="PIE ANDINO"/>
    <d v="2023-02-25T00:00:00"/>
  </r>
  <r>
    <s v="US2"/>
    <s v="SJPF90"/>
    <n v="6152"/>
    <x v="1"/>
    <x v="0"/>
    <x v="0"/>
    <s v="PIE ANDINO"/>
    <d v="2023-02-25T00:00:00"/>
  </r>
  <r>
    <s v="US2"/>
    <s v="SHCY19"/>
    <n v="6154"/>
    <x v="1"/>
    <x v="0"/>
    <x v="0"/>
    <s v="PIE ANDINO"/>
    <d v="2023-02-25T00:00:00"/>
  </r>
  <r>
    <s v="US2"/>
    <s v="SHXG89"/>
    <n v="6158"/>
    <x v="1"/>
    <x v="0"/>
    <x v="0"/>
    <s v="PIE ANDINO"/>
    <d v="2023-02-25T00:00:00"/>
  </r>
  <r>
    <s v="US2"/>
    <s v="SJPD86"/>
    <n v="6159"/>
    <x v="1"/>
    <x v="0"/>
    <x v="0"/>
    <s v="PIE ANDINO"/>
    <d v="2023-02-25T00:00:00"/>
  </r>
  <r>
    <s v="US2"/>
    <s v="SHXD91"/>
    <n v="6125"/>
    <x v="1"/>
    <x v="0"/>
    <x v="0"/>
    <s v="PIE ANDINO"/>
    <d v="2023-02-25T00:00:00"/>
  </r>
  <r>
    <s v="US2"/>
    <s v="SHXF44"/>
    <n v="6133"/>
    <x v="1"/>
    <x v="0"/>
    <x v="0"/>
    <s v="PIE ANDINO"/>
    <d v="2023-02-25T00:00:00"/>
  </r>
  <r>
    <s v="US2"/>
    <s v="SHXF41"/>
    <n v="6157"/>
    <x v="1"/>
    <x v="0"/>
    <x v="0"/>
    <s v="PIE ANDINO"/>
    <d v="2023-02-25T00:00:00"/>
  </r>
  <r>
    <s v="US2"/>
    <s v="SPZX47"/>
    <n v="7026"/>
    <x v="2"/>
    <x v="1"/>
    <x v="2"/>
    <s v="PIE ANDINO"/>
    <d v="2023-03-18T00:00:00"/>
  </r>
  <r>
    <s v="US2"/>
    <s v="SPZX48"/>
    <n v="7027"/>
    <x v="2"/>
    <x v="1"/>
    <x v="2"/>
    <s v="PIE ANDINO"/>
    <d v="2023-03-18T00:00:00"/>
  </r>
  <r>
    <s v="US2"/>
    <s v="SPZX53"/>
    <n v="7029"/>
    <x v="2"/>
    <x v="1"/>
    <x v="2"/>
    <s v="PIE ANDINO"/>
    <d v="2023-03-18T00:00:00"/>
  </r>
  <r>
    <s v="US2"/>
    <s v="SPZX62"/>
    <n v="7032"/>
    <x v="2"/>
    <x v="0"/>
    <x v="2"/>
    <s v="PIE ANDINO"/>
    <d v="2023-03-18T00:00:00"/>
  </r>
  <r>
    <s v="US2"/>
    <s v="SPZX63"/>
    <n v="7033"/>
    <x v="2"/>
    <x v="0"/>
    <x v="2"/>
    <s v="PIE ANDINO"/>
    <d v="2023-03-18T00:00:00"/>
  </r>
  <r>
    <s v="US2"/>
    <s v="SPZX64"/>
    <n v="7034"/>
    <x v="2"/>
    <x v="0"/>
    <x v="2"/>
    <s v="PIE ANDINO"/>
    <d v="2023-03-18T00:00:00"/>
  </r>
  <r>
    <s v="US2"/>
    <s v="SPZX65"/>
    <n v="7035"/>
    <x v="2"/>
    <x v="0"/>
    <x v="2"/>
    <s v="PIE ANDINO"/>
    <d v="2023-03-18T00:00:00"/>
  </r>
  <r>
    <s v="US2"/>
    <s v="SPZX66"/>
    <n v="7036"/>
    <x v="2"/>
    <x v="0"/>
    <x v="2"/>
    <s v="PIE ANDINO"/>
    <d v="2023-03-18T00:00:00"/>
  </r>
  <r>
    <s v="US2"/>
    <s v="SPZX67"/>
    <n v="7037"/>
    <x v="2"/>
    <x v="0"/>
    <x v="2"/>
    <s v="PIE ANDINO"/>
    <d v="2023-03-18T00:00:00"/>
  </r>
  <r>
    <s v="US2"/>
    <s v="SPZX68"/>
    <n v="7038"/>
    <x v="2"/>
    <x v="0"/>
    <x v="2"/>
    <s v="PIE ANDINO"/>
    <d v="2023-03-18T00:00:00"/>
  </r>
  <r>
    <s v="US2"/>
    <s v="SPZX69"/>
    <n v="7039"/>
    <x v="2"/>
    <x v="0"/>
    <x v="2"/>
    <s v="PIE ANDINO"/>
    <d v="2023-03-18T00:00:00"/>
  </r>
  <r>
    <s v="US2"/>
    <s v="SPZX75"/>
    <n v="7045"/>
    <x v="2"/>
    <x v="0"/>
    <x v="2"/>
    <s v="PIE ANDINO"/>
    <d v="2023-03-18T00:00:00"/>
  </r>
  <r>
    <s v="US2"/>
    <s v="SPZX76"/>
    <n v="7046"/>
    <x v="2"/>
    <x v="0"/>
    <x v="2"/>
    <s v="PIE ANDINO"/>
    <d v="2023-03-18T00:00:00"/>
  </r>
  <r>
    <s v="US2"/>
    <s v="SPZX77"/>
    <n v="7047"/>
    <x v="2"/>
    <x v="0"/>
    <x v="2"/>
    <s v="PIE ANDINO"/>
    <d v="2023-03-18T00:00:00"/>
  </r>
  <r>
    <s v="US2"/>
    <s v="SPZX79"/>
    <n v="7049"/>
    <x v="2"/>
    <x v="0"/>
    <x v="2"/>
    <s v="PIE ANDINO"/>
    <d v="2023-03-18T00:00:00"/>
  </r>
  <r>
    <s v="US2"/>
    <s v="SPZX80"/>
    <n v="7050"/>
    <x v="2"/>
    <x v="0"/>
    <x v="2"/>
    <s v="PIE ANDINO"/>
    <d v="2023-03-18T00:00:00"/>
  </r>
  <r>
    <s v="US2"/>
    <s v="SPZX82"/>
    <n v="7052"/>
    <x v="2"/>
    <x v="0"/>
    <x v="2"/>
    <s v="PIE ANDINO"/>
    <d v="2023-03-18T00:00:00"/>
  </r>
  <r>
    <s v="US2"/>
    <s v="SPZX83"/>
    <n v="7053"/>
    <x v="2"/>
    <x v="0"/>
    <x v="2"/>
    <s v="PIE ANDINO"/>
    <d v="2023-03-18T00:00:00"/>
  </r>
  <r>
    <s v="US2"/>
    <s v="SPZX84"/>
    <n v="7054"/>
    <x v="2"/>
    <x v="0"/>
    <x v="2"/>
    <s v="PIE ANDINO"/>
    <d v="2023-03-18T00:00:00"/>
  </r>
  <r>
    <s v="US2"/>
    <s v="SPZX85"/>
    <n v="7055"/>
    <x v="2"/>
    <x v="0"/>
    <x v="2"/>
    <s v="PIE ANDINO"/>
    <d v="2023-03-18T00:00:00"/>
  </r>
  <r>
    <s v="US2"/>
    <s v="SPZX93"/>
    <n v="7056"/>
    <x v="2"/>
    <x v="0"/>
    <x v="2"/>
    <s v="PIE ANDINO"/>
    <d v="2023-03-18T00:00:00"/>
  </r>
  <r>
    <s v="US2"/>
    <s v="SPZX95"/>
    <n v="7057"/>
    <x v="2"/>
    <x v="0"/>
    <x v="2"/>
    <s v="PIE ANDINO"/>
    <d v="2023-03-18T00:00:00"/>
  </r>
  <r>
    <s v="US2"/>
    <s v="SPZX96"/>
    <n v="7058"/>
    <x v="2"/>
    <x v="0"/>
    <x v="2"/>
    <s v="PIE ANDINO"/>
    <d v="2023-03-18T00:00:00"/>
  </r>
  <r>
    <s v="US2"/>
    <s v="SPZY13"/>
    <n v="7060"/>
    <x v="2"/>
    <x v="0"/>
    <x v="2"/>
    <s v="PIE ANDINO"/>
    <d v="2023-03-18T00:00:00"/>
  </r>
  <r>
    <s v="US2"/>
    <s v="SPZY15"/>
    <n v="7061"/>
    <x v="2"/>
    <x v="0"/>
    <x v="2"/>
    <s v="PIE ANDINO"/>
    <d v="2023-03-18T00:00:00"/>
  </r>
  <r>
    <s v="US2"/>
    <s v="SPZY16"/>
    <n v="7062"/>
    <x v="2"/>
    <x v="0"/>
    <x v="2"/>
    <s v="PIE ANDINO"/>
    <d v="2023-03-18T00:00:00"/>
  </r>
  <r>
    <s v="US2"/>
    <s v="SPZY18"/>
    <n v="7063"/>
    <x v="2"/>
    <x v="0"/>
    <x v="2"/>
    <s v="PIE ANDINO"/>
    <d v="2023-03-18T00:00:00"/>
  </r>
  <r>
    <s v="US2"/>
    <s v="SPZY23"/>
    <n v="7064"/>
    <x v="2"/>
    <x v="0"/>
    <x v="2"/>
    <s v="PIE ANDINO"/>
    <d v="2023-03-18T00:00:00"/>
  </r>
  <r>
    <s v="US2"/>
    <s v="SPZY27"/>
    <n v="7067"/>
    <x v="2"/>
    <x v="0"/>
    <x v="2"/>
    <s v="PIE ANDINO"/>
    <d v="2023-03-18T00:00:00"/>
  </r>
  <r>
    <s v="US2"/>
    <s v="SPZY37"/>
    <n v="7070"/>
    <x v="2"/>
    <x v="0"/>
    <x v="2"/>
    <s v="PIE ANDINO"/>
    <d v="2023-03-18T00:00:00"/>
  </r>
  <r>
    <s v="US2"/>
    <s v="SPZY42"/>
    <n v="7072"/>
    <x v="2"/>
    <x v="0"/>
    <x v="2"/>
    <s v="PIE ANDINO"/>
    <d v="2023-03-18T00:00:00"/>
  </r>
  <r>
    <s v="US2"/>
    <s v="SPZY43"/>
    <n v="7073"/>
    <x v="2"/>
    <x v="0"/>
    <x v="2"/>
    <s v="PIE ANDINO"/>
    <d v="2023-03-18T00:00:00"/>
  </r>
  <r>
    <s v="US2"/>
    <s v="SPZY44"/>
    <n v="7074"/>
    <x v="2"/>
    <x v="0"/>
    <x v="2"/>
    <s v="PIE ANDINO"/>
    <d v="2023-03-18T00:00:00"/>
  </r>
  <r>
    <s v="US2"/>
    <s v="SPZY45"/>
    <n v="7075"/>
    <x v="2"/>
    <x v="0"/>
    <x v="2"/>
    <s v="PIE ANDINO"/>
    <d v="2023-03-18T00:00:00"/>
  </r>
  <r>
    <s v="US2"/>
    <s v="SPZY48"/>
    <n v="7076"/>
    <x v="2"/>
    <x v="0"/>
    <x v="2"/>
    <s v="PIE ANDINO"/>
    <d v="2023-03-18T00:00:00"/>
  </r>
  <r>
    <s v="US2"/>
    <s v="SPZY50"/>
    <n v="7078"/>
    <x v="2"/>
    <x v="0"/>
    <x v="2"/>
    <s v="PIE ANDINO"/>
    <d v="2023-03-18T00:00:00"/>
  </r>
  <r>
    <s v="US2"/>
    <s v="SPZY51"/>
    <n v="7079"/>
    <x v="2"/>
    <x v="0"/>
    <x v="2"/>
    <s v="PIE ANDINO"/>
    <d v="2023-03-18T00:00:00"/>
  </r>
  <r>
    <s v="US2"/>
    <s v="SPZY54"/>
    <n v="7081"/>
    <x v="2"/>
    <x v="0"/>
    <x v="2"/>
    <s v="PIE ANDINO"/>
    <d v="2023-03-18T00:00:00"/>
  </r>
  <r>
    <s v="US2"/>
    <s v="SPZY56"/>
    <n v="7083"/>
    <x v="2"/>
    <x v="0"/>
    <x v="2"/>
    <s v="PIE ANDINO"/>
    <d v="2023-03-18T00:00:00"/>
  </r>
  <r>
    <s v="US2"/>
    <s v="SPZY58"/>
    <n v="7085"/>
    <x v="2"/>
    <x v="0"/>
    <x v="2"/>
    <s v="PIE ANDINO"/>
    <d v="2023-03-18T00:00:00"/>
  </r>
  <r>
    <s v="US2"/>
    <s v="SPZY60"/>
    <n v="7087"/>
    <x v="2"/>
    <x v="0"/>
    <x v="2"/>
    <s v="PIE ANDINO"/>
    <d v="2023-03-18T00:00:00"/>
  </r>
  <r>
    <s v="US2"/>
    <s v="SPZY64"/>
    <n v="7090"/>
    <x v="2"/>
    <x v="0"/>
    <x v="2"/>
    <s v="PIE ANDINO"/>
    <d v="2023-03-18T00:00:00"/>
  </r>
  <r>
    <s v="US2"/>
    <s v="SPZY65"/>
    <n v="7091"/>
    <x v="2"/>
    <x v="0"/>
    <x v="2"/>
    <s v="PIE ANDINO"/>
    <d v="2023-03-18T00:00:00"/>
  </r>
  <r>
    <s v="US2"/>
    <s v="SPZY66"/>
    <n v="7092"/>
    <x v="2"/>
    <x v="0"/>
    <x v="2"/>
    <s v="PIE ANDINO"/>
    <d v="2023-03-18T00:00:00"/>
  </r>
  <r>
    <s v="US2"/>
    <s v="SPZY67"/>
    <n v="7093"/>
    <x v="2"/>
    <x v="0"/>
    <x v="2"/>
    <s v="PIE ANDINO"/>
    <d v="2023-03-18T00:00:00"/>
  </r>
  <r>
    <s v="US2"/>
    <s v="SPZY69"/>
    <n v="7095"/>
    <x v="2"/>
    <x v="0"/>
    <x v="2"/>
    <s v="PIE ANDINO"/>
    <d v="2023-03-18T00:00:00"/>
  </r>
  <r>
    <s v="US2"/>
    <s v="SPZY70"/>
    <n v="7096"/>
    <x v="2"/>
    <x v="0"/>
    <x v="2"/>
    <s v="PIE ANDINO"/>
    <d v="2023-03-18T00:00:00"/>
  </r>
  <r>
    <s v="US2"/>
    <s v="SPZY71"/>
    <n v="7097"/>
    <x v="2"/>
    <x v="0"/>
    <x v="2"/>
    <s v="PIE ANDINO"/>
    <d v="2023-03-18T00:00:00"/>
  </r>
  <r>
    <s v="US2"/>
    <s v="SPZY75"/>
    <n v="7099"/>
    <x v="2"/>
    <x v="0"/>
    <x v="2"/>
    <s v="PIE ANDINO"/>
    <d v="2023-03-18T00:00:00"/>
  </r>
  <r>
    <s v="US2"/>
    <s v="SPZY78"/>
    <n v="7100"/>
    <x v="2"/>
    <x v="0"/>
    <x v="2"/>
    <s v="PIE ANDINO"/>
    <d v="2023-03-18T00:00:00"/>
  </r>
  <r>
    <s v="US2"/>
    <s v="SPZY79"/>
    <n v="7101"/>
    <x v="2"/>
    <x v="0"/>
    <x v="2"/>
    <s v="PIE ANDINO"/>
    <d v="2023-03-18T00:00:00"/>
  </r>
  <r>
    <s v="US2"/>
    <s v="SPZY81"/>
    <n v="7102"/>
    <x v="2"/>
    <x v="0"/>
    <x v="2"/>
    <s v="PIE ANDINO"/>
    <d v="2023-03-18T00:00:00"/>
  </r>
  <r>
    <s v="US2"/>
    <s v="SPZY85"/>
    <n v="7103"/>
    <x v="2"/>
    <x v="0"/>
    <x v="2"/>
    <s v="PIE ANDINO"/>
    <d v="2023-03-18T00:00:00"/>
  </r>
  <r>
    <s v="US2"/>
    <s v="SPZY86"/>
    <n v="7104"/>
    <x v="2"/>
    <x v="0"/>
    <x v="2"/>
    <s v="PIE ANDINO"/>
    <d v="2023-03-18T00:00:00"/>
  </r>
  <r>
    <s v="US2"/>
    <s v="SPZY87"/>
    <n v="7105"/>
    <x v="2"/>
    <x v="0"/>
    <x v="2"/>
    <s v="PIE ANDINO"/>
    <d v="2023-03-18T00:00:00"/>
  </r>
  <r>
    <s v="US2"/>
    <s v="SRVH33"/>
    <n v="7106"/>
    <x v="2"/>
    <x v="0"/>
    <x v="2"/>
    <s v="PIE ANDINO"/>
    <d v="2023-03-18T00:00:00"/>
  </r>
  <r>
    <s v="US2"/>
    <s v="SRVH40"/>
    <n v="7107"/>
    <x v="2"/>
    <x v="0"/>
    <x v="2"/>
    <s v="PIE ANDINO"/>
    <d v="2023-03-18T00:00:00"/>
  </r>
  <r>
    <s v="US2"/>
    <s v="SRVJ17"/>
    <n v="7109"/>
    <x v="2"/>
    <x v="0"/>
    <x v="2"/>
    <s v="PIE ANDINO"/>
    <d v="2023-03-18T00:00:00"/>
  </r>
  <r>
    <s v="US2"/>
    <s v="SRVJ25"/>
    <n v="7110"/>
    <x v="2"/>
    <x v="0"/>
    <x v="2"/>
    <s v="PIE ANDINO"/>
    <d v="2023-03-18T00:00:00"/>
  </r>
  <r>
    <s v="US2"/>
    <s v="SRVJ48"/>
    <n v="7111"/>
    <x v="2"/>
    <x v="0"/>
    <x v="2"/>
    <s v="PIE ANDINO"/>
    <d v="2023-03-18T00:00:00"/>
  </r>
  <r>
    <s v="US2"/>
    <s v="SRVJ72"/>
    <n v="7112"/>
    <x v="2"/>
    <x v="0"/>
    <x v="2"/>
    <s v="PIE ANDINO"/>
    <d v="2023-03-18T00:00:00"/>
  </r>
  <r>
    <s v="US2"/>
    <s v="SRVK25"/>
    <n v="7113"/>
    <x v="2"/>
    <x v="0"/>
    <x v="2"/>
    <s v="PIE ANDINO"/>
    <d v="2023-03-18T00:00:00"/>
  </r>
  <r>
    <s v="US2"/>
    <s v="SRVK73"/>
    <n v="7114"/>
    <x v="2"/>
    <x v="0"/>
    <x v="2"/>
    <s v="PIE ANDINO"/>
    <d v="2023-03-18T00:00:00"/>
  </r>
  <r>
    <s v="US2"/>
    <s v="SRVK82"/>
    <n v="7115"/>
    <x v="2"/>
    <x v="0"/>
    <x v="2"/>
    <s v="PIE ANDINO"/>
    <d v="2023-03-18T00:00:00"/>
  </r>
  <r>
    <s v="US2"/>
    <s v="SRVL13"/>
    <n v="7116"/>
    <x v="2"/>
    <x v="0"/>
    <x v="2"/>
    <s v="PIE ANDINO"/>
    <d v="2023-03-18T00:00:00"/>
  </r>
  <r>
    <s v="US2"/>
    <s v="SRVL29"/>
    <n v="7117"/>
    <x v="2"/>
    <x v="0"/>
    <x v="2"/>
    <s v="PIE ANDINO"/>
    <d v="2023-03-18T00:00:00"/>
  </r>
  <r>
    <s v="US2"/>
    <s v="SRVL59"/>
    <n v="7118"/>
    <x v="2"/>
    <x v="0"/>
    <x v="2"/>
    <s v="PIE ANDINO"/>
    <d v="2023-03-18T00:00:00"/>
  </r>
  <r>
    <s v="US2"/>
    <s v="SRVL70"/>
    <n v="7119"/>
    <x v="2"/>
    <x v="0"/>
    <x v="2"/>
    <s v="PIE ANDINO"/>
    <d v="2023-03-18T00:00:00"/>
  </r>
  <r>
    <s v="US2"/>
    <s v="SRVL81"/>
    <n v="7120"/>
    <x v="2"/>
    <x v="0"/>
    <x v="2"/>
    <s v="PIE ANDINO"/>
    <d v="2023-03-18T00:00:00"/>
  </r>
  <r>
    <s v="US2"/>
    <s v="TFYL48"/>
    <n v="6161"/>
    <x v="1"/>
    <x v="1"/>
    <x v="0"/>
    <s v="PIE ANDINO"/>
    <d v="2024-04-25T00:00:00"/>
  </r>
  <r>
    <s v="US2"/>
    <s v="TXZH46"/>
    <n v="7197"/>
    <x v="2"/>
    <x v="1"/>
    <x v="2"/>
    <s v="PIE ANDINO"/>
    <d v="2025-02-07T00:00:00"/>
  </r>
  <r>
    <s v="US2"/>
    <s v="TXZH47"/>
    <n v="7198"/>
    <x v="2"/>
    <x v="0"/>
    <x v="2"/>
    <s v="PIE ANDINO"/>
    <d v="2025-02-06T00:00:00"/>
  </r>
  <r>
    <s v="US2"/>
    <s v="TXZH48"/>
    <n v="7199"/>
    <x v="2"/>
    <x v="0"/>
    <x v="2"/>
    <s v="PIE ANDINO"/>
    <d v="2025-02-07T00:00:00"/>
  </r>
  <r>
    <s v="US2"/>
    <s v="LCPG45"/>
    <n v="6081"/>
    <x v="1"/>
    <x v="0"/>
    <x v="1"/>
    <s v="PIE ANDINO"/>
    <d v="2023-04-08T00:00:00"/>
  </r>
  <r>
    <s v="US2"/>
    <s v="LCPG49"/>
    <n v="6085"/>
    <x v="1"/>
    <x v="0"/>
    <x v="1"/>
    <s v="PIE ANDINO"/>
    <d v="2023-04-08T00:00:00"/>
  </r>
  <r>
    <s v="US2"/>
    <s v="SPZX59"/>
    <n v="7031"/>
    <x v="2"/>
    <x v="0"/>
    <x v="2"/>
    <s v="PIE ANDINO"/>
    <d v="2023-03-18T00:00:00"/>
  </r>
  <r>
    <s v="US2"/>
    <s v="SPZX71"/>
    <n v="7041"/>
    <x v="2"/>
    <x v="0"/>
    <x v="2"/>
    <s v="PIE ANDINO"/>
    <d v="2023-03-18T00:00:00"/>
  </r>
  <r>
    <s v="US2"/>
    <s v="SPZX73"/>
    <n v="7043"/>
    <x v="2"/>
    <x v="0"/>
    <x v="2"/>
    <s v="PIE ANDINO"/>
    <d v="2023-03-18T00:00:00"/>
  </r>
  <r>
    <s v="US2"/>
    <s v="SPZX74"/>
    <n v="7044"/>
    <x v="2"/>
    <x v="0"/>
    <x v="2"/>
    <s v="PIE ANDINO"/>
    <d v="2023-03-18T00:00:00"/>
  </r>
  <r>
    <s v="US2"/>
    <s v="SPZY24"/>
    <n v="7065"/>
    <x v="2"/>
    <x v="0"/>
    <x v="2"/>
    <s v="PIE ANDINO"/>
    <d v="2023-03-1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FD1E9-C8F3-4CF3-8344-FC94BD371892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Bus">
  <location ref="K9:L16" firstHeaderRow="1" firstDataRow="1" firstDataCol="1"/>
  <pivotFields count="8">
    <pivotField showAll="0"/>
    <pivotField showAll="0"/>
    <pivotField showAll="0"/>
    <pivotField axis="axisRow" showAll="0">
      <items count="6">
        <item x="0"/>
        <item x="1"/>
        <item x="2"/>
        <item m="1" x="4"/>
        <item m="1" x="3"/>
        <item t="default"/>
      </items>
    </pivotField>
    <pivotField showAll="0"/>
    <pivotField axis="axisRow" dataField="1" showAll="0">
      <items count="4">
        <item m="1" x="2"/>
        <item x="1"/>
        <item x="0"/>
        <item t="default"/>
      </items>
    </pivotField>
    <pivotField showAll="0"/>
    <pivotField numFmtId="14" showAll="0"/>
  </pivotFields>
  <rowFields count="2">
    <field x="3"/>
    <field x="5"/>
  </rowFields>
  <rowItems count="7">
    <i>
      <x/>
    </i>
    <i r="1">
      <x v="2"/>
    </i>
    <i>
      <x v="1"/>
    </i>
    <i r="1">
      <x v="1"/>
    </i>
    <i>
      <x v="2"/>
    </i>
    <i r="1">
      <x v="2"/>
    </i>
    <i t="grand">
      <x/>
    </i>
  </rowItems>
  <colItems count="1">
    <i/>
  </colItems>
  <dataFields count="1">
    <dataField name="Cuenta de MARCA CHASIS" fld="5" subtotal="count" baseField="0" baseItem="0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7AADD-8924-4439-9C6A-DC754CDFD06D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BUS">
  <location ref="K8:L13" firstHeaderRow="1" firstDataRow="1" firstDataCol="1"/>
  <pivotFields count="8">
    <pivotField showAll="0"/>
    <pivotField dataField="1" showAll="0"/>
    <pivotField showAll="0"/>
    <pivotField axis="axisRow" showAll="0">
      <items count="4">
        <item x="0"/>
        <item x="1"/>
        <item m="1" x="2"/>
        <item t="default"/>
      </items>
    </pivotField>
    <pivotField showAll="0"/>
    <pivotField axis="axisRow" showAll="0">
      <items count="5">
        <item m="1" x="3"/>
        <item x="0"/>
        <item x="1"/>
        <item m="1" x="2"/>
        <item t="default"/>
      </items>
    </pivotField>
    <pivotField showAll="0"/>
    <pivotField numFmtId="14" showAll="0"/>
  </pivotFields>
  <rowFields count="2">
    <field x="3"/>
    <field x="5"/>
  </rowFields>
  <rowItems count="5">
    <i>
      <x/>
    </i>
    <i r="1">
      <x v="1"/>
    </i>
    <i>
      <x v="1"/>
    </i>
    <i r="1">
      <x v="2"/>
    </i>
    <i t="grand">
      <x/>
    </i>
  </rowItems>
  <colItems count="1">
    <i/>
  </colItems>
  <dataFields count="1">
    <dataField name="CANTIDAD" fld="1" subtotal="count" baseField="0" baseItem="0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022AE-9E69-4FA0-87A0-825536BC672E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BUS">
  <location ref="K7:L10" firstHeaderRow="1" firstDataRow="1" firstDataCol="1"/>
  <pivotFields count="8">
    <pivotField showAll="0"/>
    <pivotField dataField="1" showAll="0"/>
    <pivotField showAll="0"/>
    <pivotField axis="axisRow" showAll="0">
      <items count="3">
        <item m="1" x="1"/>
        <item x="0"/>
        <item t="default"/>
      </items>
    </pivotField>
    <pivotField showAll="0"/>
    <pivotField axis="axisRow" showAll="0">
      <items count="4">
        <item m="1" x="1"/>
        <item m="1" x="2"/>
        <item x="0"/>
        <item t="default"/>
      </items>
    </pivotField>
    <pivotField showAll="0"/>
    <pivotField numFmtId="14" showAll="0"/>
  </pivotFields>
  <rowFields count="2">
    <field x="3"/>
    <field x="5"/>
  </rowFields>
  <rowItems count="3">
    <i>
      <x v="1"/>
    </i>
    <i r="1">
      <x v="2"/>
    </i>
    <i t="grand">
      <x/>
    </i>
  </rowItems>
  <colItems count="1">
    <i/>
  </colItems>
  <dataFields count="1">
    <dataField name="CANTIDAD" fld="1" subtotal="count" baseField="0" baseItem="0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0A829-0DEB-4910-A153-26C917EDBF54}" name="TablaDinámica4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BUS">
  <location ref="J8:K18" firstHeaderRow="1" firstDataRow="1" firstDataCol="1"/>
  <pivotFields count="8">
    <pivotField showAll="0"/>
    <pivotField dataField="1" showAll="0"/>
    <pivotField showAll="0"/>
    <pivotField axis="axisRow" showAll="0">
      <items count="7">
        <item x="0"/>
        <item x="1"/>
        <item x="2"/>
        <item x="3"/>
        <item m="1" x="5"/>
        <item m="1" x="4"/>
        <item t="default"/>
      </items>
    </pivotField>
    <pivotField showAll="0"/>
    <pivotField axis="axisRow" showAll="0">
      <items count="6">
        <item x="2"/>
        <item x="1"/>
        <item m="1" x="4"/>
        <item x="0"/>
        <item m="1" x="3"/>
        <item t="default"/>
      </items>
    </pivotField>
    <pivotField showAll="0"/>
    <pivotField numFmtId="14" showAll="0"/>
  </pivotFields>
  <rowFields count="2">
    <field x="3"/>
    <field x="5"/>
  </rowFields>
  <rowItems count="10">
    <i>
      <x/>
    </i>
    <i r="1">
      <x v="3"/>
    </i>
    <i>
      <x v="1"/>
    </i>
    <i r="1">
      <x v="1"/>
    </i>
    <i>
      <x v="2"/>
    </i>
    <i r="1">
      <x/>
    </i>
    <i>
      <x v="3"/>
    </i>
    <i r="1">
      <x v="1"/>
    </i>
    <i r="1">
      <x v="3"/>
    </i>
    <i t="grand">
      <x/>
    </i>
  </rowItems>
  <colItems count="1">
    <i/>
  </colItems>
  <dataFields count="1">
    <dataField name="CANTIDAD" fld="1" subtotal="count" baseField="0" baseItem="0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45A7BA-374A-4A2E-98DC-7CDCBDA426B2}" name="TablaDinámica8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BUS">
  <location ref="J9:K19" firstHeaderRow="1" firstDataRow="1" firstDataCol="1"/>
  <pivotFields count="8">
    <pivotField showAll="0"/>
    <pivotField dataField="1" showAll="0"/>
    <pivotField showAll="0"/>
    <pivotField axis="axisRow" showAll="0">
      <items count="6">
        <item x="0"/>
        <item x="3"/>
        <item x="1"/>
        <item x="2"/>
        <item m="1" x="4"/>
        <item t="default"/>
      </items>
    </pivotField>
    <pivotField showAll="0"/>
    <pivotField axis="axisRow" showAll="0">
      <items count="6">
        <item x="1"/>
        <item x="3"/>
        <item x="0"/>
        <item x="2"/>
        <item m="1" x="4"/>
        <item t="default"/>
      </items>
    </pivotField>
    <pivotField showAll="0"/>
    <pivotField showAll="0"/>
  </pivotFields>
  <rowFields count="2">
    <field x="3"/>
    <field x="5"/>
  </rowFields>
  <rowItems count="10">
    <i>
      <x/>
    </i>
    <i r="1">
      <x v="2"/>
    </i>
    <i>
      <x v="1"/>
    </i>
    <i r="1">
      <x/>
    </i>
    <i>
      <x v="2"/>
    </i>
    <i r="1">
      <x/>
    </i>
    <i r="1">
      <x v="1"/>
    </i>
    <i>
      <x v="3"/>
    </i>
    <i r="1">
      <x v="3"/>
    </i>
    <i t="grand">
      <x/>
    </i>
  </rowItems>
  <colItems count="1">
    <i/>
  </colItems>
  <dataFields count="1">
    <dataField name="CANTIDAD" fld="1" subtotal="count" baseField="0" baseItem="0"/>
  </dataFields>
  <formats count="10">
    <format dxfId="400">
      <pivotArea type="all" dataOnly="0" outline="0" fieldPosition="0"/>
    </format>
    <format dxfId="399">
      <pivotArea outline="0" collapsedLevelsAreSubtotals="1" fieldPosition="0"/>
    </format>
    <format dxfId="398">
      <pivotArea field="3" type="button" dataOnly="0" labelOnly="1" outline="0" axis="axisRow" fieldPosition="0"/>
    </format>
    <format dxfId="397">
      <pivotArea dataOnly="0" labelOnly="1" fieldPosition="0">
        <references count="1">
          <reference field="3" count="0"/>
        </references>
      </pivotArea>
    </format>
    <format dxfId="396">
      <pivotArea dataOnly="0" labelOnly="1" grandRow="1" outline="0" fieldPosition="0"/>
    </format>
    <format dxfId="395">
      <pivotArea dataOnly="0" labelOnly="1" fieldPosition="0">
        <references count="2">
          <reference field="3" count="1" selected="0">
            <x v="0"/>
          </reference>
          <reference field="5" count="1">
            <x v="2"/>
          </reference>
        </references>
      </pivotArea>
    </format>
    <format dxfId="394">
      <pivotArea dataOnly="0" labelOnly="1" fieldPosition="0">
        <references count="2">
          <reference field="3" count="1" selected="0">
            <x v="1"/>
          </reference>
          <reference field="5" count="1">
            <x v="1"/>
          </reference>
        </references>
      </pivotArea>
    </format>
    <format dxfId="393">
      <pivotArea dataOnly="0" labelOnly="1" fieldPosition="0">
        <references count="2">
          <reference field="3" count="1" selected="0">
            <x v="2"/>
          </reference>
          <reference field="5" count="1">
            <x v="0"/>
          </reference>
        </references>
      </pivotArea>
    </format>
    <format dxfId="392">
      <pivotArea dataOnly="0" labelOnly="1" fieldPosition="0">
        <references count="2">
          <reference field="3" count="1" selected="0">
            <x v="3"/>
          </reference>
          <reference field="5" count="1">
            <x v="3"/>
          </reference>
        </references>
      </pivotArea>
    </format>
    <format dxfId="391">
      <pivotArea dataOnly="0" labelOnly="1" outline="0" axis="axisValues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6082E-C136-481F-84E0-8279A125F78D}" name="TablaDinámica6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BUS">
  <location ref="J4:K11" firstHeaderRow="1" firstDataRow="1" firstDataCol="1"/>
  <pivotFields count="8">
    <pivotField showAll="0"/>
    <pivotField dataField="1" showAll="0"/>
    <pivotField showAll="0"/>
    <pivotField axis="axisRow" showAll="0">
      <items count="6">
        <item x="0"/>
        <item x="2"/>
        <item m="1" x="4"/>
        <item m="1" x="3"/>
        <item x="1"/>
        <item t="default"/>
      </items>
    </pivotField>
    <pivotField showAll="0"/>
    <pivotField axis="axisRow" showAll="0">
      <items count="5">
        <item x="0"/>
        <item m="1" x="3"/>
        <item x="1"/>
        <item m="1" x="2"/>
        <item t="default"/>
      </items>
    </pivotField>
    <pivotField showAll="0"/>
    <pivotField numFmtId="14" showAll="0"/>
  </pivotFields>
  <rowFields count="2">
    <field x="3"/>
    <field x="5"/>
  </rowFields>
  <rowItems count="7">
    <i>
      <x/>
    </i>
    <i r="1">
      <x/>
    </i>
    <i>
      <x v="1"/>
    </i>
    <i r="1">
      <x/>
    </i>
    <i>
      <x v="4"/>
    </i>
    <i r="1">
      <x v="2"/>
    </i>
    <i t="grand">
      <x/>
    </i>
  </rowItems>
  <colItems count="1">
    <i/>
  </colItems>
  <dataFields count="1">
    <dataField name="CANTIDAD" fld="1" subtotal="count" baseField="0" baseItem="0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39EB91-E819-4781-A9BD-7E9059C070B1}" name="TablaDinámica9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9:K17" firstHeaderRow="1" firstDataRow="1" firstDataCol="1"/>
  <pivotFields count="8">
    <pivotField showAll="0"/>
    <pivotField showAll="0"/>
    <pivotField dataField="1" showAll="0"/>
    <pivotField axis="axisRow" showAll="0">
      <items count="5">
        <item x="0"/>
        <item x="1"/>
        <item x="2"/>
        <item m="1" x="3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numFmtId="14" showAll="0"/>
  </pivotFields>
  <rowFields count="2">
    <field x="3"/>
    <field x="5"/>
  </rowFields>
  <rowItems count="8">
    <i>
      <x/>
    </i>
    <i r="1">
      <x v="2"/>
    </i>
    <i>
      <x v="1"/>
    </i>
    <i r="1">
      <x v="1"/>
    </i>
    <i r="1">
      <x v="2"/>
    </i>
    <i>
      <x v="2"/>
    </i>
    <i r="1">
      <x/>
    </i>
    <i t="grand">
      <x/>
    </i>
  </rowItems>
  <colItems count="1">
    <i/>
  </colItems>
  <dataFields count="1">
    <dataField name="CANTIDAD" fld="2" subtotal="count" baseField="5" baseItem="1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44CD7-6E14-4F7A-BD6D-6994CBC64AC7}" name="TablaDinámica7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BUS">
  <location ref="J8:K14" firstHeaderRow="1" firstDataRow="1" firstDataCol="1"/>
  <pivotFields count="8">
    <pivotField showAll="0"/>
    <pivotField dataField="1" showAll="0"/>
    <pivotField showAll="0"/>
    <pivotField axis="axisRow" showAll="0">
      <items count="4">
        <item x="0"/>
        <item x="1"/>
        <item m="1" x="2"/>
        <item t="default"/>
      </items>
    </pivotField>
    <pivotField showAll="0"/>
    <pivotField axis="axisRow" showAll="0">
      <items count="5">
        <item x="2"/>
        <item x="0"/>
        <item x="1"/>
        <item m="1" x="3"/>
        <item t="default"/>
      </items>
    </pivotField>
    <pivotField showAll="0"/>
    <pivotField numFmtId="14" showAll="0"/>
  </pivotFields>
  <rowFields count="2">
    <field x="3"/>
    <field x="5"/>
  </rowFields>
  <rowItems count="6">
    <i>
      <x/>
    </i>
    <i r="1">
      <x v="1"/>
    </i>
    <i>
      <x v="1"/>
    </i>
    <i r="1">
      <x/>
    </i>
    <i r="1">
      <x v="2"/>
    </i>
    <i t="grand">
      <x/>
    </i>
  </rowItems>
  <colItems count="1">
    <i/>
  </colItems>
  <dataFields count="1">
    <dataField name="CANTIDAD" fld="1" subtotal="count" baseField="0" baseItem="0"/>
  </dataFields>
  <formats count="8">
    <format dxfId="353">
      <pivotArea type="all" dataOnly="0" outline="0" fieldPosition="0"/>
    </format>
    <format dxfId="352">
      <pivotArea outline="0" collapsedLevelsAreSubtotals="1" fieldPosition="0"/>
    </format>
    <format dxfId="351">
      <pivotArea field="3" type="button" dataOnly="0" labelOnly="1" outline="0" axis="axisRow" fieldPosition="0"/>
    </format>
    <format dxfId="350">
      <pivotArea dataOnly="0" labelOnly="1" fieldPosition="0">
        <references count="1">
          <reference field="3" count="0"/>
        </references>
      </pivotArea>
    </format>
    <format dxfId="349">
      <pivotArea dataOnly="0" labelOnly="1" grandRow="1" outline="0" fieldPosition="0"/>
    </format>
    <format dxfId="348">
      <pivotArea dataOnly="0" labelOnly="1" fieldPosition="0">
        <references count="2">
          <reference field="3" count="1" selected="0">
            <x v="0"/>
          </reference>
          <reference field="5" count="1">
            <x v="1"/>
          </reference>
        </references>
      </pivotArea>
    </format>
    <format dxfId="347">
      <pivotArea dataOnly="0" labelOnly="1" fieldPosition="0">
        <references count="2">
          <reference field="3" count="1" selected="0">
            <x v="1"/>
          </reference>
          <reference field="5" count="2">
            <x v="0"/>
            <x v="2"/>
          </reference>
        </references>
      </pivotArea>
    </format>
    <format dxfId="346">
      <pivotArea dataOnly="0" labelOnly="1" outline="0" axis="axisValues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591A76-CD29-49B2-B40E-FFFC12E0F298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29" firstHeaderRow="1" firstDataRow="1" firstDataCol="3"/>
  <pivotFields count="1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0"/>
        <item x="2"/>
        <item m="1" x="6"/>
        <item x="3"/>
        <item x="1"/>
        <item x="4"/>
        <item m="1" x="7"/>
        <item m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2"/>
        <item x="1"/>
        <item m="1" x="6"/>
        <item x="3"/>
        <item x="0"/>
        <item m="1" x="7"/>
        <item x="4"/>
        <item m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m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6"/>
    <field x="5"/>
    <field x="3"/>
  </rowFields>
  <rowItems count="26">
    <i>
      <x/>
      <x v="1"/>
      <x v="4"/>
    </i>
    <i r="1">
      <x v="4"/>
      <x/>
    </i>
    <i r="2">
      <x v="1"/>
    </i>
    <i>
      <x v="1"/>
      <x/>
      <x v="3"/>
    </i>
    <i r="1">
      <x v="1"/>
      <x v="1"/>
    </i>
    <i r="2">
      <x v="5"/>
    </i>
    <i r="1">
      <x v="4"/>
      <x/>
    </i>
    <i r="2">
      <x v="5"/>
    </i>
    <i>
      <x v="2"/>
      <x v="3"/>
      <x v="1"/>
    </i>
    <i r="1">
      <x v="4"/>
      <x/>
    </i>
    <i r="2">
      <x v="5"/>
    </i>
    <i>
      <x v="3"/>
      <x/>
      <x v="3"/>
    </i>
    <i r="1">
      <x v="1"/>
      <x v="1"/>
    </i>
    <i r="1">
      <x v="6"/>
      <x v="3"/>
    </i>
    <i>
      <x v="4"/>
      <x/>
      <x v="3"/>
    </i>
    <i r="1">
      <x v="1"/>
      <x v="1"/>
    </i>
    <i r="1">
      <x v="4"/>
      <x/>
    </i>
    <i r="2">
      <x v="1"/>
    </i>
    <i>
      <x v="5"/>
      <x v="3"/>
      <x v="1"/>
    </i>
    <i r="1">
      <x v="4"/>
      <x v="5"/>
    </i>
    <i>
      <x v="6"/>
      <x/>
      <x v="3"/>
    </i>
    <i r="1">
      <x v="1"/>
      <x v="1"/>
    </i>
    <i r="2">
      <x v="4"/>
    </i>
    <i r="1">
      <x v="3"/>
      <x v="4"/>
    </i>
    <i r="1">
      <x v="4"/>
      <x/>
    </i>
    <i t="grand">
      <x/>
    </i>
  </rowItems>
  <colItems count="1">
    <i/>
  </colItems>
  <dataFields count="1">
    <dataField name="Cuenta de INTERNO" fld="2" subtotal="count" baseField="5" baseItem="0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890BB-F23A-4671-A710-937B8EB9B94C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9:M29" firstHeaderRow="1" firstDataRow="2" firstDataCol="1"/>
  <pivotFields count="17">
    <pivotField axis="axisRow" showAll="0">
      <items count="4">
        <item x="1"/>
        <item x="0"/>
        <item m="1" x="2"/>
        <item t="default"/>
      </items>
    </pivotField>
    <pivotField dataField="1" showAll="0"/>
    <pivotField showAll="0"/>
    <pivotField showAll="0"/>
    <pivotField showAll="0"/>
    <pivotField axis="axisCol" multipleItemSelectionAllowed="1" showAll="0">
      <items count="9">
        <item x="2"/>
        <item x="1"/>
        <item m="1" x="6"/>
        <item x="3"/>
        <item x="0"/>
        <item m="1" x="7"/>
        <item x="4"/>
        <item m="1" x="5"/>
        <item t="default"/>
      </items>
    </pivotField>
    <pivotField showAll="0"/>
    <pivotField showAll="0"/>
    <pivotField numFmtId="14" showAll="0"/>
    <pivotField showAll="0"/>
    <pivotField axis="axisRow" showAll="0">
      <items count="9">
        <item x="1"/>
        <item x="2"/>
        <item x="5"/>
        <item m="1" x="7"/>
        <item x="0"/>
        <item x="4"/>
        <item x="3"/>
        <item m="1" x="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0"/>
    <field x="10"/>
  </rowFields>
  <rowItems count="9">
    <i>
      <x/>
    </i>
    <i r="1">
      <x/>
    </i>
    <i r="1">
      <x v="1"/>
    </i>
    <i r="1">
      <x v="2"/>
    </i>
    <i>
      <x v="1"/>
    </i>
    <i r="1">
      <x v="4"/>
    </i>
    <i r="1">
      <x v="5"/>
    </i>
    <i r="1">
      <x v="6"/>
    </i>
    <i t="grand">
      <x/>
    </i>
  </rowItems>
  <colFields count="1">
    <field x="5"/>
  </colFields>
  <colItems count="6">
    <i>
      <x/>
    </i>
    <i>
      <x v="1"/>
    </i>
    <i>
      <x v="3"/>
    </i>
    <i>
      <x v="4"/>
    </i>
    <i>
      <x v="6"/>
    </i>
    <i t="grand">
      <x/>
    </i>
  </colItems>
  <dataFields count="1">
    <dataField name="Cuenta de PLACA" fld="1" subtotal="count" baseField="0" baseItem="0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B7554-EC8E-4318-9B13-F434C118C5F0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M14" firstHeaderRow="1" firstDataRow="2" firstDataCol="1"/>
  <pivotFields count="17">
    <pivotField axis="axisRow" showAll="0">
      <items count="4">
        <item x="1"/>
        <item x="0"/>
        <item m="1" x="2"/>
        <item t="default"/>
      </items>
    </pivotField>
    <pivotField showAll="0"/>
    <pivotField showAll="0"/>
    <pivotField axis="axisCol" showAll="0">
      <items count="9">
        <item x="0"/>
        <item x="2"/>
        <item m="1" x="6"/>
        <item x="3"/>
        <item x="1"/>
        <item x="4"/>
        <item m="1" x="7"/>
        <item m="1" x="5"/>
        <item t="default"/>
      </items>
    </pivotField>
    <pivotField showAll="0"/>
    <pivotField showAll="0"/>
    <pivotField axis="axisRow" dataField="1" showAll="0">
      <items count="9">
        <item x="1"/>
        <item x="2"/>
        <item x="5"/>
        <item x="6"/>
        <item m="1" x="7"/>
        <item x="0"/>
        <item x="4"/>
        <item x="3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6"/>
  </rowFields>
  <rowItems count="10">
    <i>
      <x/>
    </i>
    <i r="1">
      <x/>
    </i>
    <i r="1">
      <x v="1"/>
    </i>
    <i r="1">
      <x v="2"/>
    </i>
    <i r="1">
      <x v="3"/>
    </i>
    <i>
      <x v="1"/>
    </i>
    <i r="1">
      <x v="5"/>
    </i>
    <i r="1">
      <x v="6"/>
    </i>
    <i r="1">
      <x v="7"/>
    </i>
    <i t="grand">
      <x/>
    </i>
  </rowItems>
  <colFields count="1">
    <field x="3"/>
  </colFields>
  <colItems count="6">
    <i>
      <x/>
    </i>
    <i>
      <x v="1"/>
    </i>
    <i>
      <x v="3"/>
    </i>
    <i>
      <x v="4"/>
    </i>
    <i>
      <x v="5"/>
    </i>
    <i t="grand">
      <x/>
    </i>
  </colItems>
  <dataFields count="1">
    <dataField name="Cuenta de TERMINAL OP" fld="6" subtotal="count" baseField="0" baseItem="0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8E5959-72EA-4A8A-940D-BF6F79F399CB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41:L52" firstHeaderRow="1" firstDataRow="2" firstDataCol="1"/>
  <pivotFields count="17">
    <pivotField axis="axisRow" showAll="0">
      <items count="4">
        <item x="1"/>
        <item x="0"/>
        <item m="1" x="2"/>
        <item t="default"/>
      </items>
    </pivotField>
    <pivotField showAll="0"/>
    <pivotField showAll="0"/>
    <pivotField showAll="0"/>
    <pivotField axis="axisCol" showAll="0">
      <items count="6">
        <item x="0"/>
        <item x="1"/>
        <item x="2"/>
        <item m="1" x="4"/>
        <item x="3"/>
        <item t="default"/>
      </items>
    </pivotField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7"/>
  </rowFields>
  <rowItems count="10">
    <i>
      <x/>
    </i>
    <i r="1">
      <x v="1"/>
    </i>
    <i r="1">
      <x v="2"/>
    </i>
    <i r="1">
      <x v="5"/>
    </i>
    <i r="1">
      <x v="6"/>
    </i>
    <i>
      <x v="1"/>
    </i>
    <i r="1">
      <x/>
    </i>
    <i r="1">
      <x v="3"/>
    </i>
    <i r="1">
      <x v="4"/>
    </i>
    <i t="grand">
      <x/>
    </i>
  </rowItems>
  <colFields count="1">
    <field x="4"/>
  </colFields>
  <colItems count="5">
    <i>
      <x/>
    </i>
    <i>
      <x v="1"/>
    </i>
    <i>
      <x v="2"/>
    </i>
    <i>
      <x v="4"/>
    </i>
    <i t="grand">
      <x/>
    </i>
  </colItems>
  <dataFields count="1">
    <dataField name="Cuenta de ORIGEN" fld="9" subtotal="count" baseField="0" baseItem="0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EA9D7C-97C7-42D0-9CC1-4F50D6B67E4B}" name="DinamicaOMPAN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ie Andino">
  <location ref="N4:O15" firstHeaderRow="1" firstDataRow="1" firstDataCol="1"/>
  <pivotFields count="8">
    <pivotField showAll="0"/>
    <pivotField dataField="1" showAll="0"/>
    <pivotField showAll="0"/>
    <pivotField axis="axisRow" showAll="0">
      <items count="5">
        <item x="0"/>
        <item x="1"/>
        <item x="2"/>
        <item m="1" x="3"/>
        <item t="default"/>
      </items>
    </pivotField>
    <pivotField axis="axisRow" showAll="0">
      <items count="4">
        <item x="0"/>
        <item x="1"/>
        <item m="1" x="2"/>
        <item t="default"/>
      </items>
    </pivotField>
    <pivotField axis="axisRow" showAll="0">
      <items count="4">
        <item sd="0" x="2"/>
        <item sd="0" x="1"/>
        <item x="0"/>
        <item t="default"/>
      </items>
    </pivotField>
    <pivotField showAll="0"/>
    <pivotField numFmtId="14" showAll="0"/>
  </pivotFields>
  <rowFields count="3">
    <field x="3"/>
    <field x="5"/>
    <field x="4"/>
  </rowFields>
  <rowItems count="11">
    <i>
      <x/>
    </i>
    <i r="1">
      <x v="2"/>
    </i>
    <i r="2">
      <x/>
    </i>
    <i>
      <x v="1"/>
    </i>
    <i r="1">
      <x v="1"/>
    </i>
    <i r="1">
      <x v="2"/>
    </i>
    <i r="2">
      <x/>
    </i>
    <i r="2">
      <x v="1"/>
    </i>
    <i>
      <x v="2"/>
    </i>
    <i r="1">
      <x/>
    </i>
    <i t="grand">
      <x/>
    </i>
  </rowItems>
  <colItems count="1">
    <i/>
  </colItems>
  <dataFields count="1">
    <dataField name="Cantidad" fld="1" subtotal="count" baseField="0" baseItem="0"/>
  </dataFields>
  <formats count="42">
    <format dxfId="133">
      <pivotArea dataOnly="0" labelOnly="1" outline="0" axis="axisValues" fieldPosition="0"/>
    </format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3" type="button" dataOnly="0" labelOnly="1" outline="0" axis="axisRow" fieldPosition="0"/>
    </format>
    <format dxfId="129">
      <pivotArea dataOnly="0" labelOnly="1" fieldPosition="0">
        <references count="1">
          <reference field="3" count="0"/>
        </references>
      </pivotArea>
    </format>
    <format dxfId="128">
      <pivotArea dataOnly="0" labelOnly="1" grandRow="1" outline="0" fieldPosition="0"/>
    </format>
    <format dxfId="127">
      <pivotArea dataOnly="0" labelOnly="1" fieldPosition="0">
        <references count="2">
          <reference field="3" count="1" selected="0">
            <x v="0"/>
          </reference>
          <reference field="5" count="1">
            <x v="2"/>
          </reference>
        </references>
      </pivotArea>
    </format>
    <format dxfId="126">
      <pivotArea dataOnly="0" labelOnly="1" fieldPosition="0">
        <references count="2">
          <reference field="3" count="1" selected="0">
            <x v="1"/>
          </reference>
          <reference field="5" count="2">
            <x v="1"/>
            <x v="2"/>
          </reference>
        </references>
      </pivotArea>
    </format>
    <format dxfId="125">
      <pivotArea dataOnly="0" labelOnly="1" fieldPosition="0">
        <references count="2">
          <reference field="3" count="1" selected="0">
            <x v="2"/>
          </reference>
          <reference field="5" count="1">
            <x v="0"/>
          </reference>
        </references>
      </pivotArea>
    </format>
    <format dxfId="124">
      <pivotArea dataOnly="0" labelOnly="1" fieldPosition="0">
        <references count="2">
          <reference field="3" count="1" selected="0">
            <x v="3"/>
          </reference>
          <reference field="5" count="1">
            <x v="1"/>
          </reference>
        </references>
      </pivotArea>
    </format>
    <format dxfId="123">
      <pivotArea dataOnly="0" labelOnly="1" outline="0" axis="axisValues" fieldPosition="0"/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3" type="button" dataOnly="0" labelOnly="1" outline="0" axis="axisRow" fieldPosition="0"/>
    </format>
    <format dxfId="119">
      <pivotArea dataOnly="0" labelOnly="1" fieldPosition="0">
        <references count="1">
          <reference field="3" count="0"/>
        </references>
      </pivotArea>
    </format>
    <format dxfId="118">
      <pivotArea dataOnly="0" labelOnly="1" grandRow="1" outline="0" fieldPosition="0"/>
    </format>
    <format dxfId="117">
      <pivotArea dataOnly="0" labelOnly="1" fieldPosition="0">
        <references count="2">
          <reference field="3" count="1" selected="0">
            <x v="0"/>
          </reference>
          <reference field="5" count="1">
            <x v="2"/>
          </reference>
        </references>
      </pivotArea>
    </format>
    <format dxfId="116">
      <pivotArea dataOnly="0" labelOnly="1" fieldPosition="0">
        <references count="2">
          <reference field="3" count="1" selected="0">
            <x v="1"/>
          </reference>
          <reference field="5" count="2">
            <x v="1"/>
            <x v="2"/>
          </reference>
        </references>
      </pivotArea>
    </format>
    <format dxfId="115">
      <pivotArea dataOnly="0" labelOnly="1" fieldPosition="0">
        <references count="2">
          <reference field="3" count="1" selected="0">
            <x v="2"/>
          </reference>
          <reference field="5" count="1">
            <x v="0"/>
          </reference>
        </references>
      </pivotArea>
    </format>
    <format dxfId="114">
      <pivotArea dataOnly="0" labelOnly="1" fieldPosition="0">
        <references count="2">
          <reference field="3" count="1" selected="0">
            <x v="3"/>
          </reference>
          <reference field="5" count="1">
            <x v="1"/>
          </reference>
        </references>
      </pivotArea>
    </format>
    <format dxfId="113">
      <pivotArea dataOnly="0" labelOnly="1" outline="0" axis="axisValues" fieldPosition="0"/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3" type="button" dataOnly="0" labelOnly="1" outline="0" axis="axisRow" fieldPosition="0"/>
    </format>
    <format dxfId="109">
      <pivotArea dataOnly="0" labelOnly="1" fieldPosition="0">
        <references count="1">
          <reference field="3" count="0"/>
        </references>
      </pivotArea>
    </format>
    <format dxfId="108">
      <pivotArea dataOnly="0" labelOnly="1" grandRow="1" outline="0" fieldPosition="0"/>
    </format>
    <format dxfId="107">
      <pivotArea dataOnly="0" labelOnly="1" fieldPosition="0">
        <references count="2">
          <reference field="3" count="1" selected="0">
            <x v="0"/>
          </reference>
          <reference field="5" count="1">
            <x v="2"/>
          </reference>
        </references>
      </pivotArea>
    </format>
    <format dxfId="106">
      <pivotArea dataOnly="0" labelOnly="1" fieldPosition="0">
        <references count="2">
          <reference field="3" count="1" selected="0">
            <x v="1"/>
          </reference>
          <reference field="5" count="2">
            <x v="1"/>
            <x v="2"/>
          </reference>
        </references>
      </pivotArea>
    </format>
    <format dxfId="105">
      <pivotArea dataOnly="0" labelOnly="1" fieldPosition="0">
        <references count="2">
          <reference field="3" count="1" selected="0">
            <x v="2"/>
          </reference>
          <reference field="5" count="1">
            <x v="0"/>
          </reference>
        </references>
      </pivotArea>
    </format>
    <format dxfId="104">
      <pivotArea dataOnly="0" labelOnly="1" fieldPosition="0">
        <references count="2">
          <reference field="3" count="1" selected="0">
            <x v="3"/>
          </reference>
          <reference field="5" count="1">
            <x v="1"/>
          </reference>
        </references>
      </pivotArea>
    </format>
    <format dxfId="103">
      <pivotArea dataOnly="0" labelOnly="1" outline="0" axis="axisValues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3" type="button" dataOnly="0" labelOnly="1" outline="0" axis="axisRow" fieldPosition="0"/>
    </format>
    <format dxfId="99">
      <pivotArea dataOnly="0" labelOnly="1" fieldPosition="0">
        <references count="1">
          <reference field="3" count="0"/>
        </references>
      </pivotArea>
    </format>
    <format dxfId="98">
      <pivotArea dataOnly="0" labelOnly="1" grandRow="1" outline="0" fieldPosition="0"/>
    </format>
    <format dxfId="97">
      <pivotArea dataOnly="0" labelOnly="1" fieldPosition="0">
        <references count="2">
          <reference field="3" count="1" selected="0">
            <x v="0"/>
          </reference>
          <reference field="5" count="1">
            <x v="2"/>
          </reference>
        </references>
      </pivotArea>
    </format>
    <format dxfId="96">
      <pivotArea dataOnly="0" labelOnly="1" fieldPosition="0">
        <references count="2">
          <reference field="3" count="1" selected="0">
            <x v="1"/>
          </reference>
          <reference field="5" count="2">
            <x v="1"/>
            <x v="2"/>
          </reference>
        </references>
      </pivotArea>
    </format>
    <format dxfId="95">
      <pivotArea dataOnly="0" labelOnly="1" fieldPosition="0">
        <references count="2">
          <reference field="3" count="1" selected="0">
            <x v="2"/>
          </reference>
          <reference field="5" count="1">
            <x v="0"/>
          </reference>
        </references>
      </pivotArea>
    </format>
    <format dxfId="94">
      <pivotArea dataOnly="0" labelOnly="1" fieldPosition="0">
        <references count="3">
          <reference field="3" count="1" selected="0">
            <x v="0"/>
          </reference>
          <reference field="4" count="1">
            <x v="0"/>
          </reference>
          <reference field="5" count="1" selected="0">
            <x v="2"/>
          </reference>
        </references>
      </pivotArea>
    </format>
    <format dxfId="93">
      <pivotArea dataOnly="0" labelOnly="1" fieldPosition="0">
        <references count="3">
          <reference field="3" count="1" selected="0">
            <x v="1"/>
          </reference>
          <reference field="4" count="0"/>
          <reference field="5" count="1" selected="0">
            <x v="2"/>
          </reference>
        </references>
      </pivotArea>
    </format>
    <format dxfId="9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65197-986F-41C4-BF6F-4E7089B84D85}" name="DinamicaALRET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El Retiro">
  <location ref="C4:D11" firstHeaderRow="1" firstDataRow="1" firstDataCol="1"/>
  <pivotFields count="8">
    <pivotField showAll="0"/>
    <pivotField dataField="1" showAll="0"/>
    <pivotField showAll="0"/>
    <pivotField axis="axisRow" showAll="0">
      <items count="6">
        <item x="0"/>
        <item x="1"/>
        <item x="2"/>
        <item m="1" x="4"/>
        <item m="1" x="3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4">
        <item sd="0" m="1" x="2"/>
        <item sd="0" x="1"/>
        <item sd="0" x="0"/>
        <item t="default"/>
      </items>
    </pivotField>
    <pivotField showAll="0"/>
    <pivotField numFmtId="14" showAll="0"/>
  </pivotFields>
  <rowFields count="3">
    <field x="3"/>
    <field x="5"/>
    <field x="4"/>
  </rowFields>
  <rowItems count="7">
    <i>
      <x/>
    </i>
    <i r="1">
      <x v="2"/>
    </i>
    <i>
      <x v="1"/>
    </i>
    <i r="1">
      <x v="1"/>
    </i>
    <i>
      <x v="2"/>
    </i>
    <i r="1">
      <x v="2"/>
    </i>
    <i t="grand">
      <x/>
    </i>
  </rowItems>
  <colItems count="1">
    <i/>
  </colItems>
  <dataFields count="1">
    <dataField name="Cantidad" fld="1" subtotal="count" baseField="0" baseItem="0"/>
  </dataFields>
  <formats count="9">
    <format dxfId="142">
      <pivotArea type="all" dataOnly="0" outline="0" fieldPosition="0"/>
    </format>
    <format dxfId="141">
      <pivotArea outline="0" collapsedLevelsAreSubtotals="1" fieldPosition="0"/>
    </format>
    <format dxfId="140">
      <pivotArea field="3" type="button" dataOnly="0" labelOnly="1" outline="0" axis="axisRow" fieldPosition="0"/>
    </format>
    <format dxfId="139">
      <pivotArea dataOnly="0" labelOnly="1" fieldPosition="0">
        <references count="1">
          <reference field="3" count="0"/>
        </references>
      </pivotArea>
    </format>
    <format dxfId="138">
      <pivotArea dataOnly="0" labelOnly="1" grandRow="1" outline="0" fieldPosition="0"/>
    </format>
    <format dxfId="137">
      <pivotArea dataOnly="0" labelOnly="1" fieldPosition="0">
        <references count="2">
          <reference field="3" count="1" selected="0">
            <x v="0"/>
          </reference>
          <reference field="5" count="1">
            <x v="2"/>
          </reference>
        </references>
      </pivotArea>
    </format>
    <format dxfId="136">
      <pivotArea dataOnly="0" labelOnly="1" fieldPosition="0">
        <references count="2">
          <reference field="3" count="1" selected="0">
            <x v="1"/>
          </reference>
          <reference field="5" count="1">
            <x v="1"/>
          </reference>
        </references>
      </pivotArea>
    </format>
    <format dxfId="135">
      <pivotArea dataOnly="0" labelOnly="1" fieldPosition="0">
        <references count="2">
          <reference field="3" count="1" selected="0">
            <x v="2"/>
          </reference>
          <reference field="5" count="1">
            <x v="2"/>
          </reference>
        </references>
      </pivotArea>
    </format>
    <format dxfId="134">
      <pivotArea dataOnly="0" labelOnly="1" outline="0" axis="axisValues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56D714-4C9C-416C-B672-4ADC33729A99}" name="DinamicaALCON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ondell">
  <location ref="C15:D27" firstHeaderRow="1" firstDataRow="1" firstDataCol="1"/>
  <pivotFields count="8">
    <pivotField showAll="0"/>
    <pivotField dataField="1" showAll="0"/>
    <pivotField showAll="0"/>
    <pivotField axis="axisRow" showAll="0" sortType="ascending">
      <items count="7">
        <item x="0"/>
        <item x="1"/>
        <item x="2"/>
        <item m="1" x="5"/>
        <item x="3"/>
        <item m="1" x="4"/>
        <item t="default"/>
      </items>
    </pivotField>
    <pivotField axis="axisRow" showAll="0">
      <items count="5">
        <item x="0"/>
        <item x="1"/>
        <item m="1" x="3"/>
        <item m="1" x="2"/>
        <item t="default"/>
      </items>
    </pivotField>
    <pivotField axis="axisRow" showAll="0">
      <items count="6">
        <item x="2"/>
        <item sd="0" x="1"/>
        <item sd="0" x="0"/>
        <item sd="0" m="1" x="4"/>
        <item m="1" x="3"/>
        <item t="default"/>
      </items>
    </pivotField>
    <pivotField showAll="0"/>
    <pivotField numFmtId="14" showAll="0"/>
  </pivotFields>
  <rowFields count="3">
    <field x="3"/>
    <field x="5"/>
    <field x="4"/>
  </rowFields>
  <rowItems count="12">
    <i>
      <x/>
    </i>
    <i r="1">
      <x v="2"/>
    </i>
    <i>
      <x v="1"/>
    </i>
    <i r="1">
      <x v="1"/>
    </i>
    <i>
      <x v="2"/>
    </i>
    <i r="1">
      <x/>
    </i>
    <i r="2">
      <x/>
    </i>
    <i r="2">
      <x v="1"/>
    </i>
    <i>
      <x v="4"/>
    </i>
    <i r="1">
      <x v="1"/>
    </i>
    <i r="1">
      <x v="2"/>
    </i>
    <i t="grand">
      <x/>
    </i>
  </rowItems>
  <colItems count="1">
    <i/>
  </colItems>
  <dataFields count="1">
    <dataField name="Cantidad" fld="1" subtotal="count" baseField="0" baseItem="0"/>
  </dataFields>
  <formats count="11">
    <format dxfId="153">
      <pivotArea type="all" dataOnly="0" outline="0" fieldPosition="0"/>
    </format>
    <format dxfId="152">
      <pivotArea outline="0" collapsedLevelsAreSubtotals="1" fieldPosition="0"/>
    </format>
    <format dxfId="151">
      <pivotArea field="3" type="button" dataOnly="0" labelOnly="1" outline="0" axis="axisRow" fieldPosition="0"/>
    </format>
    <format dxfId="150">
      <pivotArea dataOnly="0" labelOnly="1" fieldPosition="0">
        <references count="1">
          <reference field="3" count="0"/>
        </references>
      </pivotArea>
    </format>
    <format dxfId="149">
      <pivotArea dataOnly="0" labelOnly="1" grandRow="1" outline="0" fieldPosition="0"/>
    </format>
    <format dxfId="148">
      <pivotArea dataOnly="0" labelOnly="1" fieldPosition="0">
        <references count="2">
          <reference field="3" count="1" selected="0">
            <x v="0"/>
          </reference>
          <reference field="5" count="1">
            <x v="2"/>
          </reference>
        </references>
      </pivotArea>
    </format>
    <format dxfId="147">
      <pivotArea dataOnly="0" labelOnly="1" fieldPosition="0">
        <references count="2">
          <reference field="3" count="1" selected="0">
            <x v="1"/>
          </reference>
          <reference field="5" count="1">
            <x v="1"/>
          </reference>
        </references>
      </pivotArea>
    </format>
    <format dxfId="146">
      <pivotArea dataOnly="0" labelOnly="1" fieldPosition="0">
        <references count="2">
          <reference field="3" count="1" selected="0">
            <x v="2"/>
          </reference>
          <reference field="5" count="1">
            <x v="0"/>
          </reference>
        </references>
      </pivotArea>
    </format>
    <format dxfId="145">
      <pivotArea dataOnly="0" labelOnly="1" fieldPosition="0">
        <references count="2">
          <reference field="3" count="1" selected="0">
            <x v="4"/>
          </reference>
          <reference field="5" count="2">
            <x v="1"/>
            <x v="2"/>
          </reference>
        </references>
      </pivotArea>
    </format>
    <format dxfId="144">
      <pivotArea dataOnly="0" labelOnly="1" fieldPosition="0">
        <references count="3">
          <reference field="3" count="1" selected="0">
            <x v="2"/>
          </reference>
          <reference field="4" count="0"/>
          <reference field="5" count="1" selected="0">
            <x v="0"/>
          </reference>
        </references>
      </pivotArea>
    </format>
    <format dxfId="143">
      <pivotArea dataOnly="0" labelOnly="1" outline="0" axis="axisValues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893F1-B714-49E4-90D9-5DE52D978AD8}" name="DinamicaOMJJA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 Luco">
  <location ref="K4:L17" firstHeaderRow="1" firstDataRow="1" firstDataCol="1"/>
  <pivotFields count="8">
    <pivotField showAll="0"/>
    <pivotField dataField="1" showAll="0"/>
    <pivotField showAll="0"/>
    <pivotField axis="axisRow" showAll="0">
      <items count="6">
        <item x="0"/>
        <item x="2"/>
        <item sd="0" m="1" x="4"/>
        <item m="1" x="3"/>
        <item x="1"/>
        <item t="default"/>
      </items>
    </pivotField>
    <pivotField axis="axisRow" showAll="0">
      <items count="5">
        <item x="0"/>
        <item x="1"/>
        <item m="1" x="3"/>
        <item x="2"/>
        <item t="default"/>
      </items>
    </pivotField>
    <pivotField axis="axisRow" showAll="0">
      <items count="5">
        <item x="0"/>
        <item sd="0" m="1" x="3"/>
        <item x="1"/>
        <item m="1" x="2"/>
        <item t="default"/>
      </items>
    </pivotField>
    <pivotField showAll="0"/>
    <pivotField numFmtId="14" showAll="0"/>
  </pivotFields>
  <rowFields count="3">
    <field x="3"/>
    <field x="5"/>
    <field x="4"/>
  </rowFields>
  <rowItems count="13">
    <i>
      <x/>
    </i>
    <i r="1">
      <x/>
    </i>
    <i r="2">
      <x/>
    </i>
    <i>
      <x v="1"/>
    </i>
    <i r="1">
      <x/>
    </i>
    <i r="2">
      <x/>
    </i>
    <i r="2">
      <x v="1"/>
    </i>
    <i>
      <x v="4"/>
    </i>
    <i r="1">
      <x v="2"/>
    </i>
    <i r="2">
      <x/>
    </i>
    <i r="2">
      <x v="1"/>
    </i>
    <i r="2">
      <x v="3"/>
    </i>
    <i t="grand">
      <x/>
    </i>
  </rowItems>
  <colItems count="1">
    <i/>
  </colItems>
  <dataFields count="1">
    <dataField name="Cantidad" fld="1" subtotal="count" baseField="0" baseItem="0"/>
  </dataFields>
  <formats count="36">
    <format dxfId="189">
      <pivotArea type="all" dataOnly="0" outline="0" fieldPosition="0"/>
    </format>
    <format dxfId="188">
      <pivotArea outline="0" collapsedLevelsAreSubtotals="1" fieldPosition="0"/>
    </format>
    <format dxfId="187">
      <pivotArea field="3" type="button" dataOnly="0" labelOnly="1" outline="0" axis="axisRow" fieldPosition="0"/>
    </format>
    <format dxfId="186">
      <pivotArea dataOnly="0" labelOnly="1" fieldPosition="0">
        <references count="1">
          <reference field="3" count="0"/>
        </references>
      </pivotArea>
    </format>
    <format dxfId="185">
      <pivotArea dataOnly="0" labelOnly="1" grandRow="1" outline="0" fieldPosition="0"/>
    </format>
    <format dxfId="184">
      <pivotArea dataOnly="0" labelOnly="1" fieldPosition="0">
        <references count="2">
          <reference field="3" count="1" selected="0">
            <x v="0"/>
          </reference>
          <reference field="5" count="0"/>
        </references>
      </pivotArea>
    </format>
    <format dxfId="183">
      <pivotArea dataOnly="0" labelOnly="1" fieldPosition="0">
        <references count="2">
          <reference field="3" count="1" selected="0">
            <x v="1"/>
          </reference>
          <reference field="5" count="0"/>
        </references>
      </pivotArea>
    </format>
    <format dxfId="182">
      <pivotArea dataOnly="0" labelOnly="1" outline="0" axis="axisValues" fieldPosition="0"/>
    </format>
    <format dxfId="181">
      <pivotArea type="all" dataOnly="0" outline="0" fieldPosition="0"/>
    </format>
    <format dxfId="180">
      <pivotArea outline="0" collapsedLevelsAreSubtotals="1" fieldPosition="0"/>
    </format>
    <format dxfId="179">
      <pivotArea field="3" type="button" dataOnly="0" labelOnly="1" outline="0" axis="axisRow" fieldPosition="0"/>
    </format>
    <format dxfId="178">
      <pivotArea dataOnly="0" labelOnly="1" fieldPosition="0">
        <references count="1">
          <reference field="3" count="0"/>
        </references>
      </pivotArea>
    </format>
    <format dxfId="177">
      <pivotArea dataOnly="0" labelOnly="1" grandRow="1" outline="0" fieldPosition="0"/>
    </format>
    <format dxfId="176">
      <pivotArea dataOnly="0" labelOnly="1" fieldPosition="0">
        <references count="2">
          <reference field="3" count="1" selected="0">
            <x v="0"/>
          </reference>
          <reference field="5" count="0"/>
        </references>
      </pivotArea>
    </format>
    <format dxfId="175">
      <pivotArea dataOnly="0" labelOnly="1" fieldPosition="0">
        <references count="2">
          <reference field="3" count="1" selected="0">
            <x v="1"/>
          </reference>
          <reference field="5" count="0"/>
        </references>
      </pivotArea>
    </format>
    <format dxfId="174">
      <pivotArea dataOnly="0" labelOnly="1" outline="0" axis="axisValues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field="3" type="button" dataOnly="0" labelOnly="1" outline="0" axis="axisRow" fieldPosition="0"/>
    </format>
    <format dxfId="170">
      <pivotArea dataOnly="0" labelOnly="1" fieldPosition="0">
        <references count="1">
          <reference field="3" count="0"/>
        </references>
      </pivotArea>
    </format>
    <format dxfId="169">
      <pivotArea dataOnly="0" labelOnly="1" grandRow="1" outline="0" fieldPosition="0"/>
    </format>
    <format dxfId="168">
      <pivotArea dataOnly="0" labelOnly="1" fieldPosition="0">
        <references count="2">
          <reference field="3" count="1" selected="0">
            <x v="0"/>
          </reference>
          <reference field="5" count="0"/>
        </references>
      </pivotArea>
    </format>
    <format dxfId="167">
      <pivotArea dataOnly="0" labelOnly="1" fieldPosition="0">
        <references count="2">
          <reference field="3" count="1" selected="0">
            <x v="1"/>
          </reference>
          <reference field="5" count="0"/>
        </references>
      </pivotArea>
    </format>
    <format dxfId="166">
      <pivotArea dataOnly="0" labelOnly="1" outline="0" axis="axisValues" fieldPosition="0"/>
    </format>
    <format dxfId="165">
      <pivotArea type="all" dataOnly="0" outline="0" fieldPosition="0"/>
    </format>
    <format dxfId="164">
      <pivotArea outline="0" collapsedLevelsAreSubtotals="1" fieldPosition="0"/>
    </format>
    <format dxfId="163">
      <pivotArea field="3" type="button" dataOnly="0" labelOnly="1" outline="0" axis="axisRow" fieldPosition="0"/>
    </format>
    <format dxfId="162">
      <pivotArea dataOnly="0" labelOnly="1" fieldPosition="0">
        <references count="1">
          <reference field="3" count="0"/>
        </references>
      </pivotArea>
    </format>
    <format dxfId="161">
      <pivotArea dataOnly="0" labelOnly="1" grandRow="1" outline="0" fieldPosition="0"/>
    </format>
    <format dxfId="160">
      <pivotArea dataOnly="0" labelOnly="1" fieldPosition="0">
        <references count="2">
          <reference field="3" count="1" selected="0">
            <x v="0"/>
          </reference>
          <reference field="5" count="1">
            <x v="0"/>
          </reference>
        </references>
      </pivotArea>
    </format>
    <format dxfId="159">
      <pivotArea dataOnly="0" labelOnly="1" fieldPosition="0">
        <references count="2">
          <reference field="3" count="1" selected="0">
            <x v="1"/>
          </reference>
          <reference field="5" count="1">
            <x v="0"/>
          </reference>
        </references>
      </pivotArea>
    </format>
    <format dxfId="158">
      <pivotArea dataOnly="0" labelOnly="1" fieldPosition="0">
        <references count="2">
          <reference field="3" count="1" selected="0">
            <x v="4"/>
          </reference>
          <reference field="5" count="1">
            <x v="2"/>
          </reference>
        </references>
      </pivotArea>
    </format>
    <format dxfId="157">
      <pivotArea dataOnly="0" labelOnly="1" fieldPosition="0">
        <references count="3">
          <reference field="3" count="1" selected="0">
            <x v="0"/>
          </reference>
          <reference field="4" count="1">
            <x v="0"/>
          </reference>
          <reference field="5" count="1" selected="0">
            <x v="0"/>
          </reference>
        </references>
      </pivotArea>
    </format>
    <format dxfId="156">
      <pivotArea dataOnly="0" labelOnly="1" fieldPosition="0">
        <references count="3">
          <reference field="3" count="1" selected="0">
            <x v="1"/>
          </reference>
          <reference field="4" count="0"/>
          <reference field="5" count="1" selected="0">
            <x v="0"/>
          </reference>
        </references>
      </pivotArea>
    </format>
    <format dxfId="155">
      <pivotArea dataOnly="0" labelOnly="1" fieldPosition="0">
        <references count="3">
          <reference field="3" count="1" selected="0">
            <x v="4"/>
          </reference>
          <reference field="4" count="0"/>
          <reference field="5" count="1" selected="0">
            <x v="2"/>
          </reference>
        </references>
      </pivotArea>
    </format>
    <format dxfId="154">
      <pivotArea dataOnly="0" labelOnly="1" outline="0" axis="axisValues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646CAE-E272-4613-879F-09B01D8151FF}" name="DinamicaALSMG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ta Margarita">
  <location ref="F4:G9" firstHeaderRow="1" firstDataRow="1" firstDataCol="1"/>
  <pivotFields count="8">
    <pivotField showAll="0"/>
    <pivotField dataField="1" showAll="0"/>
    <pivotField showAll="0"/>
    <pivotField axis="axisRow" showAll="0">
      <items count="4">
        <item x="0"/>
        <item x="1"/>
        <item m="1" x="2"/>
        <item t="default"/>
      </items>
    </pivotField>
    <pivotField axis="axisRow" showAll="0">
      <items count="3">
        <item x="0"/>
        <item m="1" x="1"/>
        <item t="default"/>
      </items>
    </pivotField>
    <pivotField axis="axisRow" showAll="0">
      <items count="5">
        <item sd="0" m="1" x="3"/>
        <item sd="0" x="0"/>
        <item sd="0" x="1"/>
        <item m="1" x="2"/>
        <item t="default"/>
      </items>
    </pivotField>
    <pivotField showAll="0"/>
    <pivotField numFmtId="14" showAll="0"/>
  </pivotFields>
  <rowFields count="3">
    <field x="3"/>
    <field x="5"/>
    <field x="4"/>
  </rowFields>
  <rowItems count="5">
    <i>
      <x/>
    </i>
    <i r="1">
      <x v="1"/>
    </i>
    <i>
      <x v="1"/>
    </i>
    <i r="1">
      <x v="2"/>
    </i>
    <i t="grand">
      <x/>
    </i>
  </rowItems>
  <colItems count="1">
    <i/>
  </colItems>
  <dataFields count="1">
    <dataField name="Cantidad" fld="1" subtotal="count" baseField="0" baseItem="0"/>
  </dataFields>
  <formats count="35">
    <format dxfId="224">
      <pivotArea collapsedLevelsAreSubtotals="1" fieldPosition="0">
        <references count="2">
          <reference field="3" count="1" selected="0">
            <x v="0"/>
          </reference>
          <reference field="5" count="1">
            <x v="0"/>
          </reference>
        </references>
      </pivotArea>
    </format>
    <format dxfId="223">
      <pivotArea collapsedLevelsAreSubtotals="1" fieldPosition="0">
        <references count="2">
          <reference field="3" count="1" selected="0">
            <x v="0"/>
          </reference>
          <reference field="5" count="1">
            <x v="1"/>
          </reference>
        </references>
      </pivotArea>
    </format>
    <format dxfId="222">
      <pivotArea dataOnly="0" labelOnly="1" fieldPosition="0">
        <references count="2">
          <reference field="3" count="1" selected="0">
            <x v="0"/>
          </reference>
          <reference field="5" count="2">
            <x v="0"/>
            <x v="1"/>
          </reference>
        </references>
      </pivotArea>
    </format>
    <format dxfId="221">
      <pivotArea type="all" dataOnly="0" outline="0" fieldPosition="0"/>
    </format>
    <format dxfId="220">
      <pivotArea outline="0" collapsedLevelsAreSubtotals="1" fieldPosition="0"/>
    </format>
    <format dxfId="219">
      <pivotArea field="3" type="button" dataOnly="0" labelOnly="1" outline="0" axis="axisRow" fieldPosition="0"/>
    </format>
    <format dxfId="218">
      <pivotArea dataOnly="0" labelOnly="1" fieldPosition="0">
        <references count="1">
          <reference field="3" count="0"/>
        </references>
      </pivotArea>
    </format>
    <format dxfId="217">
      <pivotArea dataOnly="0" labelOnly="1" grandRow="1" outline="0" fieldPosition="0"/>
    </format>
    <format dxfId="216">
      <pivotArea dataOnly="0" labelOnly="1" fieldPosition="0">
        <references count="2">
          <reference field="3" count="1" selected="0">
            <x v="0"/>
          </reference>
          <reference field="5" count="2">
            <x v="0"/>
            <x v="1"/>
          </reference>
        </references>
      </pivotArea>
    </format>
    <format dxfId="215">
      <pivotArea dataOnly="0" labelOnly="1" fieldPosition="0">
        <references count="2">
          <reference field="3" count="1" selected="0">
            <x v="1"/>
          </reference>
          <reference field="5" count="2">
            <x v="0"/>
            <x v="2"/>
          </reference>
        </references>
      </pivotArea>
    </format>
    <format dxfId="214">
      <pivotArea dataOnly="0" labelOnly="1" outline="0" axis="axisValues" fieldPosition="0"/>
    </format>
    <format dxfId="213">
      <pivotArea type="all" dataOnly="0" outline="0" fieldPosition="0"/>
    </format>
    <format dxfId="212">
      <pivotArea outline="0" collapsedLevelsAreSubtotals="1" fieldPosition="0"/>
    </format>
    <format dxfId="211">
      <pivotArea field="3" type="button" dataOnly="0" labelOnly="1" outline="0" axis="axisRow" fieldPosition="0"/>
    </format>
    <format dxfId="210">
      <pivotArea dataOnly="0" labelOnly="1" fieldPosition="0">
        <references count="1">
          <reference field="3" count="0"/>
        </references>
      </pivotArea>
    </format>
    <format dxfId="209">
      <pivotArea dataOnly="0" labelOnly="1" grandRow="1" outline="0" fieldPosition="0"/>
    </format>
    <format dxfId="208">
      <pivotArea dataOnly="0" labelOnly="1" fieldPosition="0">
        <references count="2">
          <reference field="3" count="1" selected="0">
            <x v="0"/>
          </reference>
          <reference field="5" count="1">
            <x v="1"/>
          </reference>
        </references>
      </pivotArea>
    </format>
    <format dxfId="207">
      <pivotArea dataOnly="0" labelOnly="1" fieldPosition="0">
        <references count="2">
          <reference field="3" count="1" selected="0">
            <x v="1"/>
          </reference>
          <reference field="5" count="1">
            <x v="2"/>
          </reference>
        </references>
      </pivotArea>
    </format>
    <format dxfId="206">
      <pivotArea dataOnly="0" labelOnly="1" outline="0" axis="axisValues" fieldPosition="0"/>
    </format>
    <format dxfId="205">
      <pivotArea type="all" dataOnly="0" outline="0" fieldPosition="0"/>
    </format>
    <format dxfId="204">
      <pivotArea outline="0" collapsedLevelsAreSubtotals="1" fieldPosition="0"/>
    </format>
    <format dxfId="203">
      <pivotArea field="3" type="button" dataOnly="0" labelOnly="1" outline="0" axis="axisRow" fieldPosition="0"/>
    </format>
    <format dxfId="202">
      <pivotArea dataOnly="0" labelOnly="1" fieldPosition="0">
        <references count="1">
          <reference field="3" count="0"/>
        </references>
      </pivotArea>
    </format>
    <format dxfId="201">
      <pivotArea dataOnly="0" labelOnly="1" grandRow="1" outline="0" fieldPosition="0"/>
    </format>
    <format dxfId="200">
      <pivotArea dataOnly="0" labelOnly="1" fieldPosition="0">
        <references count="2">
          <reference field="3" count="1" selected="0">
            <x v="0"/>
          </reference>
          <reference field="5" count="1">
            <x v="1"/>
          </reference>
        </references>
      </pivotArea>
    </format>
    <format dxfId="199">
      <pivotArea dataOnly="0" labelOnly="1" fieldPosition="0">
        <references count="2">
          <reference field="3" count="1" selected="0">
            <x v="1"/>
          </reference>
          <reference field="5" count="1">
            <x v="2"/>
          </reference>
        </references>
      </pivotArea>
    </format>
    <format dxfId="198">
      <pivotArea dataOnly="0" labelOnly="1" outline="0" axis="axisValues" fieldPosition="0"/>
    </format>
    <format dxfId="197">
      <pivotArea type="all" dataOnly="0" outline="0" fieldPosition="0"/>
    </format>
    <format dxfId="196">
      <pivotArea outline="0" collapsedLevelsAreSubtotals="1" fieldPosition="0"/>
    </format>
    <format dxfId="195">
      <pivotArea field="3" type="button" dataOnly="0" labelOnly="1" outline="0" axis="axisRow" fieldPosition="0"/>
    </format>
    <format dxfId="194">
      <pivotArea dataOnly="0" labelOnly="1" fieldPosition="0">
        <references count="1">
          <reference field="3" count="0"/>
        </references>
      </pivotArea>
    </format>
    <format dxfId="193">
      <pivotArea dataOnly="0" labelOnly="1" grandRow="1" outline="0" fieldPosition="0"/>
    </format>
    <format dxfId="192">
      <pivotArea dataOnly="0" labelOnly="1" fieldPosition="0">
        <references count="2">
          <reference field="3" count="1" selected="0">
            <x v="0"/>
          </reference>
          <reference field="5" count="1">
            <x v="1"/>
          </reference>
        </references>
      </pivotArea>
    </format>
    <format dxfId="191">
      <pivotArea dataOnly="0" labelOnly="1" fieldPosition="0">
        <references count="2">
          <reference field="3" count="1" selected="0">
            <x v="1"/>
          </reference>
          <reference field="5" count="1">
            <x v="2"/>
          </reference>
        </references>
      </pivotArea>
    </format>
    <format dxfId="19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FA4AB-1559-4AF6-8C79-C49649EFD831}" name="TablaDinámica5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Juanita">
  <location ref="K22:L30" firstHeaderRow="1" firstDataRow="1" firstDataCol="1"/>
  <pivotFields count="8">
    <pivotField showAll="0"/>
    <pivotField dataField="1" showAll="0"/>
    <pivotField showAll="0"/>
    <pivotField axis="axisRow" showAll="0">
      <items count="4">
        <item x="0"/>
        <item x="1"/>
        <item m="1" x="2"/>
        <item t="default"/>
      </items>
    </pivotField>
    <pivotField axis="axisRow" showAll="0">
      <items count="4">
        <item x="0"/>
        <item x="1"/>
        <item m="1" x="2"/>
        <item t="default"/>
      </items>
    </pivotField>
    <pivotField axis="axisRow" showAll="0">
      <items count="5">
        <item sd="0" x="2"/>
        <item x="0"/>
        <item sd="0" x="1"/>
        <item m="1" x="3"/>
        <item t="default" sd="0"/>
      </items>
    </pivotField>
    <pivotField showAll="0"/>
    <pivotField numFmtId="14" showAll="0"/>
  </pivotFields>
  <rowFields count="3">
    <field x="3"/>
    <field x="5"/>
    <field x="4"/>
  </rowFields>
  <rowItems count="8">
    <i>
      <x/>
    </i>
    <i r="1">
      <x v="1"/>
    </i>
    <i r="2">
      <x/>
    </i>
    <i r="2">
      <x v="1"/>
    </i>
    <i>
      <x v="1"/>
    </i>
    <i r="1">
      <x/>
    </i>
    <i r="1">
      <x v="2"/>
    </i>
    <i t="grand">
      <x/>
    </i>
  </rowItems>
  <colItems count="1">
    <i/>
  </colItems>
  <dataFields count="1">
    <dataField name="Cantidad" fld="1" subtotal="count" baseField="0" baseItem="0"/>
  </dataFields>
  <formats count="36">
    <format dxfId="260">
      <pivotArea dataOnly="0" labelOnly="1" fieldPosition="0">
        <references count="2">
          <reference field="3" count="1" selected="0">
            <x v="0"/>
          </reference>
          <reference field="5" count="1">
            <x v="1"/>
          </reference>
        </references>
      </pivotArea>
    </format>
    <format dxfId="259">
      <pivotArea type="all" dataOnly="0" outline="0" fieldPosition="0"/>
    </format>
    <format dxfId="258">
      <pivotArea outline="0" collapsedLevelsAreSubtotals="1" fieldPosition="0"/>
    </format>
    <format dxfId="257">
      <pivotArea field="3" type="button" dataOnly="0" labelOnly="1" outline="0" axis="axisRow" fieldPosition="0"/>
    </format>
    <format dxfId="256">
      <pivotArea dataOnly="0" labelOnly="1" fieldPosition="0">
        <references count="1">
          <reference field="3" count="0"/>
        </references>
      </pivotArea>
    </format>
    <format dxfId="255">
      <pivotArea dataOnly="0" labelOnly="1" grandRow="1" outline="0" fieldPosition="0"/>
    </format>
    <format dxfId="254">
      <pivotArea dataOnly="0" labelOnly="1" fieldPosition="0">
        <references count="2">
          <reference field="3" count="1" selected="0">
            <x v="0"/>
          </reference>
          <reference field="5" count="1">
            <x v="1"/>
          </reference>
        </references>
      </pivotArea>
    </format>
    <format dxfId="253">
      <pivotArea dataOnly="0" labelOnly="1" fieldPosition="0">
        <references count="2">
          <reference field="3" count="1" selected="0">
            <x v="1"/>
          </reference>
          <reference field="5" count="2">
            <x v="0"/>
            <x v="2"/>
          </reference>
        </references>
      </pivotArea>
    </format>
    <format dxfId="252">
      <pivotArea dataOnly="0" labelOnly="1" outline="0" axis="axisValues" fieldPosition="0"/>
    </format>
    <format dxfId="251">
      <pivotArea type="all" dataOnly="0" outline="0" fieldPosition="0"/>
    </format>
    <format dxfId="250">
      <pivotArea outline="0" collapsedLevelsAreSubtotals="1" fieldPosition="0"/>
    </format>
    <format dxfId="249">
      <pivotArea field="3" type="button" dataOnly="0" labelOnly="1" outline="0" axis="axisRow" fieldPosition="0"/>
    </format>
    <format dxfId="248">
      <pivotArea dataOnly="0" labelOnly="1" fieldPosition="0">
        <references count="1">
          <reference field="3" count="0"/>
        </references>
      </pivotArea>
    </format>
    <format dxfId="247">
      <pivotArea dataOnly="0" labelOnly="1" grandRow="1" outline="0" fieldPosition="0"/>
    </format>
    <format dxfId="246">
      <pivotArea dataOnly="0" labelOnly="1" fieldPosition="0">
        <references count="2">
          <reference field="3" count="1" selected="0">
            <x v="0"/>
          </reference>
          <reference field="5" count="1">
            <x v="1"/>
          </reference>
        </references>
      </pivotArea>
    </format>
    <format dxfId="245">
      <pivotArea dataOnly="0" labelOnly="1" fieldPosition="0">
        <references count="2">
          <reference field="3" count="1" selected="0">
            <x v="1"/>
          </reference>
          <reference field="5" count="2">
            <x v="0"/>
            <x v="2"/>
          </reference>
        </references>
      </pivotArea>
    </format>
    <format dxfId="244">
      <pivotArea dataOnly="0" labelOnly="1" outline="0" axis="axisValues" fieldPosition="0"/>
    </format>
    <format dxfId="243">
      <pivotArea type="all" dataOnly="0" outline="0" fieldPosition="0"/>
    </format>
    <format dxfId="242">
      <pivotArea outline="0" collapsedLevelsAreSubtotals="1" fieldPosition="0"/>
    </format>
    <format dxfId="241">
      <pivotArea field="3" type="button" dataOnly="0" labelOnly="1" outline="0" axis="axisRow" fieldPosition="0"/>
    </format>
    <format dxfId="240">
      <pivotArea dataOnly="0" labelOnly="1" fieldPosition="0">
        <references count="1">
          <reference field="3" count="0"/>
        </references>
      </pivotArea>
    </format>
    <format dxfId="239">
      <pivotArea dataOnly="0" labelOnly="1" grandRow="1" outline="0" fieldPosition="0"/>
    </format>
    <format dxfId="238">
      <pivotArea dataOnly="0" labelOnly="1" fieldPosition="0">
        <references count="2">
          <reference field="3" count="1" selected="0">
            <x v="0"/>
          </reference>
          <reference field="5" count="1">
            <x v="1"/>
          </reference>
        </references>
      </pivotArea>
    </format>
    <format dxfId="237">
      <pivotArea dataOnly="0" labelOnly="1" fieldPosition="0">
        <references count="2">
          <reference field="3" count="1" selected="0">
            <x v="1"/>
          </reference>
          <reference field="5" count="2">
            <x v="0"/>
            <x v="2"/>
          </reference>
        </references>
      </pivotArea>
    </format>
    <format dxfId="236">
      <pivotArea dataOnly="0" labelOnly="1" outline="0" axis="axisValues" fieldPosition="0"/>
    </format>
    <format dxfId="235">
      <pivotArea type="all" dataOnly="0" outline="0" fieldPosition="0"/>
    </format>
    <format dxfId="234">
      <pivotArea outline="0" collapsedLevelsAreSubtotals="1" fieldPosition="0"/>
    </format>
    <format dxfId="233">
      <pivotArea field="3" type="button" dataOnly="0" labelOnly="1" outline="0" axis="axisRow" fieldPosition="0"/>
    </format>
    <format dxfId="232">
      <pivotArea dataOnly="0" labelOnly="1" fieldPosition="0">
        <references count="1">
          <reference field="3" count="0"/>
        </references>
      </pivotArea>
    </format>
    <format dxfId="231">
      <pivotArea dataOnly="0" labelOnly="1" grandRow="1" outline="0" fieldPosition="0"/>
    </format>
    <format dxfId="230">
      <pivotArea dataOnly="0" labelOnly="1" fieldPosition="0">
        <references count="2">
          <reference field="3" count="1" selected="0">
            <x v="0"/>
          </reference>
          <reference field="5" count="1">
            <x v="1"/>
          </reference>
        </references>
      </pivotArea>
    </format>
    <format dxfId="229">
      <pivotArea dataOnly="0" labelOnly="1" fieldPosition="0">
        <references count="2">
          <reference field="3" count="1" selected="0">
            <x v="1"/>
          </reference>
          <reference field="5" count="2">
            <x v="0"/>
            <x v="2"/>
          </reference>
        </references>
      </pivotArea>
    </format>
    <format dxfId="228">
      <pivotArea dataOnly="0" labelOnly="1" fieldPosition="0">
        <references count="3">
          <reference field="3" count="1" selected="0">
            <x v="0"/>
          </reference>
          <reference field="4" count="0"/>
          <reference field="5" count="1" selected="0">
            <x v="1"/>
          </reference>
        </references>
      </pivotArea>
    </format>
    <format dxfId="227">
      <pivotArea dataOnly="0" labelOnly="1" outline="0" axis="axisValues" fieldPosition="0"/>
    </format>
    <format dxfId="226">
      <pivotArea collapsedLevelsAreSubtotals="1" fieldPosition="0">
        <references count="2">
          <reference field="3" count="1" selected="0">
            <x v="1"/>
          </reference>
          <reference field="5" count="1">
            <x v="2"/>
          </reference>
        </references>
      </pivotArea>
    </format>
    <format dxfId="225">
      <pivotArea dataOnly="0" labelOnly="1" fieldPosition="0">
        <references count="2">
          <reference field="3" count="1" selected="0">
            <x v="1"/>
          </reference>
          <reference field="5" count="1">
            <x v="2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9D180-6FFC-4B96-831F-59DFF1FB24A9}" name="DinamicaALCC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oca-Cola">
  <location ref="F11:G15" firstHeaderRow="1" firstDataRow="1" firstDataCol="1"/>
  <pivotFields count="8">
    <pivotField showAll="0"/>
    <pivotField dataField="1" showAll="0"/>
    <pivotField showAll="0"/>
    <pivotField axis="axisRow" showAll="0">
      <items count="3">
        <item m="1" x="1"/>
        <item x="0"/>
        <item t="default"/>
      </items>
    </pivotField>
    <pivotField axis="axisRow" showAll="0">
      <items count="4">
        <item m="1" x="1"/>
        <item m="1" x="2"/>
        <item x="0"/>
        <item t="default"/>
      </items>
    </pivotField>
    <pivotField axis="axisRow" showAll="0">
      <items count="4">
        <item sd="0" m="1" x="1"/>
        <item sd="0" m="1" x="2"/>
        <item x="0"/>
        <item t="default"/>
      </items>
    </pivotField>
    <pivotField showAll="0"/>
    <pivotField numFmtId="14" showAll="0"/>
  </pivotFields>
  <rowFields count="3">
    <field x="3"/>
    <field x="5"/>
    <field x="4"/>
  </rowFields>
  <rowItems count="4">
    <i>
      <x v="1"/>
    </i>
    <i r="1">
      <x v="2"/>
    </i>
    <i r="2">
      <x v="2"/>
    </i>
    <i t="grand">
      <x/>
    </i>
  </rowItems>
  <colItems count="1">
    <i/>
  </colItems>
  <dataFields count="1">
    <dataField name="Cantidad" fld="1" subtotal="count" baseField="0" baseItem="0"/>
  </dataFields>
  <formats count="31">
    <format dxfId="291">
      <pivotArea type="all" dataOnly="0" outline="0" fieldPosition="0"/>
    </format>
    <format dxfId="290">
      <pivotArea outline="0" collapsedLevelsAreSubtotals="1" fieldPosition="0"/>
    </format>
    <format dxfId="289">
      <pivotArea field="3" type="button" dataOnly="0" labelOnly="1" outline="0" axis="axisRow" fieldPosition="0"/>
    </format>
    <format dxfId="288">
      <pivotArea dataOnly="0" labelOnly="1" fieldPosition="0">
        <references count="1">
          <reference field="3" count="0"/>
        </references>
      </pivotArea>
    </format>
    <format dxfId="287">
      <pivotArea dataOnly="0" labelOnly="1" grandRow="1" outline="0" fieldPosition="0"/>
    </format>
    <format dxfId="286">
      <pivotArea dataOnly="0" labelOnly="1" fieldPosition="0">
        <references count="2">
          <reference field="3" count="0" selected="0"/>
          <reference field="5" count="0"/>
        </references>
      </pivotArea>
    </format>
    <format dxfId="285">
      <pivotArea dataOnly="0" labelOnly="1" fieldPosition="0">
        <references count="3">
          <reference field="3" count="0" selected="0"/>
          <reference field="4" count="0"/>
          <reference field="5" count="1" selected="0">
            <x v="0"/>
          </reference>
        </references>
      </pivotArea>
    </format>
    <format dxfId="284">
      <pivotArea dataOnly="0" labelOnly="1" fieldPosition="0">
        <references count="3">
          <reference field="3" count="0" selected="0"/>
          <reference field="4" count="0"/>
          <reference field="5" count="1" selected="0">
            <x v="1"/>
          </reference>
        </references>
      </pivotArea>
    </format>
    <format dxfId="283">
      <pivotArea dataOnly="0" labelOnly="1" outline="0" axis="axisValues" fieldPosition="0"/>
    </format>
    <format dxfId="282">
      <pivotArea type="all" dataOnly="0" outline="0" fieldPosition="0"/>
    </format>
    <format dxfId="281">
      <pivotArea outline="0" collapsedLevelsAreSubtotals="1" fieldPosition="0"/>
    </format>
    <format dxfId="280">
      <pivotArea field="3" type="button" dataOnly="0" labelOnly="1" outline="0" axis="axisRow" fieldPosition="0"/>
    </format>
    <format dxfId="279">
      <pivotArea dataOnly="0" labelOnly="1" fieldPosition="0">
        <references count="1">
          <reference field="3" count="0"/>
        </references>
      </pivotArea>
    </format>
    <format dxfId="278">
      <pivotArea dataOnly="0" labelOnly="1" grandRow="1" outline="0" fieldPosition="0"/>
    </format>
    <format dxfId="277">
      <pivotArea dataOnly="0" labelOnly="1" fieldPosition="0">
        <references count="2">
          <reference field="3" count="0" selected="0"/>
          <reference field="5" count="0"/>
        </references>
      </pivotArea>
    </format>
    <format dxfId="276">
      <pivotArea dataOnly="0" labelOnly="1" outline="0" axis="axisValues" fieldPosition="0"/>
    </format>
    <format dxfId="275">
      <pivotArea type="all" dataOnly="0" outline="0" fieldPosition="0"/>
    </format>
    <format dxfId="274">
      <pivotArea outline="0" collapsedLevelsAreSubtotals="1" fieldPosition="0"/>
    </format>
    <format dxfId="273">
      <pivotArea field="3" type="button" dataOnly="0" labelOnly="1" outline="0" axis="axisRow" fieldPosition="0"/>
    </format>
    <format dxfId="272">
      <pivotArea dataOnly="0" labelOnly="1" fieldPosition="0">
        <references count="1">
          <reference field="3" count="0"/>
        </references>
      </pivotArea>
    </format>
    <format dxfId="271">
      <pivotArea dataOnly="0" labelOnly="1" grandRow="1" outline="0" fieldPosition="0"/>
    </format>
    <format dxfId="270">
      <pivotArea dataOnly="0" labelOnly="1" fieldPosition="0">
        <references count="2">
          <reference field="3" count="0" selected="0"/>
          <reference field="5" count="0"/>
        </references>
      </pivotArea>
    </format>
    <format dxfId="269">
      <pivotArea dataOnly="0" labelOnly="1" outline="0" axis="axisValues" fieldPosition="0"/>
    </format>
    <format dxfId="268">
      <pivotArea type="all" dataOnly="0" outline="0" fieldPosition="0"/>
    </format>
    <format dxfId="267">
      <pivotArea outline="0" collapsedLevelsAreSubtotals="1" fieldPosition="0"/>
    </format>
    <format dxfId="266">
      <pivotArea field="3" type="button" dataOnly="0" labelOnly="1" outline="0" axis="axisRow" fieldPosition="0"/>
    </format>
    <format dxfId="265">
      <pivotArea dataOnly="0" labelOnly="1" fieldPosition="0">
        <references count="1">
          <reference field="3" count="0"/>
        </references>
      </pivotArea>
    </format>
    <format dxfId="264">
      <pivotArea dataOnly="0" labelOnly="1" grandRow="1" outline="0" fieldPosition="0"/>
    </format>
    <format dxfId="263">
      <pivotArea dataOnly="0" labelOnly="1" fieldPosition="0">
        <references count="2">
          <reference field="3" count="0" selected="0"/>
          <reference field="5" count="0"/>
        </references>
      </pivotArea>
    </format>
    <format dxfId="262">
      <pivotArea dataOnly="0" labelOnly="1" fieldPosition="0">
        <references count="3">
          <reference field="3" count="0" selected="0"/>
          <reference field="4" count="0"/>
          <reference field="5" count="0" selected="0"/>
        </references>
      </pivotArea>
    </format>
    <format dxfId="261">
      <pivotArea dataOnly="0" labelOnly="1" outline="0" axis="axisValues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116A1-7CE6-4237-A385-7B3C08D29ACA}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ta Marta">
  <location ref="F17:G37" firstHeaderRow="1" firstDataRow="1" firstDataCol="1"/>
  <pivotFields count="8">
    <pivotField showAll="0"/>
    <pivotField dataField="1" showAll="0"/>
    <pivotField showAll="0"/>
    <pivotField axis="axisRow" showAll="0">
      <items count="6">
        <item x="3"/>
        <item x="1"/>
        <item x="0"/>
        <item x="2"/>
        <item m="1" x="4"/>
        <item t="default"/>
      </items>
    </pivotField>
    <pivotField axis="axisRow" showAll="0">
      <items count="6">
        <item x="0"/>
        <item x="1"/>
        <item m="1" x="4"/>
        <item m="1" x="3"/>
        <item x="2"/>
        <item t="default"/>
      </items>
    </pivotField>
    <pivotField axis="axisRow" showAll="0">
      <items count="6">
        <item x="3"/>
        <item x="1"/>
        <item x="0"/>
        <item x="2"/>
        <item m="1" x="4"/>
        <item t="default"/>
      </items>
    </pivotField>
    <pivotField showAll="0"/>
    <pivotField numFmtId="14" showAll="0"/>
  </pivotFields>
  <rowFields count="3">
    <field x="3"/>
    <field x="5"/>
    <field x="4"/>
  </rowFields>
  <rowItems count="20">
    <i>
      <x/>
    </i>
    <i r="1">
      <x v="1"/>
    </i>
    <i r="2">
      <x/>
    </i>
    <i r="2">
      <x v="1"/>
    </i>
    <i>
      <x v="1"/>
    </i>
    <i r="1">
      <x/>
    </i>
    <i r="2">
      <x/>
    </i>
    <i r="2">
      <x v="1"/>
    </i>
    <i r="1">
      <x v="1"/>
    </i>
    <i r="2">
      <x/>
    </i>
    <i r="2">
      <x v="1"/>
    </i>
    <i r="2">
      <x v="4"/>
    </i>
    <i>
      <x v="2"/>
    </i>
    <i r="1">
      <x v="2"/>
    </i>
    <i r="2">
      <x/>
    </i>
    <i>
      <x v="3"/>
    </i>
    <i r="1">
      <x v="3"/>
    </i>
    <i r="2">
      <x/>
    </i>
    <i r="2">
      <x v="1"/>
    </i>
    <i t="grand">
      <x/>
    </i>
  </rowItems>
  <colItems count="1">
    <i/>
  </colItems>
  <dataFields count="1">
    <dataField name="Cantidad" fld="1" subtotal="count" baseField="3" baseItem="0"/>
  </dataFields>
  <formats count="15">
    <format dxfId="306">
      <pivotArea type="all" dataOnly="0" outline="0" fieldPosition="0"/>
    </format>
    <format dxfId="305">
      <pivotArea outline="0" collapsedLevelsAreSubtotals="1" fieldPosition="0"/>
    </format>
    <format dxfId="304">
      <pivotArea field="3" type="button" dataOnly="0" labelOnly="1" outline="0" axis="axisRow" fieldPosition="0"/>
    </format>
    <format dxfId="303">
      <pivotArea dataOnly="0" labelOnly="1" fieldPosition="0">
        <references count="1">
          <reference field="3" count="0"/>
        </references>
      </pivotArea>
    </format>
    <format dxfId="302">
      <pivotArea dataOnly="0" labelOnly="1" grandRow="1" outline="0" fieldPosition="0"/>
    </format>
    <format dxfId="301">
      <pivotArea dataOnly="0" labelOnly="1" fieldPosition="0">
        <references count="2">
          <reference field="3" count="1" selected="0">
            <x v="0"/>
          </reference>
          <reference field="5" count="1">
            <x v="1"/>
          </reference>
        </references>
      </pivotArea>
    </format>
    <format dxfId="300">
      <pivotArea dataOnly="0" labelOnly="1" fieldPosition="0">
        <references count="2">
          <reference field="3" count="1" selected="0">
            <x v="1"/>
          </reference>
          <reference field="5" count="2">
            <x v="0"/>
            <x v="1"/>
          </reference>
        </references>
      </pivotArea>
    </format>
    <format dxfId="299">
      <pivotArea dataOnly="0" labelOnly="1" fieldPosition="0">
        <references count="2">
          <reference field="3" count="1" selected="0">
            <x v="2"/>
          </reference>
          <reference field="5" count="1">
            <x v="2"/>
          </reference>
        </references>
      </pivotArea>
    </format>
    <format dxfId="298">
      <pivotArea dataOnly="0" labelOnly="1" fieldPosition="0">
        <references count="2">
          <reference field="3" count="1" selected="0">
            <x v="3"/>
          </reference>
          <reference field="5" count="1">
            <x v="3"/>
          </reference>
        </references>
      </pivotArea>
    </format>
    <format dxfId="297">
      <pivotArea dataOnly="0" labelOnly="1" fieldPosition="0">
        <references count="3">
          <reference field="3" count="1" selected="0">
            <x v="0"/>
          </reference>
          <reference field="4" count="0"/>
          <reference field="5" count="1" selected="0">
            <x v="1"/>
          </reference>
        </references>
      </pivotArea>
    </format>
    <format dxfId="296">
      <pivotArea dataOnly="0" labelOnly="1" fieldPosition="0">
        <references count="3">
          <reference field="3" count="1" selected="0">
            <x v="1"/>
          </reference>
          <reference field="4" count="0"/>
          <reference field="5" count="1" selected="0">
            <x v="0"/>
          </reference>
        </references>
      </pivotArea>
    </format>
    <format dxfId="295">
      <pivotArea dataOnly="0" labelOnly="1" fieldPosition="0">
        <references count="3">
          <reference field="3" count="1" selected="0">
            <x v="1"/>
          </reference>
          <reference field="4" count="0"/>
          <reference field="5" count="1" selected="0">
            <x v="1"/>
          </reference>
        </references>
      </pivotArea>
    </format>
    <format dxfId="294">
      <pivotArea dataOnly="0" labelOnly="1" fieldPosition="0">
        <references count="3">
          <reference field="3" count="1" selected="0">
            <x v="2"/>
          </reference>
          <reference field="4" count="1">
            <x v="0"/>
          </reference>
          <reference field="5" count="1" selected="0">
            <x v="2"/>
          </reference>
        </references>
      </pivotArea>
    </format>
    <format dxfId="293">
      <pivotArea dataOnly="0" labelOnly="1" fieldPosition="0">
        <references count="3">
          <reference field="3" count="1" selected="0">
            <x v="3"/>
          </reference>
          <reference field="4" count="0"/>
          <reference field="5" count="1" selected="0">
            <x v="3"/>
          </reference>
        </references>
      </pivotArea>
    </format>
    <format dxfId="292">
      <pivotArea dataOnly="0" labelOnly="1" outline="0" axis="axisValues" fieldPosition="0"/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B9157B-EF35-48FD-83D9-47BC397B9C4B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17">
    <pivotField showAll="0"/>
    <pivotField showAll="0"/>
    <pivotField showAll="0"/>
    <pivotField dataField="1" showAll="0"/>
    <pivotField showAll="0"/>
    <pivotField axis="axisRow" showAll="0">
      <items count="9">
        <item x="2"/>
        <item x="1"/>
        <item m="1" x="6"/>
        <item x="3"/>
        <item x="0"/>
        <item m="1" x="7"/>
        <item x="4"/>
        <item m="1" x="5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3"/>
    </i>
    <i>
      <x v="4"/>
    </i>
    <i>
      <x v="6"/>
    </i>
    <i t="grand">
      <x/>
    </i>
  </rowItems>
  <colItems count="1">
    <i/>
  </colItems>
  <dataFields count="1">
    <dataField name="Cuenta de TIPO BUS" fld="3" subtotal="count" baseField="0" baseItem="0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4EBD0-B4A5-4AB6-947F-4679E1DFF2C9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Tipo de flota">
  <location ref="S3:T13" firstHeaderRow="1" firstDataRow="1" firstDataCol="1"/>
  <pivotFields count="17">
    <pivotField axis="axisRow" showAll="0">
      <items count="4">
        <item x="1"/>
        <item x="0"/>
        <item m="1" x="2"/>
        <item t="default"/>
      </items>
    </pivotField>
    <pivotField dataField="1" showAll="0"/>
    <pivotField showAll="0"/>
    <pivotField showAll="0"/>
    <pivotField axis="axisRow" showAll="0">
      <items count="6">
        <item x="0"/>
        <item x="1"/>
        <item x="2"/>
        <item m="1" x="4"/>
        <item x="3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4"/>
  </rowFields>
  <rowItems count="10">
    <i>
      <x/>
    </i>
    <i r="1">
      <x/>
    </i>
    <i r="1">
      <x v="1"/>
    </i>
    <i r="1">
      <x v="2"/>
    </i>
    <i r="1">
      <x v="4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N° Buses" fld="1" subtotal="count" baseField="0" baseItem="0"/>
  </dataFields>
  <formats count="16">
    <format dxfId="487">
      <pivotArea type="all" dataOnly="0" outline="0" fieldPosition="0"/>
    </format>
    <format dxfId="486">
      <pivotArea outline="0" collapsedLevelsAreSubtotals="1" fieldPosition="0"/>
    </format>
    <format dxfId="485">
      <pivotArea field="0" type="button" dataOnly="0" labelOnly="1" outline="0" axis="axisRow" fieldPosition="0"/>
    </format>
    <format dxfId="484">
      <pivotArea dataOnly="0" labelOnly="1" fieldPosition="0">
        <references count="1">
          <reference field="0" count="0"/>
        </references>
      </pivotArea>
    </format>
    <format dxfId="483">
      <pivotArea dataOnly="0" labelOnly="1" grandRow="1" outline="0" fieldPosition="0"/>
    </format>
    <format dxfId="482">
      <pivotArea dataOnly="0" labelOnly="1" fieldPosition="0">
        <references count="2">
          <reference field="0" count="1" selected="0">
            <x v="0"/>
          </reference>
          <reference field="4" count="0"/>
        </references>
      </pivotArea>
    </format>
    <format dxfId="481">
      <pivotArea dataOnly="0" labelOnly="1" fieldPosition="0">
        <references count="2">
          <reference field="0" count="1" selected="0">
            <x v="1"/>
          </reference>
          <reference field="4" count="0"/>
        </references>
      </pivotArea>
    </format>
    <format dxfId="480">
      <pivotArea dataOnly="0" labelOnly="1" outline="0" axis="axisValues" fieldPosition="0"/>
    </format>
    <format dxfId="479">
      <pivotArea outline="0" collapsedLevelsAreSubtotals="1" fieldPosition="0"/>
    </format>
    <format dxfId="478">
      <pivotArea dataOnly="0" labelOnly="1" outline="0" axis="axisValues" fieldPosition="0"/>
    </format>
    <format dxfId="477">
      <pivotArea dataOnly="0" labelOnly="1" fieldPosition="0">
        <references count="1">
          <reference field="0" count="0"/>
        </references>
      </pivotArea>
    </format>
    <format dxfId="476">
      <pivotArea dataOnly="0" labelOnly="1" fieldPosition="0">
        <references count="2">
          <reference field="0" count="1" selected="0">
            <x v="0"/>
          </reference>
          <reference field="4" count="0"/>
        </references>
      </pivotArea>
    </format>
    <format dxfId="475">
      <pivotArea field="0" type="button" dataOnly="0" labelOnly="1" outline="0" axis="axisRow" fieldPosition="0"/>
    </format>
    <format dxfId="474">
      <pivotArea dataOnly="0" labelOnly="1" grandRow="1" outline="0" fieldPosition="0"/>
    </format>
    <format dxfId="473">
      <pivotArea field="0" type="button" dataOnly="0" labelOnly="1" outline="0" axis="axisRow" fieldPosition="0"/>
    </format>
    <format dxfId="472">
      <pivotArea dataOnly="0" labelOnly="1" grandRow="1" outline="0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EBD936-CB4B-462D-AEAF-354D2B300FC3}" name="ALRET" displayName="ALRET" ref="A1:H59" totalsRowShown="0" headerRowDxfId="448" dataDxfId="446" headerRowBorderDxfId="447" tableBorderDxfId="445">
  <autoFilter ref="A1:H59" xr:uid="{0BEBD936-CB4B-462D-AEAF-354D2B300FC3}"/>
  <sortState xmlns:xlrd2="http://schemas.microsoft.com/office/spreadsheetml/2017/richdata2" ref="A2:H52">
    <sortCondition ref="G1:G52"/>
  </sortState>
  <tableColumns count="8">
    <tableColumn id="9" xr3:uid="{7B267844-BD28-4449-815D-8DFF53BF8F9E}" name="EMPRESA" dataDxfId="444"/>
    <tableColumn id="1" xr3:uid="{036925A5-4B6E-470E-B55F-5BFD27A9C398}" name="PPU" dataDxfId="443"/>
    <tableColumn id="2" xr3:uid="{FE847337-58DE-4D9F-9537-3EBEBE845BE5}" name="INTERNO" dataDxfId="442"/>
    <tableColumn id="3" xr3:uid="{291E259A-30C9-4439-AA94-9ECE0C88A6BB}" name="TIPO BUS" dataDxfId="441"/>
    <tableColumn id="4" xr3:uid="{311EDA4E-0841-4332-B6F2-C990CA5255F7}" name="TIPO FLOTA" dataDxfId="440"/>
    <tableColumn id="5" xr3:uid="{B8458794-0858-4251-9116-E92D569C0514}" name="MARCA CHASIS" dataDxfId="439"/>
    <tableColumn id="6" xr3:uid="{7A66BD68-76B5-4330-8F67-0A40A0FF4AF3}" name="TERMINAL OP" dataDxfId="438"/>
    <tableColumn id="7" xr3:uid="{B676EE32-F118-4715-8F49-3B21AE15BE18}" name="Inicio Operación" dataDxfId="43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101929-9BE2-4AE4-86F9-96582F8455B6}" name="ALSMG" displayName="ALSMG" ref="A1:H29" totalsRowShown="0" headerRowDxfId="436" dataDxfId="434" headerRowBorderDxfId="435" tableBorderDxfId="433">
  <autoFilter ref="A1:H29" xr:uid="{73101929-9BE2-4AE4-86F9-96582F8455B6}"/>
  <sortState xmlns:xlrd2="http://schemas.microsoft.com/office/spreadsheetml/2017/richdata2" ref="A2:H29">
    <sortCondition ref="F1:F29"/>
  </sortState>
  <tableColumns count="8">
    <tableColumn id="1" xr3:uid="{2445622B-6992-4454-8CBE-07567214DCE9}" name="EMPRESA" dataDxfId="432"/>
    <tableColumn id="2" xr3:uid="{DB5F53A9-3209-4F02-B55F-B92C22EB07AD}" name="PLACA" dataDxfId="431"/>
    <tableColumn id="3" xr3:uid="{4620A855-39FC-4E2C-B3A9-8B85CCAB2923}" name="INTERNO" dataDxfId="430"/>
    <tableColumn id="4" xr3:uid="{163A50C4-0111-450C-A275-C43DE25B0751}" name="TIPO BUS" dataDxfId="429"/>
    <tableColumn id="5" xr3:uid="{FAA241CC-BCD3-44F3-8D84-37021D48C31C}" name="TIPO FLOTA" dataDxfId="428"/>
    <tableColumn id="6" xr3:uid="{C0B6371D-A18B-4FB2-9406-AE0247335424}" name="MARCA CHASIS" dataDxfId="427"/>
    <tableColumn id="7" xr3:uid="{A6BCAFC3-F564-401B-9490-76745E4F4132}" name="TERMINAL OP" dataDxfId="426"/>
    <tableColumn id="8" xr3:uid="{6E8F4313-331F-4BA8-BEBF-EFD4C7AB35AF}" name="Inicio Operación" dataDxfId="42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83AA91-4C51-4B4E-B423-A530FB4E24EC}" name="ALCC" displayName="ALCC" ref="A1:H2" insertRow="1" totalsRowShown="0" headerRowDxfId="424" dataDxfId="422" headerRowBorderDxfId="423" tableBorderDxfId="421">
  <autoFilter ref="A1:H2" xr:uid="{1783AA91-4C51-4B4E-B423-A530FB4E24EC}"/>
  <sortState xmlns:xlrd2="http://schemas.microsoft.com/office/spreadsheetml/2017/richdata2" ref="A2:H16">
    <sortCondition ref="C2:C16"/>
  </sortState>
  <tableColumns count="8">
    <tableColumn id="1" xr3:uid="{0F4BA416-7CBA-4FB2-9FBC-4D8E0D066D46}" name="EMPRESA" dataDxfId="420"/>
    <tableColumn id="2" xr3:uid="{6CE1B97E-ADE2-4C7E-88C0-2D1EB3E4DBE3}" name="PLACA" dataDxfId="419"/>
    <tableColumn id="3" xr3:uid="{47A8EC51-9774-4F04-8C6C-B55C08345FE9}" name="INTERNO" dataDxfId="418"/>
    <tableColumn id="4" xr3:uid="{E441643C-7463-468B-937B-BCDC11B86619}" name="TIPO BUS" dataDxfId="417"/>
    <tableColumn id="5" xr3:uid="{0C0586A3-0275-4E24-BBED-C2FA7E42CB8D}" name="TIPO FLOTA" dataDxfId="416"/>
    <tableColumn id="6" xr3:uid="{05D6DA8D-6CF3-49B3-BFED-9483CF425F84}" name="MARCA CHASIS" dataDxfId="415"/>
    <tableColumn id="7" xr3:uid="{58F5D421-EC04-4A13-9FBF-A1082A9FD2A2}" name="TERMINAL OP" dataDxfId="414"/>
    <tableColumn id="8" xr3:uid="{7D3F4B1D-50D3-4EE5-AF34-40C400210C5F}" name="Inicio Operación" dataDxfId="41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2F7975-A065-4931-BD62-130434BC8799}" name="ALCON" displayName="ALCON" ref="A1:H129" totalsRowShown="0" headerRowDxfId="412" dataDxfId="410" headerRowBorderDxfId="411" tableBorderDxfId="409">
  <autoFilter ref="A1:H129" xr:uid="{C22F7975-A065-4931-BD62-130434BC8799}"/>
  <tableColumns count="8">
    <tableColumn id="1" xr3:uid="{BF4ADAA4-5D89-4A58-AB49-391DA1C585E2}" name="EMPRESA" dataDxfId="408"/>
    <tableColumn id="2" xr3:uid="{85703ADC-3FA7-45EC-AE05-7E80D207FAA7}" name="PLACA" dataDxfId="407"/>
    <tableColumn id="3" xr3:uid="{0EE0DD5D-8AED-4DED-A91F-5C901B81D96F}" name="INTERNO" dataDxfId="406"/>
    <tableColumn id="4" xr3:uid="{44E2C2C2-1806-4AC8-BEEC-7562849A14D5}" name="TIPO BUS" dataDxfId="405"/>
    <tableColumn id="5" xr3:uid="{C1DA8DD7-E2C0-46A7-830A-0610F097284A}" name="TIPO FLOTA" dataDxfId="404"/>
    <tableColumn id="6" xr3:uid="{1F1B7E08-0B01-4AB1-AB49-50E6FAFDF52A}" name="MARCA CHASIS" dataDxfId="403"/>
    <tableColumn id="7" xr3:uid="{AE9CBCA8-6923-4858-854B-6453BB4112C1}" name="TERMINAL OP" dataDxfId="402"/>
    <tableColumn id="8" xr3:uid="{B9493022-4241-4AF5-9853-5D34379B1D7B}" name="Inicio Operación" dataDxfId="40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187A59-2696-44C1-A822-4DC6806A5814}" name="ALSMT" displayName="ALSMT" ref="A1:H148" totalsRowShown="0" headerRowDxfId="390" dataDxfId="388" headerRowBorderDxfId="389" tableBorderDxfId="387">
  <autoFilter ref="A1:H148" xr:uid="{77187A59-2696-44C1-A822-4DC6806A5814}"/>
  <sortState xmlns:xlrd2="http://schemas.microsoft.com/office/spreadsheetml/2017/richdata2" ref="A2:H116">
    <sortCondition sortBy="cellColor" ref="D1:D116" dxfId="386"/>
  </sortState>
  <tableColumns count="8">
    <tableColumn id="1" xr3:uid="{6A14F199-7602-4B6C-854F-9E582AF4CE29}" name="EMPRESA" dataDxfId="385"/>
    <tableColumn id="2" xr3:uid="{2B370059-0BDA-4554-89BC-1D71E4ED0806}" name="PLACA" dataDxfId="384"/>
    <tableColumn id="3" xr3:uid="{C3C89013-A726-4BEE-A6BF-509FCE15D8FC}" name="INTERNO" dataDxfId="383"/>
    <tableColumn id="4" xr3:uid="{892F482F-871B-44B7-8F7F-A44186EA7E48}" name="TIPO BUS" dataDxfId="382"/>
    <tableColumn id="5" xr3:uid="{7EC24CD7-5134-433D-84AA-5216C7BEE366}" name="TIPO FLOTA" dataDxfId="381"/>
    <tableColumn id="6" xr3:uid="{E91F7CFA-4BE9-41AB-8ADE-D81991CF28C0}" name="MARCA CHASIS" dataDxfId="380"/>
    <tableColumn id="7" xr3:uid="{5071B147-5B75-447F-8E1A-8AA63240C053}" name="TERMINAL OP" dataDxfId="379"/>
    <tableColumn id="8" xr3:uid="{DC59649F-FF39-40F7-908B-D3EF0F205C53}" name="Inicio Operación" dataDxfId="378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663676-2C62-4BC2-8A04-E1361B2509DC}" name="OMJJA" displayName="OMJJA" ref="A1:H64" totalsRowShown="0" headerRowDxfId="377" dataDxfId="375" headerRowBorderDxfId="376" tableBorderDxfId="374">
  <autoFilter ref="A1:H64" xr:uid="{0D663676-2C62-4BC2-8A04-E1361B2509DC}"/>
  <tableColumns count="8">
    <tableColumn id="1" xr3:uid="{5D6481A8-50D7-4877-83CB-4097A019699E}" name="EMPRESA" dataDxfId="373"/>
    <tableColumn id="2" xr3:uid="{98954F03-FB3F-40F7-8742-2A3F053DDA6B}" name="PLACA" dataDxfId="372"/>
    <tableColumn id="3" xr3:uid="{32EA0771-DB59-48FA-8352-E89682B4F921}" name="INTERNO" dataDxfId="371"/>
    <tableColumn id="4" xr3:uid="{06E84E95-831A-4649-9BDF-46ECA58E1424}" name="TIPO BUS" dataDxfId="370"/>
    <tableColumn id="5" xr3:uid="{A96168B8-5665-4D2A-8DAF-867175C3B5F5}" name="TIPO FLOTA" dataDxfId="369"/>
    <tableColumn id="6" xr3:uid="{48173C9F-E1EE-43E9-9280-BA214800D8A4}" name="MARCA CHASIS" dataDxfId="368"/>
    <tableColumn id="7" xr3:uid="{6C34029C-8834-46E3-AF96-48746D900CFB}" name="TERMINAL OP" dataDxfId="367"/>
    <tableColumn id="8" xr3:uid="{F7BF170F-52AF-4DF3-AA30-D47B93C5011B}" name="Inicio Operación" dataDxfId="366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6242641-094F-41BD-B63D-F543413FAEC4}" name="OMPAN" displayName="OMPAN" ref="A1:H142" totalsRowShown="0" headerRowDxfId="365" dataDxfId="363" headerRowBorderDxfId="364" tableBorderDxfId="362">
  <autoFilter ref="A1:H142" xr:uid="{E6242641-094F-41BD-B63D-F543413FAEC4}"/>
  <tableColumns count="8">
    <tableColumn id="1" xr3:uid="{BE771135-2AEB-4065-85B4-EC23D657A245}" name="EMPRESA" dataDxfId="361"/>
    <tableColumn id="2" xr3:uid="{AA3A416B-7E6E-4856-ACBE-3A6519475035}" name="PLACA" dataDxfId="360"/>
    <tableColumn id="3" xr3:uid="{170D70EE-57C3-4DDB-AAE5-4792CB4E23EC}" name="INTERNO" dataDxfId="359"/>
    <tableColumn id="4" xr3:uid="{A1D27C2B-8251-4EC5-80F1-8EF7444024D3}" name="TIPO BUS" dataDxfId="358"/>
    <tableColumn id="5" xr3:uid="{DA58DB4A-846C-4F3F-A63B-4C071F7A7486}" name="TIPO FLOTA" dataDxfId="357"/>
    <tableColumn id="6" xr3:uid="{CA12841A-7729-4DC9-A242-69977C1DE143}" name="MARCA CHASIS" dataDxfId="356"/>
    <tableColumn id="7" xr3:uid="{F6A7B55B-7AF4-47FC-8C7D-820A8F9EDBE8}" name="TERMINAL OP" dataDxfId="355"/>
    <tableColumn id="8" xr3:uid="{C19C0D66-DB9C-4C1F-A7EA-14623F36F62C}" name="Inicio Operación" dataDxfId="354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5D1031-EC68-49AB-A830-F5F3302CF3C9}" name="OMJNT" displayName="OMJNT" ref="A1:H173" totalsRowShown="0" headerRowDxfId="345" dataDxfId="343" headerRowBorderDxfId="344" tableBorderDxfId="342">
  <autoFilter ref="A1:H173" xr:uid="{E6242641-094F-41BD-B63D-F543413FAEC4}"/>
  <sortState xmlns:xlrd2="http://schemas.microsoft.com/office/spreadsheetml/2017/richdata2" ref="A2:H173">
    <sortCondition ref="C1:C173"/>
  </sortState>
  <tableColumns count="8">
    <tableColumn id="1" xr3:uid="{0797A735-9111-4EFD-9736-45CB7200A319}" name="EMPRESA" dataDxfId="341"/>
    <tableColumn id="2" xr3:uid="{F166FFFA-4EFF-4B91-89E7-B248A2F82909}" name="PLACA" dataDxfId="340"/>
    <tableColumn id="3" xr3:uid="{987AC19B-3596-4CDE-A064-E18103EBE0A2}" name="INTERNO" dataDxfId="339"/>
    <tableColumn id="4" xr3:uid="{A5C27DF6-3BE3-44D5-AE28-B644B69CBAD8}" name="TIPO BUS" dataDxfId="338"/>
    <tableColumn id="5" xr3:uid="{BC1F041F-4274-4E8A-8B42-303E6DF8EC48}" name="TIPO FLOTA" dataDxfId="337"/>
    <tableColumn id="6" xr3:uid="{5723CA18-8A86-46EE-9214-40A570A620B5}" name="MARCA CHASIS" dataDxfId="336"/>
    <tableColumn id="7" xr3:uid="{88945E77-5821-4392-87D5-51F5AF9644F5}" name="TERMINAL OP" dataDxfId="335"/>
    <tableColumn id="8" xr3:uid="{1D9221A5-FC06-4029-A136-0A12E75CC386}" name="Inicio Operación" dataDxfId="334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C4B2394-2BB9-4BEF-9F1D-89D80637F2BC}" name="OMJNT12" displayName="OMJNT12" ref="A1:I28" totalsRowShown="0" headerRowDxfId="333" dataDxfId="331" headerRowBorderDxfId="332" tableBorderDxfId="330">
  <autoFilter ref="A1:I28" xr:uid="{E6242641-094F-41BD-B63D-F543413FAEC4}"/>
  <tableColumns count="9">
    <tableColumn id="1" xr3:uid="{3D8A3C7F-69EF-4ADF-8B3F-FD0456D08F3F}" name="EMPRESA" dataDxfId="329"/>
    <tableColumn id="2" xr3:uid="{846D444F-1113-4C82-A4E2-D610F82EA34D}" name="PLACA" dataDxfId="328"/>
    <tableColumn id="3" xr3:uid="{E04B141C-90B0-4E85-8CC4-EE26C5BF8498}" name="INTERNO" dataDxfId="327"/>
    <tableColumn id="4" xr3:uid="{10D3025A-3BDC-490F-808F-2BDE7B1790B3}" name="TIPO BUS" dataDxfId="326"/>
    <tableColumn id="5" xr3:uid="{AEC16EE5-B099-474F-96F0-3213912B29A9}" name="TIPO FLOTA" dataDxfId="325"/>
    <tableColumn id="6" xr3:uid="{8CB24E12-8883-4259-BC38-0FCF763A51F1}" name="MARCA CHASIS" dataDxfId="324"/>
    <tableColumn id="9" xr3:uid="{CA23F58F-1426-4DFE-8176-E6B44B316707}" name="TERMINAL APOYO" dataDxfId="323"/>
    <tableColumn id="8" xr3:uid="{BBE71242-98AD-495F-82BF-8AE2472EB71C}" name="Inicio Operación" dataDxfId="322"/>
    <tableColumn id="7" xr3:uid="{4A70DF79-29F1-4801-AE8D-F70804111C06}" name="Observaciones" dataDxfId="32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C6C13C0-B4B9-4F7A-A699-BCF293EA8A4B}" name="OMJNT1216" displayName="OMJNT1216" ref="A1:J3" totalsRowShown="0" headerRowDxfId="320" dataDxfId="318" headerRowBorderDxfId="319" tableBorderDxfId="317">
  <autoFilter ref="A1:J3" xr:uid="{E6242641-094F-41BD-B63D-F543413FAEC4}"/>
  <tableColumns count="10">
    <tableColumn id="1" xr3:uid="{5D00F769-98BC-4F1E-86E0-03CA0FE116E4}" name="EMPRESA" dataDxfId="316"/>
    <tableColumn id="2" xr3:uid="{CA9510AC-1178-4B80-BB26-F07F6F1F740A}" name="PLACA" dataDxfId="315"/>
    <tableColumn id="3" xr3:uid="{66B78829-7631-463D-9AC6-1947987AABD9}" name="INTERNO" dataDxfId="314"/>
    <tableColumn id="4" xr3:uid="{20F205B4-2F20-4DFF-9D5D-4D6C33C71A57}" name="TIPO BUS" dataDxfId="313"/>
    <tableColumn id="5" xr3:uid="{FA6F0F37-05B0-4677-88CA-838D65D7758E}" name="TIPO FLOTA" dataDxfId="312"/>
    <tableColumn id="6" xr3:uid="{9ECE0E39-3C5D-438C-B239-176AA59CC923}" name="MARCA CHASIS" dataDxfId="311"/>
    <tableColumn id="9" xr3:uid="{9C3A1BB4-330E-4C47-8109-C05A56682113}" name="TERMINAL APOYO" dataDxfId="310"/>
    <tableColumn id="8" xr3:uid="{A3D82576-161F-4E04-9F69-5B5A53A46F78}" name="Inicio Operación" dataDxfId="309"/>
    <tableColumn id="10" xr3:uid="{7C90832B-0192-4C87-A34A-146867491FB2}" name="ORIGEN" dataDxfId="308"/>
    <tableColumn id="7" xr3:uid="{4A35D7C2-5CD6-44C4-9D61-646C922A4ACB}" name="Observaciones" dataDxfId="307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00D04DC-0524-4D36-860D-678FCCA6E2A8}" name="Tabla17" displayName="Tabla17" ref="A1:L39" totalsRowShown="0" tableBorderDxfId="91">
  <autoFilter ref="A1:L39" xr:uid="{B00D04DC-0524-4D36-860D-678FCCA6E2A8}"/>
  <tableColumns count="12">
    <tableColumn id="1" xr3:uid="{2D62DE34-E464-4445-ADBF-31F5E567BFC7}" name="PLACA" dataDxfId="90"/>
    <tableColumn id="2" xr3:uid="{68BB50A7-8020-4B7B-9743-1754A21BEF55}" name="INTERNO" dataDxfId="89"/>
    <tableColumn id="3" xr3:uid="{3B429C03-9B87-46D9-8129-8E8852838354}" name="TIPO BUS" dataDxfId="88"/>
    <tableColumn id="4" xr3:uid="{FBDC8370-E630-4E5B-8074-78424B64EC2E}" name="TIPO FLOTA" dataDxfId="87"/>
    <tableColumn id="5" xr3:uid="{11DAF2C4-BE78-4F2A-9581-1CA63EFFEA63}" name="MARCA CHASIS" dataDxfId="86"/>
    <tableColumn id="6" xr3:uid="{BB693248-2134-4510-897F-B22B78E25E09}" name="Estado" dataDxfId="85"/>
    <tableColumn id="7" xr3:uid="{F7AF4DF3-7E2A-4CEE-BDD7-FD92F45CE12B}" name="TERMINAL Actual" dataDxfId="84"/>
    <tableColumn id="8" xr3:uid="{0C664759-356B-49E3-82C6-EE9E270E6B0B}" name="Terminal Destino" dataDxfId="83"/>
    <tableColumn id="9" xr3:uid="{ACB49F36-2F07-4421-BD86-58F1D8AA7D58}" name="Movimiento" dataDxfId="82"/>
    <tableColumn id="10" xr3:uid="{8A1E3E18-4FE9-4983-8741-9A112E0E7EBD}" name="Servicio" dataDxfId="81">
      <calculatedColumnFormula>_xlfn.XLOOKUP(Tabla17[[#This Row],[PLACA]],Tabla18[Patente Bus],Tabla18[[Servicio ]])</calculatedColumnFormula>
    </tableColumn>
    <tableColumn id="11" xr3:uid="{9B905102-8310-4B4A-B015-AF7EB01E92DF}" name="Terminal" dataDxfId="80">
      <calculatedColumnFormula>_xlfn.XLOOKUP(Tabla17[[#This Row],[Servicio]],Tabla19[CÓDIGO TS],Tabla19[TERMINAL])</calculatedColumnFormula>
    </tableColumn>
    <tableColumn id="12" xr3:uid="{3F7992D6-9B8E-4F0D-8073-1EF8BEC3DD6E}" name="terminal alicia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E4A7845-75F1-400B-A11D-97FD27F0D7D2}" name="Tabla18" displayName="Tabla18" ref="O18:S1112" totalsRowShown="0">
  <autoFilter ref="O18:S1112" xr:uid="{DE4A7845-75F1-400B-A11D-97FD27F0D7D2}"/>
  <sortState xmlns:xlrd2="http://schemas.microsoft.com/office/spreadsheetml/2017/richdata2" ref="O19:S1112">
    <sortCondition ref="Q18:Q1112"/>
  </sortState>
  <tableColumns count="5">
    <tableColumn id="1" xr3:uid="{8B98969B-A6DB-4090-92F4-14C27945FF15}" name="Codigo Bus"/>
    <tableColumn id="2" xr3:uid="{74D3F449-1BB5-4B2A-AB82-DEDE85BF6D45}" name="Patente Bus"/>
    <tableColumn id="3" xr3:uid="{5D21BFB0-9280-4BD2-8120-D736C2EFF0FF}" name="Servicio "/>
    <tableColumn id="4" xr3:uid="{AC34D0C6-F23D-4E1A-9004-00984D36DEB4}" name="Km Comerciales Recorridos"/>
    <tableColumn id="5" xr3:uid="{4265B811-C694-47C7-B6F9-C0A5F2FFB849}" name="KM Total Recorrido del Period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648DB3D-DC42-4C0B-A1FD-195F67A39E95}" name="Tabla19" displayName="Tabla19" ref="V18:X69" totalsRowShown="0" headerRowDxfId="79" tableBorderDxfId="78" headerRowCellStyle="Normal 2 2">
  <autoFilter ref="V18:X69" xr:uid="{3648DB3D-DC42-4C0B-A1FD-195F67A39E95}"/>
  <tableColumns count="3">
    <tableColumn id="1" xr3:uid="{8B90751D-A8B1-4DEE-B4F7-E0ADB0670B2A}" name="TERMINAL" dataDxfId="77" dataCellStyle="Normal 2 2"/>
    <tableColumn id="2" xr3:uid="{467A19D5-F4D7-4C6C-9244-B2713A322A57}" name="SERVICIO" dataDxfId="76" dataCellStyle="Normal 2 2"/>
    <tableColumn id="3" xr3:uid="{252FB014-1085-4691-8D66-D61FBC63B1C5}" name="CÓDIGO TS" dataDxfId="75" dataCellStyle="Normal 2 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541CEAB-AD36-49FF-BA60-8033047C34E9}" name="Tabla20" displayName="Tabla20" ref="Z17:AC35" totalsRowShown="0" headerRowDxfId="74" dataDxfId="73">
  <autoFilter ref="Z17:AC35" xr:uid="{F541CEAB-AD36-49FF-BA60-8033047C34E9}"/>
  <tableColumns count="4">
    <tableColumn id="1" xr3:uid="{01E2A5CA-1971-44A5-81EC-F9FB9F22CB7A}" name="PPU" dataDxfId="72"/>
    <tableColumn id="2" xr3:uid="{9066AA3D-072F-4857-A370-606CCAE11748}" name="INTERNO" dataDxfId="71"/>
    <tableColumn id="3" xr3:uid="{C9AF309A-2D1E-4A67-9B2E-BA4A0DCA597B}" name="MARCA " dataDxfId="70"/>
    <tableColumn id="4" xr3:uid="{83C35AA1-56F5-4469-80F5-67B82D1278A5}" name="TERMINA" dataDxfId="6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EF56A99-F2D3-4FD8-891D-3DF7AD31AAF3}" name="DitrbFlota" displayName="DitrbFlota" ref="A1:Q741" headerRowDxfId="471" dataDxfId="469" totalsRowDxfId="467" headerRowBorderDxfId="470" tableBorderDxfId="468">
  <autoFilter ref="A1:Q741" xr:uid="{3EF56A99-F2D3-4FD8-891D-3DF7AD31AAF3}">
    <filterColumn colId="6">
      <filters>
        <filter val="JUANITA"/>
      </filters>
    </filterColumn>
  </autoFilter>
  <tableColumns count="17">
    <tableColumn id="1" xr3:uid="{90F9A5BE-9F48-4A23-ABCB-D16739A6F5BE}" name="EMPRESA" dataDxfId="466"/>
    <tableColumn id="3" xr3:uid="{7DF83E6C-911E-4B0E-8989-22BB960A8C0B}" name="PLACA" dataDxfId="465"/>
    <tableColumn id="4" xr3:uid="{A506FE4B-F90A-44A9-9264-04045FD89F92}" name="INTERNO" dataDxfId="464"/>
    <tableColumn id="5" xr3:uid="{244C1B8D-0C52-4517-9072-84ED5B5F3C9A}" name="TIPO BUS" dataDxfId="463"/>
    <tableColumn id="6" xr3:uid="{530ACD2F-0A90-46E5-9F09-73B702BEDD94}" name="TIPO FLOTA" dataDxfId="462"/>
    <tableColumn id="7" xr3:uid="{D9F4746D-2C27-40DE-B57D-03618254776F}" name="MARCA CHASIS" dataDxfId="461"/>
    <tableColumn id="8" xr3:uid="{94BD7F71-D5CD-4C9A-8979-031CBDC8FACF}" name="TERMINAL OP" dataDxfId="460"/>
    <tableColumn id="16" xr3:uid="{95A2C5A8-0C15-4944-AD13-9D46D1B6AE57}" name="OPERACIÓN" dataDxfId="459"/>
    <tableColumn id="9" xr3:uid="{C61F1857-E40A-45F9-8570-2E7B5931F630}" name="Inicio Operación" dataDxfId="458"/>
    <tableColumn id="12" xr3:uid="{F6391472-169D-4303-BE6C-23965C56426E}" name="ORIGEN" dataDxfId="457"/>
    <tableColumn id="10" xr3:uid="{9EFB9B98-E9F5-4283-A419-F1C68EBB6141}" name="Planta Repuesto" dataDxfId="456"/>
    <tableColumn id="11" xr3:uid="{51C40CFD-E3AB-48DA-B994-C7EF2B593D97}" name="DTPM" dataDxfId="455"/>
    <tableColumn id="2" xr3:uid="{AB97242B-C935-4180-991C-537E67DF6FF6}" name="Observación" dataDxfId="454"/>
    <tableColumn id="13" xr3:uid="{4B60FA9D-0535-4CD8-BC98-F5B7E4E28EA7}" name="Busqueda" dataDxfId="453">
      <calculatedColumnFormula>DitrbFlota[[#This Row],[TIPO BUS]]&amp;"-"&amp;DitrbFlota[[#This Row],[MARCA CHASIS]]</calculatedColumnFormula>
    </tableColumn>
    <tableColumn id="14" xr3:uid="{1B45C133-957A-4611-8069-733A7AA8709C}" name="Mes inicio operación" dataDxfId="452">
      <calculatedColumnFormula>MONTH(DitrbFlota[[#This Row],[Inicio Operación]])</calculatedColumnFormula>
    </tableColumn>
    <tableColumn id="15" xr3:uid="{D3B3A021-DF16-415F-AAF9-F7FC4C1B32AD}" name="Año inicio operación" dataDxfId="451">
      <calculatedColumnFormula>YEAR(DitrbFlota[[#This Row],[Inicio Operación]])</calculatedColumnFormula>
    </tableColumn>
    <tableColumn id="17" xr3:uid="{E8486EFA-E47C-4DB1-AB39-3332B2B6CCE2}" name="plazas" dataDxfId="450" totalsRowDxfId="449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8AA0C4C-5A0D-4971-9162-98BFBE7B2D74}" name="Tabla14" displayName="Tabla14" ref="A1:Q11" totalsRowShown="0" headerRowDxfId="68" dataDxfId="67" tableBorderDxfId="66">
  <autoFilter ref="A1:Q11" xr:uid="{58AA0C4C-5A0D-4971-9162-98BFBE7B2D74}"/>
  <tableColumns count="17">
    <tableColumn id="1" xr3:uid="{F353F334-5057-4B36-9970-6E224806EDBD}" name="EMPRESA" dataDxfId="65"/>
    <tableColumn id="2" xr3:uid="{8A30E2E5-0B69-42C7-A7E5-E69F686DF27D}" name="PLACA" dataDxfId="64"/>
    <tableColumn id="3" xr3:uid="{3E0FFEAE-DDC2-4408-80D4-D96F454E5832}" name="INTERNO" dataDxfId="63"/>
    <tableColumn id="4" xr3:uid="{11E93B4D-005C-4B2F-9C3A-D46B9277F1F8}" name="TIPO BUS" dataDxfId="62"/>
    <tableColumn id="5" xr3:uid="{ABF4D9F7-8263-4D71-9F8E-5E8DDE0D7944}" name="TIPO FLOTA" dataDxfId="61"/>
    <tableColumn id="6" xr3:uid="{3E175FCC-EF6F-4F3E-864D-C109F522329F}" name="MARCA CHASIS" dataDxfId="60"/>
    <tableColumn id="7" xr3:uid="{EDB25AED-64FB-4543-B42C-A5B8DDA09195}" name="TERMINAL OP" dataDxfId="59"/>
    <tableColumn id="8" xr3:uid="{CBB1FBFE-97EE-44C0-97D8-A927BBBE4BCC}" name="Inicio Operación" dataDxfId="58"/>
    <tableColumn id="9" xr3:uid="{9C8E978F-DD8E-4E2B-A35C-A848C2F2CCAE}" name="ORIGEN" dataDxfId="57"/>
    <tableColumn id="10" xr3:uid="{FAF10AA6-39DC-4131-B80E-3D3C0FC857BF}" name="Planta Repuesto" dataDxfId="56"/>
    <tableColumn id="11" xr3:uid="{BD32BD6A-DBBC-4F53-814A-CF8D8590F4B1}" name="DTPM" dataDxfId="55"/>
    <tableColumn id="12" xr3:uid="{2D1AC83A-CDF0-4CD1-9022-E32E2919C992}" name="Observación" dataDxfId="54"/>
    <tableColumn id="13" xr3:uid="{9752874E-B637-4ECF-A10C-D149A366DC79}" name="Busqueda" dataDxfId="53">
      <calculatedColumnFormula>Tabla14[[#This Row],[TIPO BUS]]&amp;"-"&amp;Tabla14[[#This Row],[MARCA CHASIS]]</calculatedColumnFormula>
    </tableColumn>
    <tableColumn id="14" xr3:uid="{CBA0C7AE-7850-452E-8196-12F13B86C2A5}" name="Mes inicio operación" dataDxfId="52">
      <calculatedColumnFormula>MONTH(Tabla14[[#This Row],[Inicio Operación]])</calculatedColumnFormula>
    </tableColumn>
    <tableColumn id="15" xr3:uid="{7B201BF2-1940-45F1-A306-458DE96BC77F}" name="Año inicio operación" dataDxfId="51">
      <calculatedColumnFormula>YEAR(Tabla14[[#This Row],[Inicio Operación]])</calculatedColumnFormula>
    </tableColumn>
    <tableColumn id="17" xr3:uid="{9D755E6D-366C-4B0F-BBD4-0FA91F7CE41B}" name="DADO DE BAJA SEREMITT" dataDxfId="50"/>
    <tableColumn id="16" xr3:uid="{FA3B7650-05BD-4075-9793-B4E1F1EEB321}" name="Chatarra" dataDxfId="49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8007B49-59CF-4E83-8453-E6DBE96809C5}" name="inicioTerminales" displayName="inicioTerminales" ref="A1:N750" headerRowDxfId="48" dataDxfId="47" totalsRowDxfId="46">
  <autoFilter ref="A1:N750" xr:uid="{48007B49-59CF-4E83-8453-E6DBE96809C5}"/>
  <tableColumns count="14">
    <tableColumn id="1" xr3:uid="{A5FACA88-717D-4ECE-9378-501CBE84970B}" name="EMPRESA" dataDxfId="45"/>
    <tableColumn id="2" xr3:uid="{E2680409-8675-43D6-AC4D-A2AAE126E33E}" name="PLACA" dataDxfId="44"/>
    <tableColumn id="3" xr3:uid="{BBE6B240-0725-46D8-8892-12DA8C3242AF}" name="INTERNO" dataDxfId="43"/>
    <tableColumn id="4" xr3:uid="{F24F01D7-3FCC-43F3-8462-BFE094FAE90F}" name="TIPO BUS" dataDxfId="42"/>
    <tableColumn id="5" xr3:uid="{A2E6C1EC-DD39-47FD-9B3D-FBF5A1960AA3}" name="TIPO FLOTA" dataDxfId="41"/>
    <tableColumn id="6" xr3:uid="{B1795578-257B-450F-B248-DA7EBD17CCD8}" name="MARCA CHASIS" dataDxfId="40"/>
    <tableColumn id="13" xr3:uid="{3C7C2E22-FF0D-44F2-A9D5-6651D7723D95}" name="Busqueda 1" dataDxfId="39">
      <calculatedColumnFormula>_xlfn.CONCAT(inicioTerminales[[#This Row],[MARCA CHASIS]]," - ", inicioTerminales[[#This Row],[TIPO BUS]])</calculatedColumnFormula>
    </tableColumn>
    <tableColumn id="7" xr3:uid="{36D4A6FB-275F-497D-8F50-115221334EB4}" name="TERMINAL OP" dataDxfId="38"/>
    <tableColumn id="8" xr3:uid="{C13BD838-B76B-4D54-A145-8B9A5546CC7C}" name="Inicio Operación" dataDxfId="37"/>
    <tableColumn id="9" xr3:uid="{98013493-9E5A-4A29-A2C0-7B1F8F4FF7A0}" name="ORIGEN" dataDxfId="36"/>
    <tableColumn id="12" xr3:uid="{5DA7ECF2-A811-44F0-B240-F63290F39BE6}" name="Planta Repuesto" dataDxfId="35"/>
    <tableColumn id="10" xr3:uid="{779744BC-B1E3-4318-83B6-4AC7898DA5B1}" name="Terminal" dataDxfId="34"/>
    <tableColumn id="11" xr3:uid="{DC7BF720-BD6A-4928-9646-01182D23A82B}" name="DTPM" dataDxfId="33" totalsRowDxfId="32"/>
    <tableColumn id="14" xr3:uid="{37222238-042F-4D4C-BC06-1267364915D4}" name="busqueda 2" dataDxfId="31" totalsRowDxfId="30">
      <calculatedColumnFormula>inicioTerminales[[#This Row],[TIPO BUS]]&amp;"-"&amp;inicioTerminales[[#This Row],[MARCA CHASIS]]</calculatedColumnFormula>
    </tableColumn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113BAF3-074C-4BE6-9144-8F42BE790ADD}" name="Tabla12" displayName="Tabla12" ref="Q1:AA10" totalsRowShown="0" headerRowDxfId="29" dataDxfId="28">
  <autoFilter ref="Q1:AA10" xr:uid="{3113BAF3-074C-4BE6-9144-8F42BE790ADD}"/>
  <sortState xmlns:xlrd2="http://schemas.microsoft.com/office/spreadsheetml/2017/richdata2" ref="Q2:AA10">
    <sortCondition ref="Q1:Q10"/>
  </sortState>
  <tableColumns count="11">
    <tableColumn id="1" xr3:uid="{16C6B4FF-ABA4-4A71-A3BC-4AD25B1E732F}" name="Inicio Operación" dataDxfId="27"/>
    <tableColumn id="2" xr3:uid="{F2BE9C67-8F81-44CF-9A05-8A6BC4A3CEA2}" name="Terminal" dataDxfId="26"/>
    <tableColumn id="5" xr3:uid="{D57EB901-ED65-4D96-A6F7-88239BE76A72}" name="SCANIA - B2" dataDxfId="25">
      <calculatedColumnFormula>COUNTIFS($I:$I,$Q2,$G:$G,S$1)</calculatedColumnFormula>
    </tableColumn>
    <tableColumn id="9" xr3:uid="{1422AC67-25B7-48A0-ABAF-975AB2E1D083}" name="FOTON - BE" dataDxfId="24">
      <calculatedColumnFormula>COUNTIFS($I:$I,$Q2,$G:$G,T$1)</calculatedColumnFormula>
    </tableColumn>
    <tableColumn id="3" xr3:uid="{B75CF349-6048-4F49-A4D2-2BADF326D291}" name="MERCEDES BENZ - B2" dataDxfId="23">
      <calculatedColumnFormula>COUNTIFS($I:$I,$Q2,$G:$G,U$1)</calculatedColumnFormula>
    </tableColumn>
    <tableColumn id="8" xr3:uid="{0095D74E-F573-4C12-9B91-D171B65B71FB}" name="MERCEDES BENZ - C2" dataDxfId="22">
      <calculatedColumnFormula>COUNTIFS($I:$I,$Q2,$G:$G,V$1)</calculatedColumnFormula>
    </tableColumn>
    <tableColumn id="10" xr3:uid="{FDF601B8-FC30-41B0-AF2B-B132B1482727}" name="MERCEDES BENZ - BPAL" dataDxfId="21">
      <calculatedColumnFormula>COUNTIFS($I:$I,$Q2,$G:$G,W$1)</calculatedColumnFormula>
    </tableColumn>
    <tableColumn id="6" xr3:uid="{86B7FC87-5BE5-42F8-A22B-00E163E09D90}" name="VOLVO - A2" dataDxfId="20">
      <calculatedColumnFormula>COUNTIFS($I:$I,$Q2,$G:$G,X$1)</calculatedColumnFormula>
    </tableColumn>
    <tableColumn id="11" xr3:uid="{49AA50B4-AF99-42EF-AD82-FD6D9C4B0C41}" name="VOLVO - B2" dataDxfId="19">
      <calculatedColumnFormula>COUNTIFS($I:$I,$Q2,$G:$G,Y$1)</calculatedColumnFormula>
    </tableColumn>
    <tableColumn id="7" xr3:uid="{5FF05441-4AF1-4134-81EE-001DA8968EF3}" name="VOLVO - C2" dataDxfId="18">
      <calculatedColumnFormula>COUNTIFS($I:$I,$Q2,$G:$G,Z$1)</calculatedColumnFormula>
    </tableColumn>
    <tableColumn id="12" xr3:uid="{38B05240-507F-493B-BEA7-CE7F9D04CEFC}" name="YUTONG - BE" dataDxfId="17">
      <calculatedColumnFormula>COUNTIFS($I:$I,$Q2,$G:$G,AA$1)</calculatedColumnFormula>
    </tableColumn>
  </tableColumns>
  <tableStyleInfo name="TableStyleMedium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E0EC3ED-F7F2-43F6-81C6-0A323E9631C6}" name="Tabla13" displayName="Tabla13" ref="A47:F83" totalsRowCount="1" headerRowDxfId="16" dataDxfId="15">
  <autoFilter ref="A47:F82" xr:uid="{CE0EC3ED-F7F2-43F6-81C6-0A323E9631C6}"/>
  <tableColumns count="6">
    <tableColumn id="1" xr3:uid="{B1A91E41-7E8E-4AFE-AE00-CB9993B08776}" name="Terminal" totalsRowLabel="Total" dataDxfId="14" totalsRowDxfId="13"/>
    <tableColumn id="2" xr3:uid="{D2945B5F-D258-410E-8379-3C6944F0EF6E}" name="CÓDIGO TERMINAL" dataDxfId="12" totalsRowDxfId="11"/>
    <tableColumn id="4" xr3:uid="{DA5A7789-40FE-40B8-BFF2-5D90D453380F}" name="Tipo Bus" dataDxfId="10" totalsRowDxfId="9"/>
    <tableColumn id="5" xr3:uid="{C8786CC8-0E67-4555-B91E-42408907124C}" name="MÁXIMO PATIO" totalsRowFunction="sum" dataDxfId="8" totalsRowDxfId="7"/>
    <tableColumn id="6" xr3:uid="{A5DDACB9-CC44-4FC9-9BFE-C7211A93A746}" name="FOB/FR" totalsRowFunction="sum" dataDxfId="6" totalsRowDxfId="5"/>
    <tableColumn id="7" xr3:uid="{D921B9BE-A0C5-4ADC-AA90-B3EF2F657E19}" name="Diferencia" totalsRowFunction="sum" dataDxfId="4" totalsRowDxfId="3">
      <calculatedColumnFormula>Tabla13[[#This Row],[FOB/FR]]-Tabla13[[#This Row],[MÁXIMO PATIO]]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printerSettings" Target="../printerSettings/printerSettings9.bin"/><Relationship Id="rId4" Type="http://schemas.openxmlformats.org/officeDocument/2006/relationships/pivotTable" Target="../pivotTables/pivotTable12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0.xml"/><Relationship Id="rId3" Type="http://schemas.openxmlformats.org/officeDocument/2006/relationships/pivotTable" Target="../pivotTables/pivotTable15.xml"/><Relationship Id="rId7" Type="http://schemas.openxmlformats.org/officeDocument/2006/relationships/pivotTable" Target="../pivotTables/pivotTable19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pivotTable" Target="../pivotTables/pivotTable18.xml"/><Relationship Id="rId5" Type="http://schemas.openxmlformats.org/officeDocument/2006/relationships/pivotTable" Target="../pivotTables/pivotTable17.xml"/><Relationship Id="rId4" Type="http://schemas.openxmlformats.org/officeDocument/2006/relationships/pivotTable" Target="../pivotTables/pivotTable16.xml"/><Relationship Id="rId9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4" Type="http://schemas.openxmlformats.org/officeDocument/2006/relationships/table" Target="../tables/table1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2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C730-1379-4A8B-B579-92950C1EEFB3}">
  <sheetPr codeName="Hoja1"/>
  <dimension ref="A1:L59"/>
  <sheetViews>
    <sheetView zoomScale="80" zoomScaleNormal="80" workbookViewId="0">
      <selection activeCell="A2" sqref="A2"/>
    </sheetView>
  </sheetViews>
  <sheetFormatPr baseColWidth="10" defaultColWidth="11.42578125" defaultRowHeight="15"/>
  <cols>
    <col min="1" max="1" width="14" bestFit="1" customWidth="1"/>
    <col min="2" max="2" width="11.28515625" bestFit="1" customWidth="1"/>
    <col min="3" max="3" width="13.5703125" bestFit="1" customWidth="1"/>
    <col min="4" max="4" width="13.7109375" bestFit="1" customWidth="1"/>
    <col min="5" max="5" width="15.7109375" bestFit="1" customWidth="1"/>
    <col min="6" max="6" width="19" bestFit="1" customWidth="1"/>
    <col min="7" max="7" width="26" bestFit="1" customWidth="1"/>
    <col min="8" max="8" width="20" bestFit="1" customWidth="1"/>
    <col min="9" max="9" width="10.42578125" customWidth="1"/>
    <col min="10" max="10" width="7.5703125" customWidth="1"/>
    <col min="11" max="11" width="14.28515625" bestFit="1" customWidth="1"/>
    <col min="12" max="12" width="25.7109375" bestFit="1" customWidth="1"/>
    <col min="13" max="13" width="16.85546875" customWidth="1"/>
  </cols>
  <sheetData>
    <row r="1" spans="1:12">
      <c r="A1" s="10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K1" s="1" t="s">
        <v>8</v>
      </c>
      <c r="L1" s="1" t="s">
        <v>9</v>
      </c>
    </row>
    <row r="2" spans="1:12">
      <c r="A2" s="2" t="s">
        <v>10</v>
      </c>
      <c r="B2" s="7" t="s">
        <v>11</v>
      </c>
      <c r="C2" s="2">
        <v>1002</v>
      </c>
      <c r="D2" s="4" t="s">
        <v>12</v>
      </c>
      <c r="E2" s="4" t="s">
        <v>13</v>
      </c>
      <c r="F2" s="2" t="s">
        <v>14</v>
      </c>
      <c r="G2" s="2" t="s">
        <v>15</v>
      </c>
      <c r="H2" s="8">
        <v>44912</v>
      </c>
      <c r="I2" s="37"/>
      <c r="K2" s="5" t="s">
        <v>16</v>
      </c>
      <c r="L2" s="119" t="s">
        <v>17</v>
      </c>
    </row>
    <row r="3" spans="1:12">
      <c r="A3" s="2" t="s">
        <v>10</v>
      </c>
      <c r="B3" s="7" t="s">
        <v>18</v>
      </c>
      <c r="C3" s="2">
        <v>1003</v>
      </c>
      <c r="D3" s="4" t="s">
        <v>12</v>
      </c>
      <c r="E3" s="4" t="s">
        <v>13</v>
      </c>
      <c r="F3" s="2" t="s">
        <v>14</v>
      </c>
      <c r="G3" s="2" t="s">
        <v>15</v>
      </c>
      <c r="H3" s="8">
        <v>44912</v>
      </c>
      <c r="I3" s="37"/>
      <c r="K3" s="5" t="s">
        <v>19</v>
      </c>
      <c r="L3" s="119" t="s">
        <v>20</v>
      </c>
    </row>
    <row r="4" spans="1:12">
      <c r="A4" s="2" t="s">
        <v>10</v>
      </c>
      <c r="B4" s="7" t="s">
        <v>21</v>
      </c>
      <c r="C4" s="2">
        <v>1004</v>
      </c>
      <c r="D4" s="4" t="s">
        <v>12</v>
      </c>
      <c r="E4" s="4" t="s">
        <v>13</v>
      </c>
      <c r="F4" s="2" t="s">
        <v>14</v>
      </c>
      <c r="G4" s="2" t="s">
        <v>15</v>
      </c>
      <c r="H4" s="8">
        <v>44912</v>
      </c>
      <c r="I4" s="37"/>
      <c r="K4" s="5" t="s">
        <v>19</v>
      </c>
      <c r="L4" s="5" t="s">
        <v>22</v>
      </c>
    </row>
    <row r="5" spans="1:12">
      <c r="A5" s="2" t="s">
        <v>10</v>
      </c>
      <c r="B5" s="7" t="s">
        <v>23</v>
      </c>
      <c r="C5" s="2">
        <v>1005</v>
      </c>
      <c r="D5" s="4" t="s">
        <v>12</v>
      </c>
      <c r="E5" s="4" t="s">
        <v>13</v>
      </c>
      <c r="F5" s="2" t="s">
        <v>14</v>
      </c>
      <c r="G5" s="2" t="s">
        <v>15</v>
      </c>
      <c r="H5" s="8">
        <v>44912</v>
      </c>
      <c r="I5" s="37"/>
    </row>
    <row r="6" spans="1:12">
      <c r="A6" s="2" t="s">
        <v>10</v>
      </c>
      <c r="B6" s="7" t="s">
        <v>24</v>
      </c>
      <c r="C6" s="2">
        <v>1008</v>
      </c>
      <c r="D6" s="4" t="s">
        <v>12</v>
      </c>
      <c r="E6" s="4" t="s">
        <v>25</v>
      </c>
      <c r="F6" s="2" t="s">
        <v>14</v>
      </c>
      <c r="G6" s="2" t="s">
        <v>15</v>
      </c>
      <c r="H6" s="8">
        <v>44912</v>
      </c>
      <c r="I6" s="37"/>
    </row>
    <row r="7" spans="1:12">
      <c r="A7" s="2" t="s">
        <v>10</v>
      </c>
      <c r="B7" s="7" t="s">
        <v>26</v>
      </c>
      <c r="C7" s="2">
        <v>1009</v>
      </c>
      <c r="D7" s="4" t="s">
        <v>12</v>
      </c>
      <c r="E7" s="4" t="s">
        <v>25</v>
      </c>
      <c r="F7" s="2" t="s">
        <v>14</v>
      </c>
      <c r="G7" s="2" t="s">
        <v>15</v>
      </c>
      <c r="H7" s="8">
        <v>44912</v>
      </c>
      <c r="I7" s="37"/>
    </row>
    <row r="8" spans="1:12">
      <c r="A8" s="2" t="s">
        <v>10</v>
      </c>
      <c r="B8" s="7" t="s">
        <v>27</v>
      </c>
      <c r="C8" s="2">
        <v>1010</v>
      </c>
      <c r="D8" s="4" t="s">
        <v>12</v>
      </c>
      <c r="E8" s="4" t="s">
        <v>13</v>
      </c>
      <c r="F8" s="2" t="s">
        <v>14</v>
      </c>
      <c r="G8" s="2" t="s">
        <v>15</v>
      </c>
      <c r="H8" s="8">
        <v>44912</v>
      </c>
      <c r="I8" s="37"/>
    </row>
    <row r="9" spans="1:12">
      <c r="A9" s="2" t="s">
        <v>10</v>
      </c>
      <c r="B9" s="7" t="s">
        <v>28</v>
      </c>
      <c r="C9" s="2">
        <v>1011</v>
      </c>
      <c r="D9" s="4" t="s">
        <v>12</v>
      </c>
      <c r="E9" s="4" t="s">
        <v>13</v>
      </c>
      <c r="F9" s="2" t="s">
        <v>14</v>
      </c>
      <c r="G9" s="2" t="s">
        <v>15</v>
      </c>
      <c r="H9" s="8">
        <v>44912</v>
      </c>
      <c r="I9" s="37"/>
      <c r="K9" s="47" t="s">
        <v>29</v>
      </c>
      <c r="L9" t="s">
        <v>30</v>
      </c>
    </row>
    <row r="10" spans="1:12">
      <c r="A10" s="2" t="s">
        <v>10</v>
      </c>
      <c r="B10" s="7" t="s">
        <v>31</v>
      </c>
      <c r="C10" s="2">
        <v>1012</v>
      </c>
      <c r="D10" s="4" t="s">
        <v>12</v>
      </c>
      <c r="E10" s="4" t="s">
        <v>13</v>
      </c>
      <c r="F10" s="2" t="s">
        <v>14</v>
      </c>
      <c r="G10" s="2" t="s">
        <v>15</v>
      </c>
      <c r="H10" s="8">
        <v>44912</v>
      </c>
      <c r="I10" s="37"/>
      <c r="K10" s="48" t="s">
        <v>12</v>
      </c>
      <c r="L10">
        <v>11</v>
      </c>
    </row>
    <row r="11" spans="1:12">
      <c r="A11" s="2" t="s">
        <v>10</v>
      </c>
      <c r="B11" s="7" t="s">
        <v>32</v>
      </c>
      <c r="C11" s="2">
        <v>1013</v>
      </c>
      <c r="D11" s="4" t="s">
        <v>12</v>
      </c>
      <c r="E11" s="4" t="s">
        <v>13</v>
      </c>
      <c r="F11" s="2" t="s">
        <v>14</v>
      </c>
      <c r="G11" s="2" t="s">
        <v>15</v>
      </c>
      <c r="H11" s="8">
        <v>44912</v>
      </c>
      <c r="I11" s="37"/>
      <c r="K11" s="49" t="s">
        <v>14</v>
      </c>
      <c r="L11">
        <v>11</v>
      </c>
    </row>
    <row r="12" spans="1:12">
      <c r="A12" s="2" t="s">
        <v>10</v>
      </c>
      <c r="B12" s="7" t="s">
        <v>33</v>
      </c>
      <c r="C12" s="2">
        <v>1015</v>
      </c>
      <c r="D12" s="4" t="s">
        <v>12</v>
      </c>
      <c r="E12" s="4" t="s">
        <v>13</v>
      </c>
      <c r="F12" s="2" t="s">
        <v>14</v>
      </c>
      <c r="G12" s="2" t="s">
        <v>15</v>
      </c>
      <c r="H12" s="8">
        <v>44912</v>
      </c>
      <c r="I12" s="37"/>
      <c r="K12" s="48" t="s">
        <v>34</v>
      </c>
      <c r="L12">
        <v>28</v>
      </c>
    </row>
    <row r="13" spans="1:12">
      <c r="A13" s="2" t="s">
        <v>10</v>
      </c>
      <c r="B13" s="7" t="s">
        <v>35</v>
      </c>
      <c r="C13" s="2">
        <v>2055</v>
      </c>
      <c r="D13" s="4" t="s">
        <v>34</v>
      </c>
      <c r="E13" s="4" t="s">
        <v>13</v>
      </c>
      <c r="F13" s="2" t="s">
        <v>36</v>
      </c>
      <c r="G13" s="2" t="s">
        <v>15</v>
      </c>
      <c r="H13" s="8">
        <v>44912</v>
      </c>
      <c r="I13" s="37"/>
      <c r="K13" s="49" t="s">
        <v>36</v>
      </c>
      <c r="L13">
        <v>28</v>
      </c>
    </row>
    <row r="14" spans="1:12">
      <c r="A14" s="2" t="s">
        <v>10</v>
      </c>
      <c r="B14" s="7" t="s">
        <v>37</v>
      </c>
      <c r="C14" s="2">
        <v>2064</v>
      </c>
      <c r="D14" s="4" t="s">
        <v>34</v>
      </c>
      <c r="E14" s="4" t="s">
        <v>13</v>
      </c>
      <c r="F14" s="2" t="s">
        <v>36</v>
      </c>
      <c r="G14" s="2" t="s">
        <v>15</v>
      </c>
      <c r="H14" s="8">
        <v>44933</v>
      </c>
      <c r="I14" s="37"/>
      <c r="K14" s="48" t="s">
        <v>38</v>
      </c>
      <c r="L14">
        <v>19</v>
      </c>
    </row>
    <row r="15" spans="1:12">
      <c r="A15" s="2" t="s">
        <v>10</v>
      </c>
      <c r="B15" s="7" t="s">
        <v>39</v>
      </c>
      <c r="C15" s="2">
        <v>2070</v>
      </c>
      <c r="D15" s="4" t="s">
        <v>34</v>
      </c>
      <c r="E15" s="4" t="s">
        <v>13</v>
      </c>
      <c r="F15" s="2" t="s">
        <v>36</v>
      </c>
      <c r="G15" s="2" t="s">
        <v>15</v>
      </c>
      <c r="H15" s="8">
        <v>44912</v>
      </c>
      <c r="I15" s="37"/>
      <c r="K15" s="49" t="s">
        <v>14</v>
      </c>
      <c r="L15">
        <v>19</v>
      </c>
    </row>
    <row r="16" spans="1:12">
      <c r="A16" s="2" t="s">
        <v>10</v>
      </c>
      <c r="B16" s="7" t="s">
        <v>40</v>
      </c>
      <c r="C16" s="2">
        <v>4035</v>
      </c>
      <c r="D16" s="2" t="s">
        <v>38</v>
      </c>
      <c r="E16" s="4" t="s">
        <v>13</v>
      </c>
      <c r="F16" s="2" t="s">
        <v>14</v>
      </c>
      <c r="G16" s="2" t="s">
        <v>15</v>
      </c>
      <c r="H16" s="8">
        <v>44928</v>
      </c>
      <c r="I16" s="37"/>
      <c r="K16" s="48" t="s">
        <v>41</v>
      </c>
      <c r="L16">
        <v>58</v>
      </c>
    </row>
    <row r="17" spans="1:12">
      <c r="A17" s="2" t="s">
        <v>10</v>
      </c>
      <c r="B17" s="7" t="s">
        <v>42</v>
      </c>
      <c r="C17" s="2">
        <v>4036</v>
      </c>
      <c r="D17" s="4" t="s">
        <v>38</v>
      </c>
      <c r="E17" s="4" t="s">
        <v>13</v>
      </c>
      <c r="F17" s="2" t="s">
        <v>14</v>
      </c>
      <c r="G17" s="2" t="s">
        <v>15</v>
      </c>
      <c r="H17" s="8">
        <v>44928</v>
      </c>
      <c r="I17" s="37"/>
    </row>
    <row r="18" spans="1:12">
      <c r="A18" s="2" t="s">
        <v>10</v>
      </c>
      <c r="B18" s="7" t="s">
        <v>43</v>
      </c>
      <c r="C18" s="2">
        <v>4038</v>
      </c>
      <c r="D18" s="4" t="s">
        <v>38</v>
      </c>
      <c r="E18" s="4" t="s">
        <v>13</v>
      </c>
      <c r="F18" s="2" t="s">
        <v>14</v>
      </c>
      <c r="G18" s="2" t="s">
        <v>15</v>
      </c>
      <c r="H18" s="8">
        <v>44928</v>
      </c>
      <c r="I18" s="37"/>
    </row>
    <row r="19" spans="1:12">
      <c r="A19" s="2" t="s">
        <v>10</v>
      </c>
      <c r="B19" s="7" t="s">
        <v>44</v>
      </c>
      <c r="C19" s="2">
        <v>4040</v>
      </c>
      <c r="D19" s="2" t="s">
        <v>38</v>
      </c>
      <c r="E19" s="4" t="s">
        <v>13</v>
      </c>
      <c r="F19" s="2" t="s">
        <v>14</v>
      </c>
      <c r="G19" s="2" t="s">
        <v>15</v>
      </c>
      <c r="H19" s="8">
        <v>44928</v>
      </c>
      <c r="I19" s="37"/>
      <c r="K19" s="294" t="s">
        <v>45</v>
      </c>
    </row>
    <row r="20" spans="1:12">
      <c r="A20" s="2" t="s">
        <v>10</v>
      </c>
      <c r="B20" s="7" t="s">
        <v>46</v>
      </c>
      <c r="C20" s="2">
        <v>4043</v>
      </c>
      <c r="D20" s="4" t="s">
        <v>38</v>
      </c>
      <c r="E20" s="4" t="s">
        <v>25</v>
      </c>
      <c r="F20" s="2" t="s">
        <v>14</v>
      </c>
      <c r="G20" s="2" t="s">
        <v>15</v>
      </c>
      <c r="H20" s="8">
        <v>44928</v>
      </c>
      <c r="I20" s="37"/>
      <c r="K20" s="112" t="s">
        <v>47</v>
      </c>
      <c r="L20" s="129">
        <v>45859</v>
      </c>
    </row>
    <row r="21" spans="1:12">
      <c r="A21" s="2" t="s">
        <v>10</v>
      </c>
      <c r="B21" s="7" t="s">
        <v>48</v>
      </c>
      <c r="C21" s="2">
        <v>4044</v>
      </c>
      <c r="D21" s="4" t="s">
        <v>38</v>
      </c>
      <c r="E21" s="4" t="s">
        <v>13</v>
      </c>
      <c r="F21" s="2" t="s">
        <v>14</v>
      </c>
      <c r="G21" s="2" t="s">
        <v>15</v>
      </c>
      <c r="H21" s="8">
        <v>44928</v>
      </c>
      <c r="I21" s="37"/>
    </row>
    <row r="22" spans="1:12">
      <c r="A22" s="2" t="s">
        <v>10</v>
      </c>
      <c r="B22" s="7" t="s">
        <v>49</v>
      </c>
      <c r="C22" s="2">
        <v>4046</v>
      </c>
      <c r="D22" s="2" t="s">
        <v>38</v>
      </c>
      <c r="E22" s="4" t="s">
        <v>13</v>
      </c>
      <c r="F22" s="2" t="s">
        <v>14</v>
      </c>
      <c r="G22" s="2" t="s">
        <v>15</v>
      </c>
      <c r="H22" s="17">
        <v>44928</v>
      </c>
      <c r="I22" s="37"/>
    </row>
    <row r="23" spans="1:12">
      <c r="A23" s="2" t="s">
        <v>10</v>
      </c>
      <c r="B23" s="7" t="s">
        <v>50</v>
      </c>
      <c r="C23" s="2">
        <v>4048</v>
      </c>
      <c r="D23" s="2" t="s">
        <v>38</v>
      </c>
      <c r="E23" s="4" t="s">
        <v>13</v>
      </c>
      <c r="F23" s="2" t="s">
        <v>14</v>
      </c>
      <c r="G23" s="2" t="s">
        <v>15</v>
      </c>
      <c r="H23" s="8">
        <v>44928</v>
      </c>
      <c r="I23" s="37"/>
    </row>
    <row r="24" spans="1:12">
      <c r="A24" s="2" t="s">
        <v>10</v>
      </c>
      <c r="B24" s="7" t="s">
        <v>51</v>
      </c>
      <c r="C24" s="2">
        <v>4049</v>
      </c>
      <c r="D24" s="2" t="s">
        <v>38</v>
      </c>
      <c r="E24" s="4" t="s">
        <v>13</v>
      </c>
      <c r="F24" s="2" t="s">
        <v>14</v>
      </c>
      <c r="G24" s="2" t="s">
        <v>15</v>
      </c>
      <c r="H24" s="17">
        <v>44928</v>
      </c>
      <c r="I24" s="37"/>
    </row>
    <row r="25" spans="1:12">
      <c r="A25" s="2" t="s">
        <v>10</v>
      </c>
      <c r="B25" s="7" t="s">
        <v>52</v>
      </c>
      <c r="C25" s="2">
        <v>4050</v>
      </c>
      <c r="D25" s="2" t="s">
        <v>38</v>
      </c>
      <c r="E25" s="4" t="s">
        <v>13</v>
      </c>
      <c r="F25" s="2" t="s">
        <v>14</v>
      </c>
      <c r="G25" s="2" t="s">
        <v>15</v>
      </c>
      <c r="H25" s="17">
        <v>44928</v>
      </c>
      <c r="I25" s="37"/>
    </row>
    <row r="26" spans="1:12">
      <c r="A26" s="2" t="s">
        <v>10</v>
      </c>
      <c r="B26" s="7" t="s">
        <v>53</v>
      </c>
      <c r="C26" s="2">
        <v>4052</v>
      </c>
      <c r="D26" s="2" t="s">
        <v>38</v>
      </c>
      <c r="E26" s="4" t="s">
        <v>13</v>
      </c>
      <c r="F26" s="2" t="s">
        <v>14</v>
      </c>
      <c r="G26" s="2" t="s">
        <v>15</v>
      </c>
      <c r="H26" s="17">
        <v>44928</v>
      </c>
      <c r="I26" s="37"/>
    </row>
    <row r="27" spans="1:12">
      <c r="A27" s="2" t="s">
        <v>10</v>
      </c>
      <c r="B27" s="7" t="s">
        <v>54</v>
      </c>
      <c r="C27" s="2">
        <v>4057</v>
      </c>
      <c r="D27" s="2" t="s">
        <v>38</v>
      </c>
      <c r="E27" s="4" t="s">
        <v>13</v>
      </c>
      <c r="F27" s="2" t="s">
        <v>14</v>
      </c>
      <c r="G27" s="2" t="s">
        <v>15</v>
      </c>
      <c r="H27" s="17">
        <v>44928</v>
      </c>
      <c r="I27" s="37"/>
    </row>
    <row r="28" spans="1:12">
      <c r="A28" s="2" t="s">
        <v>10</v>
      </c>
      <c r="B28" s="7" t="s">
        <v>55</v>
      </c>
      <c r="C28" s="2">
        <v>4058</v>
      </c>
      <c r="D28" s="2" t="s">
        <v>38</v>
      </c>
      <c r="E28" s="4" t="s">
        <v>13</v>
      </c>
      <c r="F28" s="2" t="s">
        <v>14</v>
      </c>
      <c r="G28" s="2" t="s">
        <v>15</v>
      </c>
      <c r="H28" s="17">
        <v>44928</v>
      </c>
      <c r="I28" s="37"/>
    </row>
    <row r="29" spans="1:12">
      <c r="A29" s="7" t="s">
        <v>10</v>
      </c>
      <c r="B29" s="7" t="s">
        <v>56</v>
      </c>
      <c r="C29" s="2">
        <v>4059</v>
      </c>
      <c r="D29" s="4" t="s">
        <v>38</v>
      </c>
      <c r="E29" s="4" t="s">
        <v>13</v>
      </c>
      <c r="F29" s="2" t="s">
        <v>14</v>
      </c>
      <c r="G29" s="2" t="s">
        <v>15</v>
      </c>
      <c r="H29" s="8">
        <v>44928</v>
      </c>
      <c r="I29" s="37"/>
    </row>
    <row r="30" spans="1:12">
      <c r="A30" s="7" t="s">
        <v>10</v>
      </c>
      <c r="B30" s="7" t="s">
        <v>57</v>
      </c>
      <c r="C30" s="2">
        <v>4061</v>
      </c>
      <c r="D30" s="4" t="s">
        <v>38</v>
      </c>
      <c r="E30" s="4" t="s">
        <v>13</v>
      </c>
      <c r="F30" s="2" t="s">
        <v>14</v>
      </c>
      <c r="G30" s="2" t="s">
        <v>15</v>
      </c>
      <c r="H30" s="8">
        <v>44928</v>
      </c>
      <c r="I30" s="37"/>
    </row>
    <row r="31" spans="1:12">
      <c r="A31" s="7" t="s">
        <v>10</v>
      </c>
      <c r="B31" s="7" t="s">
        <v>58</v>
      </c>
      <c r="C31" s="2">
        <v>4063</v>
      </c>
      <c r="D31" s="4" t="s">
        <v>38</v>
      </c>
      <c r="E31" s="4" t="s">
        <v>13</v>
      </c>
      <c r="F31" s="2" t="s">
        <v>14</v>
      </c>
      <c r="G31" s="2" t="s">
        <v>15</v>
      </c>
      <c r="H31" s="8">
        <v>44928</v>
      </c>
      <c r="I31" s="37"/>
    </row>
    <row r="32" spans="1:12">
      <c r="A32" s="7" t="s">
        <v>10</v>
      </c>
      <c r="B32" s="2" t="s">
        <v>59</v>
      </c>
      <c r="C32" s="2">
        <v>4064</v>
      </c>
      <c r="D32" s="4" t="s">
        <v>38</v>
      </c>
      <c r="E32" s="4" t="s">
        <v>13</v>
      </c>
      <c r="F32" s="2" t="s">
        <v>14</v>
      </c>
      <c r="G32" s="2" t="s">
        <v>15</v>
      </c>
      <c r="H32" s="8">
        <v>44928</v>
      </c>
      <c r="I32" s="37"/>
    </row>
    <row r="33" spans="1:9">
      <c r="A33" s="7" t="s">
        <v>10</v>
      </c>
      <c r="B33" s="2" t="s">
        <v>60</v>
      </c>
      <c r="C33" s="2">
        <v>4067</v>
      </c>
      <c r="D33" s="2" t="s">
        <v>38</v>
      </c>
      <c r="E33" s="4" t="s">
        <v>13</v>
      </c>
      <c r="F33" s="2" t="s">
        <v>14</v>
      </c>
      <c r="G33" s="2" t="s">
        <v>15</v>
      </c>
      <c r="H33" s="8">
        <v>44933</v>
      </c>
      <c r="I33" s="37"/>
    </row>
    <row r="34" spans="1:9">
      <c r="A34" s="7" t="s">
        <v>10</v>
      </c>
      <c r="B34" s="2" t="s">
        <v>61</v>
      </c>
      <c r="C34" s="2">
        <v>4069</v>
      </c>
      <c r="D34" s="4" t="s">
        <v>38</v>
      </c>
      <c r="E34" s="4" t="s">
        <v>13</v>
      </c>
      <c r="F34" s="2" t="s">
        <v>14</v>
      </c>
      <c r="G34" s="2" t="s">
        <v>15</v>
      </c>
      <c r="H34" s="8">
        <v>44933</v>
      </c>
      <c r="I34" s="37"/>
    </row>
    <row r="35" spans="1:9">
      <c r="A35" s="7" t="s">
        <v>10</v>
      </c>
      <c r="B35" s="2" t="s">
        <v>62</v>
      </c>
      <c r="C35" s="2">
        <v>2042</v>
      </c>
      <c r="D35" s="4" t="s">
        <v>34</v>
      </c>
      <c r="E35" s="4" t="s">
        <v>13</v>
      </c>
      <c r="F35" s="2" t="s">
        <v>36</v>
      </c>
      <c r="G35" s="2" t="s">
        <v>15</v>
      </c>
      <c r="H35" s="8">
        <v>44912</v>
      </c>
      <c r="I35" s="37"/>
    </row>
    <row r="36" spans="1:9">
      <c r="A36" s="7" t="s">
        <v>10</v>
      </c>
      <c r="B36" s="7" t="s">
        <v>63</v>
      </c>
      <c r="C36" s="2">
        <v>2043</v>
      </c>
      <c r="D36" s="4" t="s">
        <v>34</v>
      </c>
      <c r="E36" s="4" t="s">
        <v>13</v>
      </c>
      <c r="F36" s="2" t="s">
        <v>36</v>
      </c>
      <c r="G36" s="2" t="s">
        <v>15</v>
      </c>
      <c r="H36" s="17">
        <v>44912</v>
      </c>
      <c r="I36" s="37"/>
    </row>
    <row r="37" spans="1:9">
      <c r="A37" s="7" t="s">
        <v>10</v>
      </c>
      <c r="B37" s="2" t="s">
        <v>64</v>
      </c>
      <c r="C37" s="2">
        <v>2056</v>
      </c>
      <c r="D37" s="4" t="s">
        <v>34</v>
      </c>
      <c r="E37" s="4" t="s">
        <v>13</v>
      </c>
      <c r="F37" s="2" t="s">
        <v>36</v>
      </c>
      <c r="G37" s="2" t="s">
        <v>15</v>
      </c>
      <c r="H37" s="8">
        <v>44912</v>
      </c>
      <c r="I37" s="37"/>
    </row>
    <row r="38" spans="1:9">
      <c r="A38" s="7" t="s">
        <v>10</v>
      </c>
      <c r="B38" s="7" t="s">
        <v>65</v>
      </c>
      <c r="C38" s="2">
        <v>2044</v>
      </c>
      <c r="D38" s="2" t="s">
        <v>34</v>
      </c>
      <c r="E38" s="4" t="s">
        <v>13</v>
      </c>
      <c r="F38" s="2" t="s">
        <v>36</v>
      </c>
      <c r="G38" s="2" t="s">
        <v>15</v>
      </c>
      <c r="H38" s="17">
        <v>44933</v>
      </c>
      <c r="I38" s="37"/>
    </row>
    <row r="39" spans="1:9" ht="14.25" customHeight="1">
      <c r="A39" s="7" t="s">
        <v>10</v>
      </c>
      <c r="B39" s="7" t="s">
        <v>66</v>
      </c>
      <c r="C39" s="2">
        <v>2045</v>
      </c>
      <c r="D39" s="4" t="s">
        <v>34</v>
      </c>
      <c r="E39" s="4" t="s">
        <v>13</v>
      </c>
      <c r="F39" s="2" t="s">
        <v>36</v>
      </c>
      <c r="G39" s="2" t="s">
        <v>15</v>
      </c>
      <c r="H39" s="17">
        <v>44912</v>
      </c>
      <c r="I39" s="37"/>
    </row>
    <row r="40" spans="1:9">
      <c r="A40" s="7" t="s">
        <v>10</v>
      </c>
      <c r="B40" s="7" t="s">
        <v>67</v>
      </c>
      <c r="C40" s="2">
        <v>2047</v>
      </c>
      <c r="D40" s="4" t="s">
        <v>34</v>
      </c>
      <c r="E40" s="4" t="s">
        <v>13</v>
      </c>
      <c r="F40" s="2" t="s">
        <v>36</v>
      </c>
      <c r="G40" s="2" t="s">
        <v>15</v>
      </c>
      <c r="H40" s="17">
        <v>44912</v>
      </c>
      <c r="I40" s="37"/>
    </row>
    <row r="41" spans="1:9">
      <c r="A41" s="7" t="s">
        <v>10</v>
      </c>
      <c r="B41" s="7" t="s">
        <v>68</v>
      </c>
      <c r="C41" s="2">
        <v>2048</v>
      </c>
      <c r="D41" s="4" t="s">
        <v>34</v>
      </c>
      <c r="E41" s="4" t="s">
        <v>13</v>
      </c>
      <c r="F41" s="2" t="s">
        <v>36</v>
      </c>
      <c r="G41" s="2" t="s">
        <v>15</v>
      </c>
      <c r="H41" s="17">
        <v>44912</v>
      </c>
      <c r="I41" s="37"/>
    </row>
    <row r="42" spans="1:9">
      <c r="A42" s="7" t="s">
        <v>10</v>
      </c>
      <c r="B42" s="2" t="s">
        <v>69</v>
      </c>
      <c r="C42" s="2">
        <v>2049</v>
      </c>
      <c r="D42" s="4" t="s">
        <v>34</v>
      </c>
      <c r="E42" s="4" t="s">
        <v>13</v>
      </c>
      <c r="F42" s="2" t="s">
        <v>36</v>
      </c>
      <c r="G42" s="2" t="s">
        <v>15</v>
      </c>
      <c r="H42" s="17">
        <v>44912</v>
      </c>
      <c r="I42" s="37"/>
    </row>
    <row r="43" spans="1:9">
      <c r="A43" s="7" t="s">
        <v>10</v>
      </c>
      <c r="B43" s="2" t="s">
        <v>70</v>
      </c>
      <c r="C43" s="2">
        <v>2050</v>
      </c>
      <c r="D43" s="4" t="s">
        <v>34</v>
      </c>
      <c r="E43" s="4" t="s">
        <v>13</v>
      </c>
      <c r="F43" s="2" t="s">
        <v>36</v>
      </c>
      <c r="G43" s="2" t="s">
        <v>15</v>
      </c>
      <c r="H43" s="17">
        <v>44912</v>
      </c>
      <c r="I43" s="37"/>
    </row>
    <row r="44" spans="1:9">
      <c r="A44" s="7" t="s">
        <v>10</v>
      </c>
      <c r="B44" s="2" t="s">
        <v>71</v>
      </c>
      <c r="C44" s="2">
        <v>2051</v>
      </c>
      <c r="D44" s="4" t="s">
        <v>34</v>
      </c>
      <c r="E44" s="4" t="s">
        <v>13</v>
      </c>
      <c r="F44" s="2" t="s">
        <v>36</v>
      </c>
      <c r="G44" s="2" t="s">
        <v>15</v>
      </c>
      <c r="H44" s="17">
        <v>44912</v>
      </c>
      <c r="I44" s="37"/>
    </row>
    <row r="45" spans="1:9">
      <c r="A45" s="7" t="s">
        <v>10</v>
      </c>
      <c r="B45" s="2" t="s">
        <v>72</v>
      </c>
      <c r="C45" s="2">
        <v>2052</v>
      </c>
      <c r="D45" s="4" t="s">
        <v>34</v>
      </c>
      <c r="E45" s="4" t="s">
        <v>13</v>
      </c>
      <c r="F45" s="2" t="s">
        <v>36</v>
      </c>
      <c r="G45" s="2" t="s">
        <v>15</v>
      </c>
      <c r="H45" s="17">
        <v>44912</v>
      </c>
      <c r="I45" s="37"/>
    </row>
    <row r="46" spans="1:9">
      <c r="A46" s="7" t="s">
        <v>10</v>
      </c>
      <c r="B46" s="2" t="s">
        <v>73</v>
      </c>
      <c r="C46" s="2">
        <v>2053</v>
      </c>
      <c r="D46" s="4" t="s">
        <v>34</v>
      </c>
      <c r="E46" s="4" t="s">
        <v>13</v>
      </c>
      <c r="F46" s="2" t="s">
        <v>36</v>
      </c>
      <c r="G46" s="2" t="s">
        <v>15</v>
      </c>
      <c r="H46" s="17">
        <v>44912</v>
      </c>
      <c r="I46" s="37"/>
    </row>
    <row r="47" spans="1:9">
      <c r="A47" s="7" t="s">
        <v>10</v>
      </c>
      <c r="B47" s="2" t="s">
        <v>74</v>
      </c>
      <c r="C47" s="2">
        <v>2054</v>
      </c>
      <c r="D47" s="4" t="s">
        <v>34</v>
      </c>
      <c r="E47" s="4" t="s">
        <v>13</v>
      </c>
      <c r="F47" s="2" t="s">
        <v>36</v>
      </c>
      <c r="G47" s="2" t="s">
        <v>15</v>
      </c>
      <c r="H47" s="17">
        <v>44912</v>
      </c>
      <c r="I47" s="37"/>
    </row>
    <row r="48" spans="1:9">
      <c r="A48" s="7" t="s">
        <v>10</v>
      </c>
      <c r="B48" s="7" t="s">
        <v>75</v>
      </c>
      <c r="C48" s="2">
        <v>2058</v>
      </c>
      <c r="D48" s="4" t="s">
        <v>34</v>
      </c>
      <c r="E48" s="4" t="s">
        <v>13</v>
      </c>
      <c r="F48" s="2" t="s">
        <v>36</v>
      </c>
      <c r="G48" s="2" t="s">
        <v>15</v>
      </c>
      <c r="H48" s="17">
        <v>44912</v>
      </c>
      <c r="I48" s="37"/>
    </row>
    <row r="49" spans="1:9">
      <c r="A49" s="7" t="s">
        <v>10</v>
      </c>
      <c r="B49" s="7" t="s">
        <v>76</v>
      </c>
      <c r="C49" s="2">
        <v>2059</v>
      </c>
      <c r="D49" s="4" t="s">
        <v>34</v>
      </c>
      <c r="E49" s="4" t="s">
        <v>13</v>
      </c>
      <c r="F49" s="2" t="s">
        <v>36</v>
      </c>
      <c r="G49" s="2" t="s">
        <v>15</v>
      </c>
      <c r="H49" s="17">
        <v>44928</v>
      </c>
      <c r="I49" s="37"/>
    </row>
    <row r="50" spans="1:9">
      <c r="A50" s="7" t="s">
        <v>10</v>
      </c>
      <c r="B50" s="7" t="s">
        <v>77</v>
      </c>
      <c r="C50" s="2">
        <v>2069</v>
      </c>
      <c r="D50" s="4" t="s">
        <v>34</v>
      </c>
      <c r="E50" s="4" t="s">
        <v>13</v>
      </c>
      <c r="F50" s="2" t="s">
        <v>36</v>
      </c>
      <c r="G50" s="2" t="s">
        <v>15</v>
      </c>
      <c r="H50" s="17">
        <v>44928</v>
      </c>
      <c r="I50" s="37"/>
    </row>
    <row r="51" spans="1:9">
      <c r="A51" s="7" t="s">
        <v>10</v>
      </c>
      <c r="B51" s="7" t="s">
        <v>78</v>
      </c>
      <c r="C51" s="2">
        <v>2060</v>
      </c>
      <c r="D51" s="4" t="s">
        <v>34</v>
      </c>
      <c r="E51" s="4" t="s">
        <v>13</v>
      </c>
      <c r="F51" s="2" t="s">
        <v>36</v>
      </c>
      <c r="G51" s="2" t="s">
        <v>15</v>
      </c>
      <c r="H51" s="17">
        <v>44912</v>
      </c>
      <c r="I51" s="37"/>
    </row>
    <row r="52" spans="1:9">
      <c r="A52" s="7" t="s">
        <v>10</v>
      </c>
      <c r="B52" s="7" t="s">
        <v>79</v>
      </c>
      <c r="C52" s="2">
        <v>2073</v>
      </c>
      <c r="D52" s="4" t="s">
        <v>34</v>
      </c>
      <c r="E52" s="4" t="s">
        <v>13</v>
      </c>
      <c r="F52" s="2" t="s">
        <v>36</v>
      </c>
      <c r="G52" s="2" t="s">
        <v>15</v>
      </c>
      <c r="H52" s="17">
        <v>44933</v>
      </c>
      <c r="I52" s="37"/>
    </row>
    <row r="53" spans="1:9">
      <c r="A53" s="12" t="s">
        <v>10</v>
      </c>
      <c r="B53" s="13" t="s">
        <v>80</v>
      </c>
      <c r="C53" s="13">
        <v>2072</v>
      </c>
      <c r="D53" s="275" t="s">
        <v>34</v>
      </c>
      <c r="E53" s="275" t="s">
        <v>13</v>
      </c>
      <c r="F53" s="13" t="s">
        <v>36</v>
      </c>
      <c r="G53" s="2" t="s">
        <v>15</v>
      </c>
      <c r="H53" s="44">
        <v>44928</v>
      </c>
      <c r="I53" s="37"/>
    </row>
    <row r="54" spans="1:9">
      <c r="A54" s="7" t="s">
        <v>10</v>
      </c>
      <c r="B54" s="2" t="s">
        <v>81</v>
      </c>
      <c r="C54" s="2">
        <v>2057</v>
      </c>
      <c r="D54" s="4" t="s">
        <v>34</v>
      </c>
      <c r="E54" s="4" t="s">
        <v>13</v>
      </c>
      <c r="F54" s="2" t="s">
        <v>36</v>
      </c>
      <c r="G54" s="2" t="s">
        <v>15</v>
      </c>
      <c r="H54" s="17">
        <v>44912</v>
      </c>
      <c r="I54" s="37"/>
    </row>
    <row r="55" spans="1:9">
      <c r="A55" s="7" t="s">
        <v>10</v>
      </c>
      <c r="B55" s="2" t="s">
        <v>82</v>
      </c>
      <c r="C55" s="2">
        <v>2061</v>
      </c>
      <c r="D55" s="4" t="s">
        <v>34</v>
      </c>
      <c r="E55" s="4" t="s">
        <v>13</v>
      </c>
      <c r="F55" s="2" t="s">
        <v>36</v>
      </c>
      <c r="G55" s="2" t="s">
        <v>15</v>
      </c>
      <c r="H55" s="17">
        <v>44912</v>
      </c>
      <c r="I55" s="37"/>
    </row>
    <row r="56" spans="1:9">
      <c r="A56" s="7" t="s">
        <v>10</v>
      </c>
      <c r="B56" s="2" t="s">
        <v>83</v>
      </c>
      <c r="C56" s="2">
        <v>2062</v>
      </c>
      <c r="D56" s="4" t="s">
        <v>34</v>
      </c>
      <c r="E56" s="4" t="s">
        <v>13</v>
      </c>
      <c r="F56" s="2" t="s">
        <v>36</v>
      </c>
      <c r="G56" s="2" t="s">
        <v>15</v>
      </c>
      <c r="H56" s="17">
        <v>44912</v>
      </c>
      <c r="I56" s="37"/>
    </row>
    <row r="57" spans="1:9">
      <c r="A57" s="7" t="s">
        <v>10</v>
      </c>
      <c r="B57" s="2" t="s">
        <v>84</v>
      </c>
      <c r="C57" s="2">
        <v>2063</v>
      </c>
      <c r="D57" s="4" t="s">
        <v>34</v>
      </c>
      <c r="E57" s="4" t="s">
        <v>13</v>
      </c>
      <c r="F57" s="2" t="s">
        <v>36</v>
      </c>
      <c r="G57" s="2" t="s">
        <v>15</v>
      </c>
      <c r="H57" s="17">
        <v>44912</v>
      </c>
      <c r="I57" s="37"/>
    </row>
    <row r="58" spans="1:9">
      <c r="A58" s="7" t="s">
        <v>10</v>
      </c>
      <c r="B58" s="2" t="s">
        <v>85</v>
      </c>
      <c r="C58" s="2">
        <v>2067</v>
      </c>
      <c r="D58" s="4" t="s">
        <v>34</v>
      </c>
      <c r="E58" s="4" t="s">
        <v>13</v>
      </c>
      <c r="F58" s="2" t="s">
        <v>36</v>
      </c>
      <c r="G58" s="2" t="s">
        <v>15</v>
      </c>
      <c r="H58" s="17">
        <v>44933</v>
      </c>
    </row>
    <row r="59" spans="1:9">
      <c r="A59" s="12" t="s">
        <v>10</v>
      </c>
      <c r="B59" s="13" t="s">
        <v>86</v>
      </c>
      <c r="C59" s="13">
        <v>2068</v>
      </c>
      <c r="D59" s="275" t="s">
        <v>34</v>
      </c>
      <c r="E59" s="275" t="s">
        <v>13</v>
      </c>
      <c r="F59" s="13" t="s">
        <v>36</v>
      </c>
      <c r="G59" s="2" t="s">
        <v>15</v>
      </c>
      <c r="H59" s="44">
        <v>44928</v>
      </c>
    </row>
  </sheetData>
  <pageMargins left="0.7" right="0.7" top="0.75" bottom="0.75" header="0.3" footer="0.3"/>
  <pageSetup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82AC3-8656-4AD7-86FD-1038221FC44E}">
  <sheetPr codeName="Hoja2"/>
  <dimension ref="A1:L29"/>
  <sheetViews>
    <sheetView zoomScale="80" zoomScaleNormal="80" workbookViewId="0">
      <selection activeCell="D6" sqref="D6"/>
    </sheetView>
  </sheetViews>
  <sheetFormatPr baseColWidth="10" defaultColWidth="11.42578125" defaultRowHeight="15"/>
  <cols>
    <col min="1" max="1" width="14" bestFit="1" customWidth="1"/>
    <col min="2" max="2" width="11.28515625" bestFit="1" customWidth="1"/>
    <col min="3" max="3" width="13.5703125" bestFit="1" customWidth="1"/>
    <col min="4" max="4" width="13.7109375" bestFit="1" customWidth="1"/>
    <col min="5" max="5" width="15.7109375" bestFit="1" customWidth="1"/>
    <col min="6" max="6" width="19" bestFit="1" customWidth="1"/>
    <col min="7" max="7" width="29.140625" bestFit="1" customWidth="1"/>
    <col min="8" max="8" width="20" bestFit="1" customWidth="1"/>
    <col min="9" max="9" width="8.140625" customWidth="1"/>
    <col min="10" max="10" width="7.85546875" customWidth="1"/>
    <col min="11" max="11" width="14.28515625" bestFit="1" customWidth="1"/>
    <col min="12" max="12" width="10.85546875" bestFit="1" customWidth="1"/>
    <col min="13" max="13" width="14.42578125" bestFit="1" customWidth="1"/>
  </cols>
  <sheetData>
    <row r="1" spans="1:12">
      <c r="A1" s="9" t="s">
        <v>0</v>
      </c>
      <c r="B1" s="10" t="s">
        <v>87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K1" s="1" t="s">
        <v>8</v>
      </c>
      <c r="L1" s="1" t="s">
        <v>9</v>
      </c>
    </row>
    <row r="2" spans="1:12">
      <c r="A2" s="7" t="s">
        <v>10</v>
      </c>
      <c r="B2" s="2" t="s">
        <v>88</v>
      </c>
      <c r="C2" s="3">
        <v>2046</v>
      </c>
      <c r="D2" s="42" t="s">
        <v>34</v>
      </c>
      <c r="E2" s="42" t="s">
        <v>13</v>
      </c>
      <c r="F2" s="2" t="s">
        <v>36</v>
      </c>
      <c r="G2" s="2" t="s">
        <v>89</v>
      </c>
      <c r="H2" s="8">
        <v>44912</v>
      </c>
      <c r="K2" s="5" t="s">
        <v>16</v>
      </c>
      <c r="L2" s="119" t="s">
        <v>17</v>
      </c>
    </row>
    <row r="3" spans="1:12">
      <c r="A3" s="7" t="s">
        <v>10</v>
      </c>
      <c r="B3" s="2" t="s">
        <v>90</v>
      </c>
      <c r="C3" s="3">
        <v>2076</v>
      </c>
      <c r="D3" s="42" t="s">
        <v>34</v>
      </c>
      <c r="E3" s="42" t="s">
        <v>13</v>
      </c>
      <c r="F3" s="2" t="s">
        <v>36</v>
      </c>
      <c r="G3" s="2" t="s">
        <v>89</v>
      </c>
      <c r="H3" s="8">
        <v>44928</v>
      </c>
      <c r="K3" s="5" t="s">
        <v>19</v>
      </c>
      <c r="L3" s="119" t="s">
        <v>20</v>
      </c>
    </row>
    <row r="4" spans="1:12">
      <c r="A4" s="7" t="s">
        <v>10</v>
      </c>
      <c r="B4" s="2" t="s">
        <v>91</v>
      </c>
      <c r="C4" s="3">
        <v>2078</v>
      </c>
      <c r="D4" s="42" t="s">
        <v>34</v>
      </c>
      <c r="E4" s="42" t="s">
        <v>13</v>
      </c>
      <c r="F4" s="2" t="s">
        <v>36</v>
      </c>
      <c r="G4" s="2" t="s">
        <v>89</v>
      </c>
      <c r="H4" s="8">
        <v>44928</v>
      </c>
      <c r="K4" s="5" t="s">
        <v>19</v>
      </c>
      <c r="L4" s="5" t="s">
        <v>22</v>
      </c>
    </row>
    <row r="5" spans="1:12">
      <c r="A5" s="7" t="s">
        <v>10</v>
      </c>
      <c r="B5" s="2" t="s">
        <v>92</v>
      </c>
      <c r="C5" s="3">
        <v>2065</v>
      </c>
      <c r="D5" s="42" t="s">
        <v>34</v>
      </c>
      <c r="E5" s="42" t="s">
        <v>13</v>
      </c>
      <c r="F5" s="2" t="s">
        <v>36</v>
      </c>
      <c r="G5" s="2" t="s">
        <v>89</v>
      </c>
      <c r="H5" s="8">
        <v>44933</v>
      </c>
    </row>
    <row r="6" spans="1:12">
      <c r="A6" s="7" t="s">
        <v>10</v>
      </c>
      <c r="B6" s="2" t="s">
        <v>93</v>
      </c>
      <c r="C6" s="3">
        <v>2066</v>
      </c>
      <c r="D6" s="42" t="s">
        <v>34</v>
      </c>
      <c r="E6" s="42" t="s">
        <v>13</v>
      </c>
      <c r="F6" s="2" t="s">
        <v>36</v>
      </c>
      <c r="G6" s="2" t="s">
        <v>89</v>
      </c>
      <c r="H6" s="8">
        <v>44928</v>
      </c>
    </row>
    <row r="7" spans="1:12">
      <c r="A7" s="7" t="s">
        <v>10</v>
      </c>
      <c r="B7" s="2" t="s">
        <v>94</v>
      </c>
      <c r="C7" s="3">
        <v>2074</v>
      </c>
      <c r="D7" s="42" t="s">
        <v>34</v>
      </c>
      <c r="E7" s="42" t="s">
        <v>13</v>
      </c>
      <c r="F7" s="2" t="s">
        <v>36</v>
      </c>
      <c r="G7" s="2" t="s">
        <v>89</v>
      </c>
      <c r="H7" s="8">
        <v>44933</v>
      </c>
    </row>
    <row r="8" spans="1:12">
      <c r="A8" s="7" t="s">
        <v>10</v>
      </c>
      <c r="B8" s="2" t="s">
        <v>95</v>
      </c>
      <c r="C8" s="3">
        <v>2075</v>
      </c>
      <c r="D8" s="42" t="s">
        <v>34</v>
      </c>
      <c r="E8" s="42" t="s">
        <v>13</v>
      </c>
      <c r="F8" s="2" t="s">
        <v>36</v>
      </c>
      <c r="G8" s="2" t="s">
        <v>89</v>
      </c>
      <c r="H8" s="8">
        <v>44933</v>
      </c>
      <c r="K8" s="47" t="s">
        <v>96</v>
      </c>
      <c r="L8" t="s">
        <v>97</v>
      </c>
    </row>
    <row r="9" spans="1:12">
      <c r="A9" s="7" t="s">
        <v>10</v>
      </c>
      <c r="B9" s="2" t="s">
        <v>98</v>
      </c>
      <c r="C9" s="3">
        <v>2077</v>
      </c>
      <c r="D9" s="42" t="s">
        <v>34</v>
      </c>
      <c r="E9" s="42" t="s">
        <v>13</v>
      </c>
      <c r="F9" s="2" t="s">
        <v>36</v>
      </c>
      <c r="G9" s="2" t="s">
        <v>89</v>
      </c>
      <c r="H9" s="8">
        <v>44933</v>
      </c>
      <c r="K9" s="48" t="s">
        <v>34</v>
      </c>
      <c r="L9">
        <v>9</v>
      </c>
    </row>
    <row r="10" spans="1:12">
      <c r="A10" s="7" t="s">
        <v>10</v>
      </c>
      <c r="B10" s="2" t="s">
        <v>99</v>
      </c>
      <c r="C10" s="3">
        <v>2079</v>
      </c>
      <c r="D10" s="42" t="s">
        <v>34</v>
      </c>
      <c r="E10" s="42" t="s">
        <v>13</v>
      </c>
      <c r="F10" s="2" t="s">
        <v>36</v>
      </c>
      <c r="G10" s="2" t="s">
        <v>89</v>
      </c>
      <c r="H10" s="8">
        <v>44928</v>
      </c>
      <c r="K10" s="49" t="s">
        <v>36</v>
      </c>
      <c r="L10">
        <v>9</v>
      </c>
    </row>
    <row r="11" spans="1:12">
      <c r="A11" s="7" t="s">
        <v>10</v>
      </c>
      <c r="B11" s="2" t="s">
        <v>100</v>
      </c>
      <c r="C11" s="3">
        <v>4027</v>
      </c>
      <c r="D11" s="42" t="s">
        <v>38</v>
      </c>
      <c r="E11" s="42" t="s">
        <v>13</v>
      </c>
      <c r="F11" s="2" t="s">
        <v>14</v>
      </c>
      <c r="G11" s="2" t="s">
        <v>89</v>
      </c>
      <c r="H11" s="8">
        <v>44928</v>
      </c>
      <c r="K11" s="48" t="s">
        <v>38</v>
      </c>
      <c r="L11">
        <v>19</v>
      </c>
    </row>
    <row r="12" spans="1:12">
      <c r="A12" s="7" t="s">
        <v>10</v>
      </c>
      <c r="B12" s="2" t="s">
        <v>101</v>
      </c>
      <c r="C12" s="3">
        <v>4025</v>
      </c>
      <c r="D12" s="42" t="s">
        <v>38</v>
      </c>
      <c r="E12" s="42" t="s">
        <v>13</v>
      </c>
      <c r="F12" s="2" t="s">
        <v>14</v>
      </c>
      <c r="G12" s="2" t="s">
        <v>89</v>
      </c>
      <c r="H12" s="17">
        <v>44928</v>
      </c>
      <c r="K12" s="49" t="s">
        <v>14</v>
      </c>
      <c r="L12">
        <v>19</v>
      </c>
    </row>
    <row r="13" spans="1:12">
      <c r="A13" s="7" t="s">
        <v>10</v>
      </c>
      <c r="B13" s="2" t="s">
        <v>102</v>
      </c>
      <c r="C13" s="3">
        <v>4026</v>
      </c>
      <c r="D13" s="42" t="s">
        <v>38</v>
      </c>
      <c r="E13" s="42" t="s">
        <v>13</v>
      </c>
      <c r="F13" s="2" t="s">
        <v>14</v>
      </c>
      <c r="G13" s="2" t="s">
        <v>89</v>
      </c>
      <c r="H13" s="17">
        <v>44928</v>
      </c>
      <c r="K13" s="48" t="s">
        <v>41</v>
      </c>
      <c r="L13">
        <v>28</v>
      </c>
    </row>
    <row r="14" spans="1:12">
      <c r="A14" s="7" t="s">
        <v>10</v>
      </c>
      <c r="B14" s="2" t="s">
        <v>103</v>
      </c>
      <c r="C14" s="3">
        <v>4028</v>
      </c>
      <c r="D14" s="42" t="s">
        <v>38</v>
      </c>
      <c r="E14" s="42" t="s">
        <v>13</v>
      </c>
      <c r="F14" s="2" t="s">
        <v>14</v>
      </c>
      <c r="G14" s="2" t="s">
        <v>89</v>
      </c>
      <c r="H14" s="17">
        <v>44928</v>
      </c>
    </row>
    <row r="15" spans="1:12">
      <c r="A15" s="7" t="s">
        <v>10</v>
      </c>
      <c r="B15" s="2" t="s">
        <v>104</v>
      </c>
      <c r="C15" s="3">
        <v>4029</v>
      </c>
      <c r="D15" s="42" t="s">
        <v>38</v>
      </c>
      <c r="E15" s="42" t="s">
        <v>13</v>
      </c>
      <c r="F15" s="2" t="s">
        <v>14</v>
      </c>
      <c r="G15" s="2" t="s">
        <v>89</v>
      </c>
      <c r="H15" s="17">
        <v>44928</v>
      </c>
    </row>
    <row r="16" spans="1:12">
      <c r="A16" s="7" t="s">
        <v>10</v>
      </c>
      <c r="B16" s="2" t="s">
        <v>105</v>
      </c>
      <c r="C16" s="3">
        <v>4032</v>
      </c>
      <c r="D16" s="42" t="s">
        <v>38</v>
      </c>
      <c r="E16" s="42" t="s">
        <v>13</v>
      </c>
      <c r="F16" s="2" t="s">
        <v>14</v>
      </c>
      <c r="G16" s="2" t="s">
        <v>89</v>
      </c>
      <c r="H16" s="17">
        <v>44928</v>
      </c>
    </row>
    <row r="17" spans="1:8">
      <c r="A17" s="7" t="s">
        <v>10</v>
      </c>
      <c r="B17" s="2" t="s">
        <v>106</v>
      </c>
      <c r="C17" s="3">
        <v>4033</v>
      </c>
      <c r="D17" s="42" t="s">
        <v>38</v>
      </c>
      <c r="E17" s="42" t="s">
        <v>13</v>
      </c>
      <c r="F17" s="2" t="s">
        <v>14</v>
      </c>
      <c r="G17" s="2" t="s">
        <v>89</v>
      </c>
      <c r="H17" s="17">
        <v>44928</v>
      </c>
    </row>
    <row r="18" spans="1:8">
      <c r="A18" s="12" t="s">
        <v>10</v>
      </c>
      <c r="B18" s="13" t="s">
        <v>107</v>
      </c>
      <c r="C18" s="13">
        <v>4034</v>
      </c>
      <c r="D18" s="43" t="s">
        <v>38</v>
      </c>
      <c r="E18" s="43" t="s">
        <v>13</v>
      </c>
      <c r="F18" s="13" t="s">
        <v>14</v>
      </c>
      <c r="G18" s="13" t="s">
        <v>89</v>
      </c>
      <c r="H18" s="44">
        <v>44928</v>
      </c>
    </row>
    <row r="19" spans="1:8">
      <c r="A19" s="2" t="s">
        <v>10</v>
      </c>
      <c r="B19" s="2" t="s">
        <v>108</v>
      </c>
      <c r="C19" s="2">
        <v>4039</v>
      </c>
      <c r="D19" s="42" t="s">
        <v>38</v>
      </c>
      <c r="E19" s="42" t="s">
        <v>13</v>
      </c>
      <c r="F19" s="2" t="s">
        <v>14</v>
      </c>
      <c r="G19" s="2" t="s">
        <v>89</v>
      </c>
      <c r="H19" s="126">
        <v>44928</v>
      </c>
    </row>
    <row r="20" spans="1:8">
      <c r="A20" s="2" t="s">
        <v>10</v>
      </c>
      <c r="B20" s="2" t="s">
        <v>109</v>
      </c>
      <c r="C20" s="2">
        <v>4045</v>
      </c>
      <c r="D20" s="42" t="s">
        <v>38</v>
      </c>
      <c r="E20" s="42" t="s">
        <v>13</v>
      </c>
      <c r="F20" s="2" t="s">
        <v>14</v>
      </c>
      <c r="G20" s="2" t="s">
        <v>89</v>
      </c>
      <c r="H20" s="126">
        <v>44928</v>
      </c>
    </row>
    <row r="21" spans="1:8">
      <c r="A21" s="2" t="s">
        <v>10</v>
      </c>
      <c r="B21" s="2" t="s">
        <v>110</v>
      </c>
      <c r="C21" s="2">
        <v>4030</v>
      </c>
      <c r="D21" s="42" t="s">
        <v>38</v>
      </c>
      <c r="E21" s="42" t="s">
        <v>13</v>
      </c>
      <c r="F21" s="2" t="s">
        <v>14</v>
      </c>
      <c r="G21" s="2" t="s">
        <v>89</v>
      </c>
      <c r="H21" s="126">
        <v>44928</v>
      </c>
    </row>
    <row r="22" spans="1:8">
      <c r="A22" s="2" t="s">
        <v>10</v>
      </c>
      <c r="B22" s="2" t="s">
        <v>111</v>
      </c>
      <c r="C22" s="2">
        <v>4037</v>
      </c>
      <c r="D22" s="42" t="s">
        <v>38</v>
      </c>
      <c r="E22" s="42" t="s">
        <v>13</v>
      </c>
      <c r="F22" s="2" t="s">
        <v>14</v>
      </c>
      <c r="G22" s="2" t="s">
        <v>89</v>
      </c>
      <c r="H22" s="126">
        <v>44928</v>
      </c>
    </row>
    <row r="23" spans="1:8">
      <c r="A23" s="2" t="s">
        <v>10</v>
      </c>
      <c r="B23" s="2" t="s">
        <v>112</v>
      </c>
      <c r="C23" s="2">
        <v>4047</v>
      </c>
      <c r="D23" s="42" t="s">
        <v>38</v>
      </c>
      <c r="E23" s="42" t="s">
        <v>13</v>
      </c>
      <c r="F23" s="2" t="s">
        <v>14</v>
      </c>
      <c r="G23" s="2" t="s">
        <v>89</v>
      </c>
      <c r="H23" s="126">
        <v>44928</v>
      </c>
    </row>
    <row r="24" spans="1:8">
      <c r="A24" s="7" t="s">
        <v>10</v>
      </c>
      <c r="B24" s="2" t="s">
        <v>113</v>
      </c>
      <c r="C24" s="3">
        <v>4053</v>
      </c>
      <c r="D24" s="42" t="s">
        <v>38</v>
      </c>
      <c r="E24" s="42" t="s">
        <v>13</v>
      </c>
      <c r="F24" s="2" t="s">
        <v>14</v>
      </c>
      <c r="G24" s="2" t="s">
        <v>89</v>
      </c>
      <c r="H24" s="17">
        <v>44928</v>
      </c>
    </row>
    <row r="25" spans="1:8">
      <c r="A25" s="7" t="s">
        <v>10</v>
      </c>
      <c r="B25" s="2" t="s">
        <v>114</v>
      </c>
      <c r="C25" s="3">
        <v>4054</v>
      </c>
      <c r="D25" s="42" t="s">
        <v>38</v>
      </c>
      <c r="E25" s="42" t="s">
        <v>13</v>
      </c>
      <c r="F25" s="2" t="s">
        <v>14</v>
      </c>
      <c r="G25" s="2" t="s">
        <v>89</v>
      </c>
      <c r="H25" s="17">
        <v>44928</v>
      </c>
    </row>
    <row r="26" spans="1:8">
      <c r="A26" s="7" t="s">
        <v>10</v>
      </c>
      <c r="B26" s="2" t="s">
        <v>115</v>
      </c>
      <c r="C26" s="3">
        <v>4055</v>
      </c>
      <c r="D26" s="42" t="s">
        <v>38</v>
      </c>
      <c r="E26" s="42" t="s">
        <v>13</v>
      </c>
      <c r="F26" s="2" t="s">
        <v>14</v>
      </c>
      <c r="G26" s="2" t="s">
        <v>89</v>
      </c>
      <c r="H26" s="17">
        <v>44928</v>
      </c>
    </row>
    <row r="27" spans="1:8">
      <c r="A27" s="7" t="s">
        <v>10</v>
      </c>
      <c r="B27" s="2" t="s">
        <v>116</v>
      </c>
      <c r="C27" s="3">
        <v>4060</v>
      </c>
      <c r="D27" s="42" t="s">
        <v>38</v>
      </c>
      <c r="E27" s="42" t="s">
        <v>13</v>
      </c>
      <c r="F27" s="2" t="s">
        <v>14</v>
      </c>
      <c r="G27" s="2" t="s">
        <v>89</v>
      </c>
      <c r="H27" s="17">
        <v>44928</v>
      </c>
    </row>
    <row r="28" spans="1:8">
      <c r="A28" s="7" t="s">
        <v>10</v>
      </c>
      <c r="B28" s="2" t="s">
        <v>117</v>
      </c>
      <c r="C28" s="3">
        <v>4062</v>
      </c>
      <c r="D28" s="42" t="s">
        <v>38</v>
      </c>
      <c r="E28" s="42" t="s">
        <v>13</v>
      </c>
      <c r="F28" s="2" t="s">
        <v>14</v>
      </c>
      <c r="G28" s="2" t="s">
        <v>89</v>
      </c>
      <c r="H28" s="17">
        <v>44928</v>
      </c>
    </row>
    <row r="29" spans="1:8">
      <c r="A29" s="12" t="s">
        <v>10</v>
      </c>
      <c r="B29" s="13" t="s">
        <v>118</v>
      </c>
      <c r="C29" s="125">
        <v>4065</v>
      </c>
      <c r="D29" s="43" t="s">
        <v>38</v>
      </c>
      <c r="E29" s="43" t="s">
        <v>13</v>
      </c>
      <c r="F29" s="13" t="s">
        <v>14</v>
      </c>
      <c r="G29" s="2" t="s">
        <v>89</v>
      </c>
      <c r="H29" s="44">
        <v>44928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0016-F953-4A89-8E43-238C87F375D1}">
  <sheetPr codeName="Hoja4"/>
  <dimension ref="A1:M10"/>
  <sheetViews>
    <sheetView workbookViewId="0">
      <selection activeCell="H32" sqref="H32"/>
    </sheetView>
  </sheetViews>
  <sheetFormatPr baseColWidth="10" defaultColWidth="11.42578125" defaultRowHeight="15"/>
  <cols>
    <col min="1" max="1" width="14" bestFit="1" customWidth="1"/>
    <col min="2" max="2" width="11.28515625" bestFit="1" customWidth="1"/>
    <col min="3" max="3" width="13.5703125" bestFit="1" customWidth="1"/>
    <col min="4" max="4" width="13.7109375" bestFit="1" customWidth="1"/>
    <col min="5" max="5" width="15.7109375" bestFit="1" customWidth="1"/>
    <col min="6" max="6" width="19" bestFit="1" customWidth="1"/>
    <col min="7" max="7" width="17.7109375" bestFit="1" customWidth="1"/>
    <col min="8" max="8" width="20" bestFit="1" customWidth="1"/>
    <col min="9" max="9" width="7.140625" customWidth="1"/>
    <col min="10" max="10" width="8.42578125" customWidth="1"/>
    <col min="11" max="11" width="14.7109375" bestFit="1" customWidth="1"/>
    <col min="12" max="12" width="10.28515625" bestFit="1" customWidth="1"/>
    <col min="13" max="13" width="12.5703125" bestFit="1" customWidth="1"/>
  </cols>
  <sheetData>
    <row r="1" spans="1:13">
      <c r="A1" s="9" t="s">
        <v>0</v>
      </c>
      <c r="B1" s="10" t="s">
        <v>87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K1" s="1" t="s">
        <v>8</v>
      </c>
      <c r="L1" s="1" t="s">
        <v>9</v>
      </c>
      <c r="M1" s="1" t="s">
        <v>119</v>
      </c>
    </row>
    <row r="2" spans="1:13">
      <c r="A2" s="7"/>
      <c r="B2" s="3"/>
      <c r="C2" s="3"/>
      <c r="D2" s="45"/>
      <c r="E2" s="45"/>
      <c r="F2" s="3"/>
      <c r="G2" s="3"/>
      <c r="H2" s="8"/>
      <c r="K2" s="5" t="s">
        <v>120</v>
      </c>
      <c r="L2" s="5" t="s">
        <v>121</v>
      </c>
      <c r="M2" s="2" t="s">
        <v>122</v>
      </c>
    </row>
    <row r="3" spans="1:13">
      <c r="K3" s="5" t="s">
        <v>16</v>
      </c>
      <c r="L3" s="5" t="s">
        <v>123</v>
      </c>
      <c r="M3" s="2" t="s">
        <v>124</v>
      </c>
    </row>
    <row r="4" spans="1:13">
      <c r="K4" s="5" t="s">
        <v>125</v>
      </c>
      <c r="L4" s="5" t="s">
        <v>126</v>
      </c>
      <c r="M4" s="2" t="s">
        <v>127</v>
      </c>
    </row>
    <row r="7" spans="1:13">
      <c r="K7" s="47" t="s">
        <v>96</v>
      </c>
      <c r="L7" t="s">
        <v>97</v>
      </c>
    </row>
    <row r="8" spans="1:13">
      <c r="K8" s="48" t="s">
        <v>128</v>
      </c>
    </row>
    <row r="9" spans="1:13">
      <c r="K9" s="49" t="s">
        <v>128</v>
      </c>
    </row>
    <row r="10" spans="1:13">
      <c r="K10" s="48" t="s">
        <v>41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E2801-AC36-42AC-A25A-4978D5BC7C7A}">
  <sheetPr codeName="Hoja3"/>
  <dimension ref="A1:K129"/>
  <sheetViews>
    <sheetView zoomScale="80" zoomScaleNormal="80" workbookViewId="0">
      <selection activeCell="A4" sqref="A4"/>
    </sheetView>
  </sheetViews>
  <sheetFormatPr baseColWidth="10" defaultColWidth="11.42578125" defaultRowHeight="15"/>
  <cols>
    <col min="1" max="1" width="14" bestFit="1" customWidth="1"/>
    <col min="2" max="2" width="11.28515625" bestFit="1" customWidth="1"/>
    <col min="3" max="3" width="13.5703125" bestFit="1" customWidth="1"/>
    <col min="4" max="4" width="13.7109375" bestFit="1" customWidth="1"/>
    <col min="5" max="5" width="15.7109375" bestFit="1" customWidth="1"/>
    <col min="6" max="6" width="19" bestFit="1" customWidth="1"/>
    <col min="7" max="7" width="29.140625" bestFit="1" customWidth="1"/>
    <col min="8" max="8" width="20" bestFit="1" customWidth="1"/>
    <col min="10" max="10" width="19.85546875" bestFit="1" customWidth="1"/>
    <col min="11" max="11" width="10.85546875" bestFit="1" customWidth="1"/>
    <col min="12" max="12" width="16.140625" bestFit="1" customWidth="1"/>
  </cols>
  <sheetData>
    <row r="1" spans="1:11">
      <c r="A1" s="39" t="s">
        <v>0</v>
      </c>
      <c r="B1" s="40" t="s">
        <v>87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1" t="s">
        <v>7</v>
      </c>
      <c r="J1" s="1" t="s">
        <v>8</v>
      </c>
      <c r="K1" s="1" t="s">
        <v>9</v>
      </c>
    </row>
    <row r="2" spans="1:11">
      <c r="A2" s="7" t="s">
        <v>10</v>
      </c>
      <c r="B2" s="2" t="s">
        <v>129</v>
      </c>
      <c r="C2" s="2">
        <v>1000</v>
      </c>
      <c r="D2" s="42" t="s">
        <v>12</v>
      </c>
      <c r="E2" s="42" t="s">
        <v>13</v>
      </c>
      <c r="F2" s="2" t="s">
        <v>14</v>
      </c>
      <c r="G2" s="2" t="s">
        <v>130</v>
      </c>
      <c r="H2" s="8">
        <v>44912</v>
      </c>
      <c r="J2" s="5" t="s">
        <v>16</v>
      </c>
      <c r="K2" s="5" t="s">
        <v>131</v>
      </c>
    </row>
    <row r="3" spans="1:11">
      <c r="A3" s="7" t="s">
        <v>10</v>
      </c>
      <c r="B3" s="2" t="s">
        <v>132</v>
      </c>
      <c r="C3" s="2">
        <v>1001</v>
      </c>
      <c r="D3" s="42" t="s">
        <v>12</v>
      </c>
      <c r="E3" s="42" t="s">
        <v>13</v>
      </c>
      <c r="F3" s="2" t="s">
        <v>14</v>
      </c>
      <c r="G3" s="2" t="s">
        <v>130</v>
      </c>
      <c r="H3" s="8">
        <v>44912</v>
      </c>
      <c r="J3" s="5" t="s">
        <v>19</v>
      </c>
      <c r="K3" s="5" t="s">
        <v>133</v>
      </c>
    </row>
    <row r="4" spans="1:11">
      <c r="A4" s="7" t="s">
        <v>10</v>
      </c>
      <c r="B4" s="2" t="s">
        <v>134</v>
      </c>
      <c r="C4" s="2">
        <v>1018</v>
      </c>
      <c r="D4" s="42" t="s">
        <v>12</v>
      </c>
      <c r="E4" s="42" t="s">
        <v>13</v>
      </c>
      <c r="F4" s="2" t="s">
        <v>14</v>
      </c>
      <c r="G4" s="2" t="s">
        <v>130</v>
      </c>
      <c r="H4" s="8">
        <v>44933</v>
      </c>
      <c r="J4" s="5" t="s">
        <v>19</v>
      </c>
      <c r="K4" s="5" t="s">
        <v>135</v>
      </c>
    </row>
    <row r="5" spans="1:11">
      <c r="A5" s="7" t="s">
        <v>10</v>
      </c>
      <c r="B5" s="2" t="s">
        <v>136</v>
      </c>
      <c r="C5" s="2">
        <v>1019</v>
      </c>
      <c r="D5" s="2" t="s">
        <v>12</v>
      </c>
      <c r="E5" s="42" t="s">
        <v>13</v>
      </c>
      <c r="F5" s="2" t="s">
        <v>14</v>
      </c>
      <c r="G5" s="2" t="s">
        <v>130</v>
      </c>
      <c r="H5" s="8">
        <v>44933</v>
      </c>
      <c r="J5" s="5" t="s">
        <v>19</v>
      </c>
      <c r="K5" s="5" t="s">
        <v>137</v>
      </c>
    </row>
    <row r="6" spans="1:11">
      <c r="A6" s="7" t="s">
        <v>10</v>
      </c>
      <c r="B6" s="2" t="s">
        <v>138</v>
      </c>
      <c r="C6" s="2">
        <v>1020</v>
      </c>
      <c r="D6" s="2" t="s">
        <v>12</v>
      </c>
      <c r="E6" s="42" t="s">
        <v>13</v>
      </c>
      <c r="F6" s="2" t="s">
        <v>14</v>
      </c>
      <c r="G6" s="2" t="s">
        <v>130</v>
      </c>
      <c r="H6" s="8">
        <v>44933</v>
      </c>
    </row>
    <row r="7" spans="1:11">
      <c r="A7" s="7" t="s">
        <v>10</v>
      </c>
      <c r="B7" s="2" t="s">
        <v>139</v>
      </c>
      <c r="C7" s="2">
        <v>1021</v>
      </c>
      <c r="D7" s="2" t="s">
        <v>12</v>
      </c>
      <c r="E7" s="42" t="s">
        <v>13</v>
      </c>
      <c r="F7" s="2" t="s">
        <v>14</v>
      </c>
      <c r="G7" s="2" t="s">
        <v>130</v>
      </c>
      <c r="H7" s="8">
        <v>44933</v>
      </c>
    </row>
    <row r="8" spans="1:11">
      <c r="A8" s="7" t="s">
        <v>10</v>
      </c>
      <c r="B8" s="2" t="s">
        <v>140</v>
      </c>
      <c r="C8" s="2">
        <v>1022</v>
      </c>
      <c r="D8" s="2" t="s">
        <v>12</v>
      </c>
      <c r="E8" s="42" t="s">
        <v>13</v>
      </c>
      <c r="F8" s="2" t="s">
        <v>14</v>
      </c>
      <c r="G8" s="2" t="s">
        <v>130</v>
      </c>
      <c r="H8" s="8">
        <v>44933</v>
      </c>
      <c r="J8" s="47" t="s">
        <v>96</v>
      </c>
      <c r="K8" t="s">
        <v>97</v>
      </c>
    </row>
    <row r="9" spans="1:11">
      <c r="A9" s="7" t="s">
        <v>10</v>
      </c>
      <c r="B9" s="2" t="s">
        <v>141</v>
      </c>
      <c r="C9" s="2">
        <v>1023</v>
      </c>
      <c r="D9" s="2" t="s">
        <v>12</v>
      </c>
      <c r="E9" s="42" t="s">
        <v>25</v>
      </c>
      <c r="F9" s="2" t="s">
        <v>14</v>
      </c>
      <c r="G9" s="2" t="s">
        <v>130</v>
      </c>
      <c r="H9" s="8">
        <v>44933</v>
      </c>
      <c r="J9" s="48" t="s">
        <v>12</v>
      </c>
      <c r="K9">
        <v>10</v>
      </c>
    </row>
    <row r="10" spans="1:11">
      <c r="A10" s="7" t="s">
        <v>10</v>
      </c>
      <c r="B10" s="2" t="s">
        <v>142</v>
      </c>
      <c r="C10" s="2">
        <v>1028</v>
      </c>
      <c r="D10" s="2" t="s">
        <v>12</v>
      </c>
      <c r="E10" s="42" t="s">
        <v>13</v>
      </c>
      <c r="F10" s="2" t="s">
        <v>14</v>
      </c>
      <c r="G10" s="2" t="s">
        <v>130</v>
      </c>
      <c r="H10" s="8">
        <v>44933</v>
      </c>
      <c r="J10" s="49" t="s">
        <v>14</v>
      </c>
      <c r="K10">
        <v>10</v>
      </c>
    </row>
    <row r="11" spans="1:11">
      <c r="A11" s="7" t="s">
        <v>10</v>
      </c>
      <c r="B11" s="2" t="s">
        <v>143</v>
      </c>
      <c r="C11" s="2">
        <v>1029</v>
      </c>
      <c r="D11" s="2" t="s">
        <v>12</v>
      </c>
      <c r="E11" s="42" t="s">
        <v>13</v>
      </c>
      <c r="F11" s="2" t="s">
        <v>14</v>
      </c>
      <c r="G11" s="2" t="s">
        <v>130</v>
      </c>
      <c r="H11" s="8">
        <v>44933</v>
      </c>
      <c r="J11" s="48" t="s">
        <v>34</v>
      </c>
      <c r="K11">
        <v>12</v>
      </c>
    </row>
    <row r="12" spans="1:11">
      <c r="A12" s="7" t="s">
        <v>10</v>
      </c>
      <c r="B12" s="2" t="s">
        <v>144</v>
      </c>
      <c r="C12" s="2">
        <v>2084</v>
      </c>
      <c r="D12" s="42" t="s">
        <v>34</v>
      </c>
      <c r="E12" s="42" t="s">
        <v>13</v>
      </c>
      <c r="F12" s="2" t="s">
        <v>145</v>
      </c>
      <c r="G12" s="2" t="s">
        <v>130</v>
      </c>
      <c r="H12" s="8">
        <v>44933</v>
      </c>
      <c r="J12" s="49" t="s">
        <v>145</v>
      </c>
      <c r="K12">
        <v>12</v>
      </c>
    </row>
    <row r="13" spans="1:11">
      <c r="A13" s="7" t="s">
        <v>10</v>
      </c>
      <c r="B13" s="2" t="s">
        <v>146</v>
      </c>
      <c r="C13" s="2">
        <v>2085</v>
      </c>
      <c r="D13" s="42" t="s">
        <v>34</v>
      </c>
      <c r="E13" s="42" t="s">
        <v>13</v>
      </c>
      <c r="F13" s="2" t="s">
        <v>145</v>
      </c>
      <c r="G13" s="2" t="s">
        <v>130</v>
      </c>
      <c r="H13" s="8">
        <v>44933</v>
      </c>
      <c r="J13" s="48" t="s">
        <v>147</v>
      </c>
      <c r="K13">
        <v>75</v>
      </c>
    </row>
    <row r="14" spans="1:11">
      <c r="A14" s="7" t="s">
        <v>10</v>
      </c>
      <c r="B14" s="2" t="s">
        <v>148</v>
      </c>
      <c r="C14" s="2">
        <v>2088</v>
      </c>
      <c r="D14" s="42" t="s">
        <v>34</v>
      </c>
      <c r="E14" s="42" t="s">
        <v>13</v>
      </c>
      <c r="F14" s="2" t="s">
        <v>145</v>
      </c>
      <c r="G14" s="2" t="s">
        <v>130</v>
      </c>
      <c r="H14" s="8">
        <v>44933</v>
      </c>
      <c r="J14" s="49" t="s">
        <v>149</v>
      </c>
      <c r="K14">
        <v>75</v>
      </c>
    </row>
    <row r="15" spans="1:11">
      <c r="A15" s="7" t="s">
        <v>10</v>
      </c>
      <c r="B15" s="2" t="s">
        <v>150</v>
      </c>
      <c r="C15" s="2">
        <v>2089</v>
      </c>
      <c r="D15" s="42" t="s">
        <v>34</v>
      </c>
      <c r="E15" s="42" t="s">
        <v>13</v>
      </c>
      <c r="F15" s="2" t="s">
        <v>145</v>
      </c>
      <c r="G15" s="2" t="s">
        <v>130</v>
      </c>
      <c r="H15" s="8">
        <v>44933</v>
      </c>
      <c r="J15" s="48" t="s">
        <v>38</v>
      </c>
      <c r="K15">
        <v>31</v>
      </c>
    </row>
    <row r="16" spans="1:11">
      <c r="A16" s="7" t="s">
        <v>10</v>
      </c>
      <c r="B16" s="2" t="s">
        <v>151</v>
      </c>
      <c r="C16" s="2">
        <v>2090</v>
      </c>
      <c r="D16" s="42" t="s">
        <v>34</v>
      </c>
      <c r="E16" s="42" t="s">
        <v>13</v>
      </c>
      <c r="F16" s="2" t="s">
        <v>145</v>
      </c>
      <c r="G16" s="2" t="s">
        <v>130</v>
      </c>
      <c r="H16" s="8">
        <v>44933</v>
      </c>
      <c r="J16" s="49" t="s">
        <v>145</v>
      </c>
      <c r="K16">
        <v>24</v>
      </c>
    </row>
    <row r="17" spans="1:11">
      <c r="A17" s="7" t="s">
        <v>10</v>
      </c>
      <c r="B17" s="2" t="s">
        <v>152</v>
      </c>
      <c r="C17" s="2">
        <v>2092</v>
      </c>
      <c r="D17" s="42" t="s">
        <v>34</v>
      </c>
      <c r="E17" s="42" t="s">
        <v>13</v>
      </c>
      <c r="F17" s="2" t="s">
        <v>145</v>
      </c>
      <c r="G17" s="2" t="s">
        <v>130</v>
      </c>
      <c r="H17" s="8">
        <v>44933</v>
      </c>
      <c r="J17" s="49" t="s">
        <v>14</v>
      </c>
      <c r="K17">
        <v>7</v>
      </c>
    </row>
    <row r="18" spans="1:11">
      <c r="A18" s="7" t="s">
        <v>10</v>
      </c>
      <c r="B18" s="2" t="s">
        <v>153</v>
      </c>
      <c r="C18" s="2">
        <v>2093</v>
      </c>
      <c r="D18" s="42" t="s">
        <v>34</v>
      </c>
      <c r="E18" s="42" t="s">
        <v>13</v>
      </c>
      <c r="F18" s="2" t="s">
        <v>145</v>
      </c>
      <c r="G18" s="2" t="s">
        <v>130</v>
      </c>
      <c r="H18" s="8">
        <v>44933</v>
      </c>
      <c r="J18" s="48" t="s">
        <v>41</v>
      </c>
      <c r="K18">
        <v>128</v>
      </c>
    </row>
    <row r="19" spans="1:11">
      <c r="A19" s="7" t="s">
        <v>10</v>
      </c>
      <c r="B19" s="2" t="s">
        <v>154</v>
      </c>
      <c r="C19" s="2">
        <v>2094</v>
      </c>
      <c r="D19" s="42" t="s">
        <v>34</v>
      </c>
      <c r="E19" s="42" t="s">
        <v>13</v>
      </c>
      <c r="F19" s="2" t="s">
        <v>145</v>
      </c>
      <c r="G19" s="2" t="s">
        <v>130</v>
      </c>
      <c r="H19" s="8">
        <v>44933</v>
      </c>
    </row>
    <row r="20" spans="1:11">
      <c r="A20" s="7" t="s">
        <v>10</v>
      </c>
      <c r="B20" s="2" t="s">
        <v>155</v>
      </c>
      <c r="C20" s="2">
        <v>2111</v>
      </c>
      <c r="D20" s="42" t="s">
        <v>34</v>
      </c>
      <c r="E20" s="42" t="s">
        <v>13</v>
      </c>
      <c r="F20" s="2" t="s">
        <v>145</v>
      </c>
      <c r="G20" s="2" t="s">
        <v>130</v>
      </c>
      <c r="H20" s="8">
        <v>44933</v>
      </c>
      <c r="J20" s="294" t="s">
        <v>45</v>
      </c>
    </row>
    <row r="21" spans="1:11">
      <c r="A21" s="7" t="s">
        <v>10</v>
      </c>
      <c r="B21" s="16" t="s">
        <v>156</v>
      </c>
      <c r="C21" s="2">
        <v>3000</v>
      </c>
      <c r="D21" s="42" t="s">
        <v>147</v>
      </c>
      <c r="E21" s="42" t="s">
        <v>25</v>
      </c>
      <c r="F21" s="2" t="s">
        <v>149</v>
      </c>
      <c r="G21" s="2" t="s">
        <v>130</v>
      </c>
      <c r="H21" s="8">
        <v>44933</v>
      </c>
      <c r="J21" s="295" t="s">
        <v>157</v>
      </c>
      <c r="K21" s="129">
        <v>45743</v>
      </c>
    </row>
    <row r="22" spans="1:11">
      <c r="A22" s="7" t="s">
        <v>10</v>
      </c>
      <c r="B22" s="16" t="s">
        <v>158</v>
      </c>
      <c r="C22" s="2">
        <v>3001</v>
      </c>
      <c r="D22" s="42" t="s">
        <v>147</v>
      </c>
      <c r="E22" s="42" t="s">
        <v>25</v>
      </c>
      <c r="F22" s="2" t="s">
        <v>149</v>
      </c>
      <c r="G22" s="2" t="s">
        <v>130</v>
      </c>
      <c r="H22" s="8">
        <v>44933</v>
      </c>
    </row>
    <row r="23" spans="1:11">
      <c r="A23" s="7" t="s">
        <v>10</v>
      </c>
      <c r="B23" s="16" t="s">
        <v>159</v>
      </c>
      <c r="C23" s="2">
        <v>3002</v>
      </c>
      <c r="D23" s="42" t="s">
        <v>147</v>
      </c>
      <c r="E23" s="42" t="s">
        <v>25</v>
      </c>
      <c r="F23" s="2" t="s">
        <v>149</v>
      </c>
      <c r="G23" s="2" t="s">
        <v>130</v>
      </c>
      <c r="H23" s="8">
        <v>44933</v>
      </c>
    </row>
    <row r="24" spans="1:11">
      <c r="A24" s="7" t="s">
        <v>10</v>
      </c>
      <c r="B24" s="16" t="s">
        <v>160</v>
      </c>
      <c r="C24" s="2">
        <v>3004</v>
      </c>
      <c r="D24" s="42" t="s">
        <v>147</v>
      </c>
      <c r="E24" s="42" t="s">
        <v>25</v>
      </c>
      <c r="F24" s="2" t="s">
        <v>149</v>
      </c>
      <c r="G24" s="2" t="s">
        <v>130</v>
      </c>
      <c r="H24" s="8">
        <v>44933</v>
      </c>
    </row>
    <row r="25" spans="1:11">
      <c r="A25" s="7" t="s">
        <v>10</v>
      </c>
      <c r="B25" s="16" t="s">
        <v>161</v>
      </c>
      <c r="C25" s="2">
        <v>3005</v>
      </c>
      <c r="D25" s="42" t="s">
        <v>147</v>
      </c>
      <c r="E25" s="42" t="s">
        <v>25</v>
      </c>
      <c r="F25" s="2" t="s">
        <v>149</v>
      </c>
      <c r="G25" s="2" t="s">
        <v>130</v>
      </c>
      <c r="H25" s="8">
        <v>44933</v>
      </c>
    </row>
    <row r="26" spans="1:11">
      <c r="A26" s="7" t="s">
        <v>10</v>
      </c>
      <c r="B26" s="16" t="s">
        <v>162</v>
      </c>
      <c r="C26" s="2">
        <v>3006</v>
      </c>
      <c r="D26" s="42" t="s">
        <v>147</v>
      </c>
      <c r="E26" s="42" t="s">
        <v>25</v>
      </c>
      <c r="F26" s="2" t="s">
        <v>149</v>
      </c>
      <c r="G26" s="2" t="s">
        <v>130</v>
      </c>
      <c r="H26" s="8">
        <v>44933</v>
      </c>
    </row>
    <row r="27" spans="1:11">
      <c r="A27" s="7" t="s">
        <v>10</v>
      </c>
      <c r="B27" s="16" t="s">
        <v>163</v>
      </c>
      <c r="C27" s="2">
        <v>3007</v>
      </c>
      <c r="D27" s="42" t="s">
        <v>147</v>
      </c>
      <c r="E27" s="42" t="s">
        <v>25</v>
      </c>
      <c r="F27" s="2" t="s">
        <v>149</v>
      </c>
      <c r="G27" s="2" t="s">
        <v>130</v>
      </c>
      <c r="H27" s="8">
        <v>44933</v>
      </c>
    </row>
    <row r="28" spans="1:11">
      <c r="A28" s="7" t="s">
        <v>10</v>
      </c>
      <c r="B28" s="16" t="s">
        <v>164</v>
      </c>
      <c r="C28" s="2">
        <v>3008</v>
      </c>
      <c r="D28" s="42" t="s">
        <v>147</v>
      </c>
      <c r="E28" s="42" t="s">
        <v>25</v>
      </c>
      <c r="F28" s="2" t="s">
        <v>149</v>
      </c>
      <c r="G28" s="2" t="s">
        <v>130</v>
      </c>
      <c r="H28" s="8">
        <v>44933</v>
      </c>
    </row>
    <row r="29" spans="1:11">
      <c r="A29" s="7" t="s">
        <v>10</v>
      </c>
      <c r="B29" s="16" t="s">
        <v>165</v>
      </c>
      <c r="C29" s="2">
        <v>3009</v>
      </c>
      <c r="D29" s="42" t="s">
        <v>147</v>
      </c>
      <c r="E29" s="42" t="s">
        <v>25</v>
      </c>
      <c r="F29" s="2" t="s">
        <v>149</v>
      </c>
      <c r="G29" s="2" t="s">
        <v>130</v>
      </c>
      <c r="H29" s="8">
        <v>44933</v>
      </c>
    </row>
    <row r="30" spans="1:11">
      <c r="A30" s="7" t="s">
        <v>10</v>
      </c>
      <c r="B30" s="16" t="s">
        <v>166</v>
      </c>
      <c r="C30" s="2">
        <v>3010</v>
      </c>
      <c r="D30" s="42" t="s">
        <v>147</v>
      </c>
      <c r="E30" s="42" t="s">
        <v>13</v>
      </c>
      <c r="F30" s="2" t="s">
        <v>149</v>
      </c>
      <c r="G30" s="2" t="s">
        <v>130</v>
      </c>
      <c r="H30" s="8">
        <v>44933</v>
      </c>
    </row>
    <row r="31" spans="1:11">
      <c r="A31" s="7" t="s">
        <v>10</v>
      </c>
      <c r="B31" s="16" t="s">
        <v>167</v>
      </c>
      <c r="C31" s="2">
        <v>3011</v>
      </c>
      <c r="D31" s="42" t="s">
        <v>147</v>
      </c>
      <c r="E31" s="42" t="s">
        <v>13</v>
      </c>
      <c r="F31" s="2" t="s">
        <v>149</v>
      </c>
      <c r="G31" s="2" t="s">
        <v>130</v>
      </c>
      <c r="H31" s="8">
        <v>44933</v>
      </c>
    </row>
    <row r="32" spans="1:11">
      <c r="A32" s="7" t="s">
        <v>10</v>
      </c>
      <c r="B32" s="16" t="s">
        <v>168</v>
      </c>
      <c r="C32" s="2">
        <v>3012</v>
      </c>
      <c r="D32" s="42" t="s">
        <v>147</v>
      </c>
      <c r="E32" s="42" t="s">
        <v>13</v>
      </c>
      <c r="F32" s="2" t="s">
        <v>149</v>
      </c>
      <c r="G32" s="2" t="s">
        <v>130</v>
      </c>
      <c r="H32" s="8">
        <v>44933</v>
      </c>
    </row>
    <row r="33" spans="1:8">
      <c r="A33" s="7" t="s">
        <v>10</v>
      </c>
      <c r="B33" s="16" t="s">
        <v>169</v>
      </c>
      <c r="C33" s="2">
        <v>3013</v>
      </c>
      <c r="D33" s="42" t="s">
        <v>147</v>
      </c>
      <c r="E33" s="42" t="s">
        <v>13</v>
      </c>
      <c r="F33" s="2" t="s">
        <v>149</v>
      </c>
      <c r="G33" s="2" t="s">
        <v>130</v>
      </c>
      <c r="H33" s="8">
        <v>44933</v>
      </c>
    </row>
    <row r="34" spans="1:8">
      <c r="A34" s="7" t="s">
        <v>10</v>
      </c>
      <c r="B34" s="16" t="s">
        <v>170</v>
      </c>
      <c r="C34" s="2">
        <v>3014</v>
      </c>
      <c r="D34" s="42" t="s">
        <v>147</v>
      </c>
      <c r="E34" s="42" t="s">
        <v>13</v>
      </c>
      <c r="F34" s="2" t="s">
        <v>149</v>
      </c>
      <c r="G34" s="2" t="s">
        <v>130</v>
      </c>
      <c r="H34" s="8">
        <v>44933</v>
      </c>
    </row>
    <row r="35" spans="1:8">
      <c r="A35" s="7" t="s">
        <v>10</v>
      </c>
      <c r="B35" s="16" t="s">
        <v>171</v>
      </c>
      <c r="C35" s="2">
        <v>3015</v>
      </c>
      <c r="D35" s="42" t="s">
        <v>147</v>
      </c>
      <c r="E35" s="42" t="s">
        <v>13</v>
      </c>
      <c r="F35" s="2" t="s">
        <v>149</v>
      </c>
      <c r="G35" s="2" t="s">
        <v>130</v>
      </c>
      <c r="H35" s="8">
        <v>44933</v>
      </c>
    </row>
    <row r="36" spans="1:8">
      <c r="A36" s="7" t="s">
        <v>10</v>
      </c>
      <c r="B36" s="16" t="s">
        <v>172</v>
      </c>
      <c r="C36" s="2">
        <v>3016</v>
      </c>
      <c r="D36" s="42" t="s">
        <v>147</v>
      </c>
      <c r="E36" s="42" t="s">
        <v>13</v>
      </c>
      <c r="F36" s="2" t="s">
        <v>149</v>
      </c>
      <c r="G36" s="2" t="s">
        <v>130</v>
      </c>
      <c r="H36" s="8">
        <v>44933</v>
      </c>
    </row>
    <row r="37" spans="1:8">
      <c r="A37" s="7" t="s">
        <v>10</v>
      </c>
      <c r="B37" s="16" t="s">
        <v>173</v>
      </c>
      <c r="C37" s="2">
        <v>3017</v>
      </c>
      <c r="D37" s="42" t="s">
        <v>147</v>
      </c>
      <c r="E37" s="42" t="s">
        <v>13</v>
      </c>
      <c r="F37" s="2" t="s">
        <v>149</v>
      </c>
      <c r="G37" s="2" t="s">
        <v>130</v>
      </c>
      <c r="H37" s="8">
        <v>44933</v>
      </c>
    </row>
    <row r="38" spans="1:8">
      <c r="A38" s="7" t="s">
        <v>10</v>
      </c>
      <c r="B38" s="16" t="s">
        <v>174</v>
      </c>
      <c r="C38" s="2">
        <v>3018</v>
      </c>
      <c r="D38" s="42" t="s">
        <v>147</v>
      </c>
      <c r="E38" s="42" t="s">
        <v>13</v>
      </c>
      <c r="F38" s="2" t="s">
        <v>149</v>
      </c>
      <c r="G38" s="2" t="s">
        <v>130</v>
      </c>
      <c r="H38" s="8">
        <v>44933</v>
      </c>
    </row>
    <row r="39" spans="1:8">
      <c r="A39" s="7" t="s">
        <v>10</v>
      </c>
      <c r="B39" s="16" t="s">
        <v>175</v>
      </c>
      <c r="C39" s="2">
        <v>3019</v>
      </c>
      <c r="D39" s="42" t="s">
        <v>147</v>
      </c>
      <c r="E39" s="42" t="s">
        <v>13</v>
      </c>
      <c r="F39" s="2" t="s">
        <v>149</v>
      </c>
      <c r="G39" s="2" t="s">
        <v>130</v>
      </c>
      <c r="H39" s="8">
        <v>44933</v>
      </c>
    </row>
    <row r="40" spans="1:8">
      <c r="A40" s="7" t="s">
        <v>10</v>
      </c>
      <c r="B40" s="16" t="s">
        <v>176</v>
      </c>
      <c r="C40" s="2">
        <v>3020</v>
      </c>
      <c r="D40" s="42" t="s">
        <v>147</v>
      </c>
      <c r="E40" s="42" t="s">
        <v>13</v>
      </c>
      <c r="F40" s="2" t="s">
        <v>149</v>
      </c>
      <c r="G40" s="2" t="s">
        <v>130</v>
      </c>
      <c r="H40" s="8">
        <v>44933</v>
      </c>
    </row>
    <row r="41" spans="1:8">
      <c r="A41" s="7" t="s">
        <v>10</v>
      </c>
      <c r="B41" s="16" t="s">
        <v>177</v>
      </c>
      <c r="C41" s="2">
        <v>3021</v>
      </c>
      <c r="D41" s="42" t="s">
        <v>147</v>
      </c>
      <c r="E41" s="42" t="s">
        <v>13</v>
      </c>
      <c r="F41" s="2" t="s">
        <v>149</v>
      </c>
      <c r="G41" s="2" t="s">
        <v>130</v>
      </c>
      <c r="H41" s="8">
        <v>44933</v>
      </c>
    </row>
    <row r="42" spans="1:8">
      <c r="A42" s="7" t="s">
        <v>10</v>
      </c>
      <c r="B42" s="16" t="s">
        <v>178</v>
      </c>
      <c r="C42" s="2">
        <v>3022</v>
      </c>
      <c r="D42" s="42" t="s">
        <v>147</v>
      </c>
      <c r="E42" s="42" t="s">
        <v>13</v>
      </c>
      <c r="F42" s="2" t="s">
        <v>149</v>
      </c>
      <c r="G42" s="2" t="s">
        <v>130</v>
      </c>
      <c r="H42" s="8">
        <v>44933</v>
      </c>
    </row>
    <row r="43" spans="1:8">
      <c r="A43" s="7" t="s">
        <v>10</v>
      </c>
      <c r="B43" s="16" t="s">
        <v>179</v>
      </c>
      <c r="C43" s="2">
        <v>3023</v>
      </c>
      <c r="D43" s="42" t="s">
        <v>147</v>
      </c>
      <c r="E43" s="42" t="s">
        <v>13</v>
      </c>
      <c r="F43" s="2" t="s">
        <v>149</v>
      </c>
      <c r="G43" s="2" t="s">
        <v>130</v>
      </c>
      <c r="H43" s="8">
        <v>44933</v>
      </c>
    </row>
    <row r="44" spans="1:8">
      <c r="A44" s="7" t="s">
        <v>10</v>
      </c>
      <c r="B44" s="16" t="s">
        <v>180</v>
      </c>
      <c r="C44" s="2">
        <v>3024</v>
      </c>
      <c r="D44" s="42" t="s">
        <v>147</v>
      </c>
      <c r="E44" s="42" t="s">
        <v>13</v>
      </c>
      <c r="F44" s="2" t="s">
        <v>149</v>
      </c>
      <c r="G44" s="2" t="s">
        <v>130</v>
      </c>
      <c r="H44" s="8">
        <v>44933</v>
      </c>
    </row>
    <row r="45" spans="1:8">
      <c r="A45" s="7" t="s">
        <v>10</v>
      </c>
      <c r="B45" s="16" t="s">
        <v>181</v>
      </c>
      <c r="C45" s="2">
        <v>3025</v>
      </c>
      <c r="D45" s="42" t="s">
        <v>147</v>
      </c>
      <c r="E45" s="42" t="s">
        <v>13</v>
      </c>
      <c r="F45" s="2" t="s">
        <v>149</v>
      </c>
      <c r="G45" s="2" t="s">
        <v>130</v>
      </c>
      <c r="H45" s="8">
        <v>44933</v>
      </c>
    </row>
    <row r="46" spans="1:8">
      <c r="A46" s="7" t="s">
        <v>10</v>
      </c>
      <c r="B46" s="16" t="s">
        <v>182</v>
      </c>
      <c r="C46" s="2">
        <v>3026</v>
      </c>
      <c r="D46" s="42" t="s">
        <v>147</v>
      </c>
      <c r="E46" s="42" t="s">
        <v>13</v>
      </c>
      <c r="F46" s="2" t="s">
        <v>149</v>
      </c>
      <c r="G46" s="2" t="s">
        <v>130</v>
      </c>
      <c r="H46" s="8">
        <v>44933</v>
      </c>
    </row>
    <row r="47" spans="1:8">
      <c r="A47" s="7" t="s">
        <v>10</v>
      </c>
      <c r="B47" s="16" t="s">
        <v>183</v>
      </c>
      <c r="C47" s="2">
        <v>3027</v>
      </c>
      <c r="D47" s="42" t="s">
        <v>147</v>
      </c>
      <c r="E47" s="42" t="s">
        <v>13</v>
      </c>
      <c r="F47" s="2" t="s">
        <v>149</v>
      </c>
      <c r="G47" s="2" t="s">
        <v>130</v>
      </c>
      <c r="H47" s="8">
        <v>44933</v>
      </c>
    </row>
    <row r="48" spans="1:8">
      <c r="A48" s="7" t="s">
        <v>10</v>
      </c>
      <c r="B48" s="16" t="s">
        <v>184</v>
      </c>
      <c r="C48" s="2">
        <v>3028</v>
      </c>
      <c r="D48" s="42" t="s">
        <v>147</v>
      </c>
      <c r="E48" s="42" t="s">
        <v>13</v>
      </c>
      <c r="F48" s="2" t="s">
        <v>149</v>
      </c>
      <c r="G48" s="2" t="s">
        <v>130</v>
      </c>
      <c r="H48" s="8">
        <v>44933</v>
      </c>
    </row>
    <row r="49" spans="1:8">
      <c r="A49" s="7" t="s">
        <v>10</v>
      </c>
      <c r="B49" s="16" t="s">
        <v>185</v>
      </c>
      <c r="C49" s="2">
        <v>3029</v>
      </c>
      <c r="D49" s="42" t="s">
        <v>147</v>
      </c>
      <c r="E49" s="42" t="s">
        <v>13</v>
      </c>
      <c r="F49" s="2" t="s">
        <v>149</v>
      </c>
      <c r="G49" s="2" t="s">
        <v>130</v>
      </c>
      <c r="H49" s="8">
        <v>44933</v>
      </c>
    </row>
    <row r="50" spans="1:8">
      <c r="A50" s="7" t="s">
        <v>10</v>
      </c>
      <c r="B50" s="16" t="s">
        <v>186</v>
      </c>
      <c r="C50" s="2">
        <v>3030</v>
      </c>
      <c r="D50" s="42" t="s">
        <v>147</v>
      </c>
      <c r="E50" s="42" t="s">
        <v>13</v>
      </c>
      <c r="F50" s="2" t="s">
        <v>149</v>
      </c>
      <c r="G50" s="2" t="s">
        <v>130</v>
      </c>
      <c r="H50" s="8">
        <v>44933</v>
      </c>
    </row>
    <row r="51" spans="1:8">
      <c r="A51" s="7" t="s">
        <v>10</v>
      </c>
      <c r="B51" s="16" t="s">
        <v>187</v>
      </c>
      <c r="C51" s="2">
        <v>3031</v>
      </c>
      <c r="D51" s="42" t="s">
        <v>147</v>
      </c>
      <c r="E51" s="42" t="s">
        <v>13</v>
      </c>
      <c r="F51" s="2" t="s">
        <v>149</v>
      </c>
      <c r="G51" s="2" t="s">
        <v>130</v>
      </c>
      <c r="H51" s="8">
        <v>44933</v>
      </c>
    </row>
    <row r="52" spans="1:8">
      <c r="A52" s="7" t="s">
        <v>10</v>
      </c>
      <c r="B52" s="16" t="s">
        <v>188</v>
      </c>
      <c r="C52" s="2">
        <v>3032</v>
      </c>
      <c r="D52" s="42" t="s">
        <v>147</v>
      </c>
      <c r="E52" s="42" t="s">
        <v>13</v>
      </c>
      <c r="F52" s="2" t="s">
        <v>149</v>
      </c>
      <c r="G52" s="2" t="s">
        <v>130</v>
      </c>
      <c r="H52" s="8">
        <v>44933</v>
      </c>
    </row>
    <row r="53" spans="1:8">
      <c r="A53" s="7" t="s">
        <v>10</v>
      </c>
      <c r="B53" s="16" t="s">
        <v>189</v>
      </c>
      <c r="C53" s="2">
        <v>3033</v>
      </c>
      <c r="D53" s="42" t="s">
        <v>147</v>
      </c>
      <c r="E53" s="42" t="s">
        <v>13</v>
      </c>
      <c r="F53" s="2" t="s">
        <v>149</v>
      </c>
      <c r="G53" s="2" t="s">
        <v>130</v>
      </c>
      <c r="H53" s="8">
        <v>44933</v>
      </c>
    </row>
    <row r="54" spans="1:8">
      <c r="A54" s="7" t="s">
        <v>10</v>
      </c>
      <c r="B54" s="16" t="s">
        <v>190</v>
      </c>
      <c r="C54" s="2">
        <v>3034</v>
      </c>
      <c r="D54" s="42" t="s">
        <v>147</v>
      </c>
      <c r="E54" s="42" t="s">
        <v>13</v>
      </c>
      <c r="F54" s="2" t="s">
        <v>149</v>
      </c>
      <c r="G54" s="2" t="s">
        <v>130</v>
      </c>
      <c r="H54" s="8">
        <v>44933</v>
      </c>
    </row>
    <row r="55" spans="1:8">
      <c r="A55" s="7" t="s">
        <v>10</v>
      </c>
      <c r="B55" s="16" t="s">
        <v>191</v>
      </c>
      <c r="C55" s="2">
        <v>3035</v>
      </c>
      <c r="D55" s="42" t="s">
        <v>147</v>
      </c>
      <c r="E55" s="42" t="s">
        <v>13</v>
      </c>
      <c r="F55" s="2" t="s">
        <v>149</v>
      </c>
      <c r="G55" s="2" t="s">
        <v>130</v>
      </c>
      <c r="H55" s="8">
        <v>44933</v>
      </c>
    </row>
    <row r="56" spans="1:8">
      <c r="A56" s="7" t="s">
        <v>10</v>
      </c>
      <c r="B56" s="16" t="s">
        <v>192</v>
      </c>
      <c r="C56" s="2">
        <v>3036</v>
      </c>
      <c r="D56" s="42" t="s">
        <v>147</v>
      </c>
      <c r="E56" s="42" t="s">
        <v>13</v>
      </c>
      <c r="F56" s="2" t="s">
        <v>149</v>
      </c>
      <c r="G56" s="2" t="s">
        <v>130</v>
      </c>
      <c r="H56" s="8">
        <v>44933</v>
      </c>
    </row>
    <row r="57" spans="1:8">
      <c r="A57" s="7" t="s">
        <v>10</v>
      </c>
      <c r="B57" s="16" t="s">
        <v>193</v>
      </c>
      <c r="C57" s="2">
        <v>3037</v>
      </c>
      <c r="D57" s="42" t="s">
        <v>147</v>
      </c>
      <c r="E57" s="42" t="s">
        <v>13</v>
      </c>
      <c r="F57" s="2" t="s">
        <v>149</v>
      </c>
      <c r="G57" s="2" t="s">
        <v>130</v>
      </c>
      <c r="H57" s="8">
        <v>44933</v>
      </c>
    </row>
    <row r="58" spans="1:8">
      <c r="A58" s="7" t="s">
        <v>10</v>
      </c>
      <c r="B58" s="16" t="s">
        <v>194</v>
      </c>
      <c r="C58" s="2">
        <v>3038</v>
      </c>
      <c r="D58" s="42" t="s">
        <v>147</v>
      </c>
      <c r="E58" s="42" t="s">
        <v>13</v>
      </c>
      <c r="F58" s="2" t="s">
        <v>149</v>
      </c>
      <c r="G58" s="2" t="s">
        <v>130</v>
      </c>
      <c r="H58" s="8">
        <v>44933</v>
      </c>
    </row>
    <row r="59" spans="1:8">
      <c r="A59" s="7" t="s">
        <v>10</v>
      </c>
      <c r="B59" s="16" t="s">
        <v>195</v>
      </c>
      <c r="C59" s="2">
        <v>3039</v>
      </c>
      <c r="D59" s="42" t="s">
        <v>147</v>
      </c>
      <c r="E59" s="42" t="s">
        <v>13</v>
      </c>
      <c r="F59" s="2" t="s">
        <v>149</v>
      </c>
      <c r="G59" s="2" t="s">
        <v>130</v>
      </c>
      <c r="H59" s="8">
        <v>44933</v>
      </c>
    </row>
    <row r="60" spans="1:8">
      <c r="A60" s="7" t="s">
        <v>10</v>
      </c>
      <c r="B60" s="16" t="s">
        <v>196</v>
      </c>
      <c r="C60" s="2">
        <v>3040</v>
      </c>
      <c r="D60" s="42" t="s">
        <v>147</v>
      </c>
      <c r="E60" s="42" t="s">
        <v>13</v>
      </c>
      <c r="F60" s="2" t="s">
        <v>149</v>
      </c>
      <c r="G60" s="2" t="s">
        <v>130</v>
      </c>
      <c r="H60" s="8">
        <v>44933</v>
      </c>
    </row>
    <row r="61" spans="1:8">
      <c r="A61" s="7" t="s">
        <v>10</v>
      </c>
      <c r="B61" s="16" t="s">
        <v>197</v>
      </c>
      <c r="C61" s="2">
        <v>3041</v>
      </c>
      <c r="D61" s="42" t="s">
        <v>147</v>
      </c>
      <c r="E61" s="42" t="s">
        <v>13</v>
      </c>
      <c r="F61" s="2" t="s">
        <v>149</v>
      </c>
      <c r="G61" s="2" t="s">
        <v>130</v>
      </c>
      <c r="H61" s="8">
        <v>44933</v>
      </c>
    </row>
    <row r="62" spans="1:8">
      <c r="A62" s="7" t="s">
        <v>10</v>
      </c>
      <c r="B62" s="2" t="s">
        <v>198</v>
      </c>
      <c r="C62" s="2">
        <v>3042</v>
      </c>
      <c r="D62" s="42" t="s">
        <v>147</v>
      </c>
      <c r="E62" s="42" t="s">
        <v>13</v>
      </c>
      <c r="F62" s="2" t="s">
        <v>149</v>
      </c>
      <c r="G62" s="2" t="s">
        <v>130</v>
      </c>
      <c r="H62" s="8">
        <v>44991</v>
      </c>
    </row>
    <row r="63" spans="1:8">
      <c r="A63" s="7" t="s">
        <v>10</v>
      </c>
      <c r="B63" s="2" t="s">
        <v>199</v>
      </c>
      <c r="C63" s="2">
        <v>3043</v>
      </c>
      <c r="D63" s="42" t="s">
        <v>147</v>
      </c>
      <c r="E63" s="42" t="s">
        <v>13</v>
      </c>
      <c r="F63" s="2" t="s">
        <v>149</v>
      </c>
      <c r="G63" s="2" t="s">
        <v>130</v>
      </c>
      <c r="H63" s="8">
        <v>44991</v>
      </c>
    </row>
    <row r="64" spans="1:8">
      <c r="A64" s="7" t="s">
        <v>10</v>
      </c>
      <c r="B64" s="2" t="s">
        <v>200</v>
      </c>
      <c r="C64" s="2">
        <v>3044</v>
      </c>
      <c r="D64" s="42" t="s">
        <v>147</v>
      </c>
      <c r="E64" s="42" t="s">
        <v>13</v>
      </c>
      <c r="F64" s="2" t="s">
        <v>149</v>
      </c>
      <c r="G64" s="2" t="s">
        <v>130</v>
      </c>
      <c r="H64" s="8">
        <v>44991</v>
      </c>
    </row>
    <row r="65" spans="1:8">
      <c r="A65" s="7" t="s">
        <v>10</v>
      </c>
      <c r="B65" s="2" t="s">
        <v>201</v>
      </c>
      <c r="C65" s="2">
        <v>3045</v>
      </c>
      <c r="D65" s="42" t="s">
        <v>147</v>
      </c>
      <c r="E65" s="42" t="s">
        <v>13</v>
      </c>
      <c r="F65" s="2" t="s">
        <v>149</v>
      </c>
      <c r="G65" s="2" t="s">
        <v>130</v>
      </c>
      <c r="H65" s="8">
        <v>44991</v>
      </c>
    </row>
    <row r="66" spans="1:8">
      <c r="A66" s="7" t="s">
        <v>10</v>
      </c>
      <c r="B66" s="2" t="s">
        <v>202</v>
      </c>
      <c r="C66" s="2">
        <v>3046</v>
      </c>
      <c r="D66" s="42" t="s">
        <v>147</v>
      </c>
      <c r="E66" s="42" t="s">
        <v>13</v>
      </c>
      <c r="F66" s="2" t="s">
        <v>149</v>
      </c>
      <c r="G66" s="2" t="s">
        <v>130</v>
      </c>
      <c r="H66" s="8">
        <v>44991</v>
      </c>
    </row>
    <row r="67" spans="1:8">
      <c r="A67" s="7" t="s">
        <v>10</v>
      </c>
      <c r="B67" s="2" t="s">
        <v>203</v>
      </c>
      <c r="C67" s="2">
        <v>3047</v>
      </c>
      <c r="D67" s="42" t="s">
        <v>147</v>
      </c>
      <c r="E67" s="42" t="s">
        <v>13</v>
      </c>
      <c r="F67" s="2" t="s">
        <v>149</v>
      </c>
      <c r="G67" s="2" t="s">
        <v>130</v>
      </c>
      <c r="H67" s="8">
        <v>44991</v>
      </c>
    </row>
    <row r="68" spans="1:8">
      <c r="A68" s="7" t="s">
        <v>10</v>
      </c>
      <c r="B68" s="2" t="s">
        <v>204</v>
      </c>
      <c r="C68" s="2">
        <v>3048</v>
      </c>
      <c r="D68" s="42" t="s">
        <v>147</v>
      </c>
      <c r="E68" s="42" t="s">
        <v>13</v>
      </c>
      <c r="F68" s="2" t="s">
        <v>149</v>
      </c>
      <c r="G68" s="2" t="s">
        <v>130</v>
      </c>
      <c r="H68" s="8">
        <v>44991</v>
      </c>
    </row>
    <row r="69" spans="1:8">
      <c r="A69" s="7" t="s">
        <v>10</v>
      </c>
      <c r="B69" s="2" t="s">
        <v>205</v>
      </c>
      <c r="C69" s="2">
        <v>3049</v>
      </c>
      <c r="D69" s="42" t="s">
        <v>147</v>
      </c>
      <c r="E69" s="42" t="s">
        <v>13</v>
      </c>
      <c r="F69" s="2" t="s">
        <v>149</v>
      </c>
      <c r="G69" s="2" t="s">
        <v>130</v>
      </c>
      <c r="H69" s="8">
        <v>44991</v>
      </c>
    </row>
    <row r="70" spans="1:8">
      <c r="A70" s="7" t="s">
        <v>10</v>
      </c>
      <c r="B70" s="2" t="s">
        <v>206</v>
      </c>
      <c r="C70" s="2">
        <v>3050</v>
      </c>
      <c r="D70" s="42" t="s">
        <v>147</v>
      </c>
      <c r="E70" s="42" t="s">
        <v>13</v>
      </c>
      <c r="F70" s="2" t="s">
        <v>149</v>
      </c>
      <c r="G70" s="2" t="s">
        <v>130</v>
      </c>
      <c r="H70" s="8">
        <v>44991</v>
      </c>
    </row>
    <row r="71" spans="1:8">
      <c r="A71" s="7" t="s">
        <v>10</v>
      </c>
      <c r="B71" s="2" t="s">
        <v>207</v>
      </c>
      <c r="C71" s="2">
        <v>3051</v>
      </c>
      <c r="D71" s="42" t="s">
        <v>147</v>
      </c>
      <c r="E71" s="42" t="s">
        <v>13</v>
      </c>
      <c r="F71" s="2" t="s">
        <v>149</v>
      </c>
      <c r="G71" s="2" t="s">
        <v>130</v>
      </c>
      <c r="H71" s="8">
        <v>44991</v>
      </c>
    </row>
    <row r="72" spans="1:8">
      <c r="A72" s="7" t="s">
        <v>10</v>
      </c>
      <c r="B72" s="2" t="s">
        <v>208</v>
      </c>
      <c r="C72" s="2">
        <v>3059</v>
      </c>
      <c r="D72" s="42" t="s">
        <v>147</v>
      </c>
      <c r="E72" s="42" t="s">
        <v>13</v>
      </c>
      <c r="F72" s="2" t="s">
        <v>149</v>
      </c>
      <c r="G72" s="2" t="s">
        <v>130</v>
      </c>
      <c r="H72" s="8">
        <v>45038</v>
      </c>
    </row>
    <row r="73" spans="1:8">
      <c r="A73" s="7" t="s">
        <v>10</v>
      </c>
      <c r="B73" s="2" t="s">
        <v>209</v>
      </c>
      <c r="C73" s="2">
        <v>3065</v>
      </c>
      <c r="D73" s="42" t="s">
        <v>147</v>
      </c>
      <c r="E73" s="42" t="s">
        <v>13</v>
      </c>
      <c r="F73" s="2" t="s">
        <v>149</v>
      </c>
      <c r="G73" s="2" t="s">
        <v>130</v>
      </c>
      <c r="H73" s="8">
        <v>45038</v>
      </c>
    </row>
    <row r="74" spans="1:8">
      <c r="A74" s="7" t="s">
        <v>10</v>
      </c>
      <c r="B74" s="2" t="s">
        <v>210</v>
      </c>
      <c r="C74" s="2">
        <v>3066</v>
      </c>
      <c r="D74" s="42" t="s">
        <v>147</v>
      </c>
      <c r="E74" s="42" t="s">
        <v>13</v>
      </c>
      <c r="F74" s="2" t="s">
        <v>149</v>
      </c>
      <c r="G74" s="2" t="s">
        <v>130</v>
      </c>
      <c r="H74" s="8">
        <v>45038</v>
      </c>
    </row>
    <row r="75" spans="1:8">
      <c r="A75" s="7" t="s">
        <v>10</v>
      </c>
      <c r="B75" s="2" t="s">
        <v>211</v>
      </c>
      <c r="C75" s="2">
        <v>3067</v>
      </c>
      <c r="D75" s="42" t="s">
        <v>147</v>
      </c>
      <c r="E75" s="42" t="s">
        <v>13</v>
      </c>
      <c r="F75" s="2" t="s">
        <v>149</v>
      </c>
      <c r="G75" s="2" t="s">
        <v>130</v>
      </c>
      <c r="H75" s="8">
        <v>45038</v>
      </c>
    </row>
    <row r="76" spans="1:8">
      <c r="A76" s="7" t="s">
        <v>10</v>
      </c>
      <c r="B76" s="2" t="s">
        <v>212</v>
      </c>
      <c r="C76" s="2">
        <v>3068</v>
      </c>
      <c r="D76" s="42" t="s">
        <v>147</v>
      </c>
      <c r="E76" s="42" t="s">
        <v>13</v>
      </c>
      <c r="F76" s="2" t="s">
        <v>149</v>
      </c>
      <c r="G76" s="2" t="s">
        <v>130</v>
      </c>
      <c r="H76" s="8">
        <v>45038</v>
      </c>
    </row>
    <row r="77" spans="1:8">
      <c r="A77" s="7" t="s">
        <v>10</v>
      </c>
      <c r="B77" s="2" t="s">
        <v>213</v>
      </c>
      <c r="C77" s="2">
        <v>3069</v>
      </c>
      <c r="D77" s="42" t="s">
        <v>147</v>
      </c>
      <c r="E77" s="42" t="s">
        <v>13</v>
      </c>
      <c r="F77" s="2" t="s">
        <v>149</v>
      </c>
      <c r="G77" s="2" t="s">
        <v>130</v>
      </c>
      <c r="H77" s="8">
        <v>45038</v>
      </c>
    </row>
    <row r="78" spans="1:8">
      <c r="A78" s="7" t="s">
        <v>10</v>
      </c>
      <c r="B78" s="2" t="s">
        <v>214</v>
      </c>
      <c r="C78" s="2">
        <v>3070</v>
      </c>
      <c r="D78" s="42" t="s">
        <v>147</v>
      </c>
      <c r="E78" s="42" t="s">
        <v>13</v>
      </c>
      <c r="F78" s="2" t="s">
        <v>149</v>
      </c>
      <c r="G78" s="2" t="s">
        <v>130</v>
      </c>
      <c r="H78" s="8">
        <v>45038</v>
      </c>
    </row>
    <row r="79" spans="1:8">
      <c r="A79" s="7" t="s">
        <v>10</v>
      </c>
      <c r="B79" s="2" t="s">
        <v>215</v>
      </c>
      <c r="C79" s="2">
        <v>3071</v>
      </c>
      <c r="D79" s="42" t="s">
        <v>147</v>
      </c>
      <c r="E79" s="42" t="s">
        <v>13</v>
      </c>
      <c r="F79" s="2" t="s">
        <v>149</v>
      </c>
      <c r="G79" s="2" t="s">
        <v>130</v>
      </c>
      <c r="H79" s="8">
        <v>45038</v>
      </c>
    </row>
    <row r="80" spans="1:8">
      <c r="A80" s="7" t="s">
        <v>10</v>
      </c>
      <c r="B80" s="2" t="s">
        <v>216</v>
      </c>
      <c r="C80" s="2">
        <v>3072</v>
      </c>
      <c r="D80" s="42" t="s">
        <v>147</v>
      </c>
      <c r="E80" s="42" t="s">
        <v>13</v>
      </c>
      <c r="F80" s="2" t="s">
        <v>149</v>
      </c>
      <c r="G80" s="2" t="s">
        <v>130</v>
      </c>
      <c r="H80" s="8">
        <v>45038</v>
      </c>
    </row>
    <row r="81" spans="1:8">
      <c r="A81" s="7" t="s">
        <v>10</v>
      </c>
      <c r="B81" s="2" t="s">
        <v>217</v>
      </c>
      <c r="C81" s="2">
        <v>3074</v>
      </c>
      <c r="D81" s="42" t="s">
        <v>147</v>
      </c>
      <c r="E81" s="42" t="s">
        <v>13</v>
      </c>
      <c r="F81" s="2" t="s">
        <v>149</v>
      </c>
      <c r="G81" s="2" t="s">
        <v>130</v>
      </c>
      <c r="H81" s="8">
        <v>45038</v>
      </c>
    </row>
    <row r="82" spans="1:8">
      <c r="A82" s="7" t="s">
        <v>10</v>
      </c>
      <c r="B82" s="2" t="s">
        <v>218</v>
      </c>
      <c r="C82" s="2">
        <v>3075</v>
      </c>
      <c r="D82" s="42" t="s">
        <v>147</v>
      </c>
      <c r="E82" s="42" t="s">
        <v>13</v>
      </c>
      <c r="F82" s="2" t="s">
        <v>149</v>
      </c>
      <c r="G82" s="2" t="s">
        <v>130</v>
      </c>
      <c r="H82" s="8">
        <v>45038</v>
      </c>
    </row>
    <row r="83" spans="1:8">
      <c r="A83" s="7" t="s">
        <v>10</v>
      </c>
      <c r="B83" s="2" t="s">
        <v>219</v>
      </c>
      <c r="C83" s="2">
        <v>3076</v>
      </c>
      <c r="D83" s="42" t="s">
        <v>147</v>
      </c>
      <c r="E83" s="42" t="s">
        <v>13</v>
      </c>
      <c r="F83" s="2" t="s">
        <v>149</v>
      </c>
      <c r="G83" s="2" t="s">
        <v>130</v>
      </c>
      <c r="H83" s="8">
        <v>45038</v>
      </c>
    </row>
    <row r="84" spans="1:8">
      <c r="A84" s="7" t="s">
        <v>10</v>
      </c>
      <c r="B84" s="2" t="s">
        <v>220</v>
      </c>
      <c r="C84" s="2">
        <v>3077</v>
      </c>
      <c r="D84" s="42" t="s">
        <v>147</v>
      </c>
      <c r="E84" s="42" t="s">
        <v>13</v>
      </c>
      <c r="F84" s="2" t="s">
        <v>149</v>
      </c>
      <c r="G84" s="2" t="s">
        <v>130</v>
      </c>
      <c r="H84" s="8">
        <v>45038</v>
      </c>
    </row>
    <row r="85" spans="1:8">
      <c r="A85" s="7" t="s">
        <v>10</v>
      </c>
      <c r="B85" s="2" t="s">
        <v>221</v>
      </c>
      <c r="C85" s="2">
        <v>3079</v>
      </c>
      <c r="D85" s="42" t="s">
        <v>147</v>
      </c>
      <c r="E85" s="42" t="s">
        <v>13</v>
      </c>
      <c r="F85" s="2" t="s">
        <v>149</v>
      </c>
      <c r="G85" s="2" t="s">
        <v>130</v>
      </c>
      <c r="H85" s="8">
        <v>45038</v>
      </c>
    </row>
    <row r="86" spans="1:8">
      <c r="A86" s="7" t="s">
        <v>10</v>
      </c>
      <c r="B86" s="2" t="s">
        <v>222</v>
      </c>
      <c r="C86" s="2">
        <v>3081</v>
      </c>
      <c r="D86" s="42" t="s">
        <v>147</v>
      </c>
      <c r="E86" s="42" t="s">
        <v>13</v>
      </c>
      <c r="F86" s="2" t="s">
        <v>149</v>
      </c>
      <c r="G86" s="2" t="s">
        <v>130</v>
      </c>
      <c r="H86" s="8">
        <v>45038</v>
      </c>
    </row>
    <row r="87" spans="1:8">
      <c r="A87" s="327" t="s">
        <v>10</v>
      </c>
      <c r="B87" s="328" t="s">
        <v>223</v>
      </c>
      <c r="C87" s="328">
        <v>3141</v>
      </c>
      <c r="D87" s="329" t="s">
        <v>147</v>
      </c>
      <c r="E87" s="329" t="s">
        <v>25</v>
      </c>
      <c r="F87" s="328" t="s">
        <v>149</v>
      </c>
      <c r="G87" s="328" t="s">
        <v>130</v>
      </c>
      <c r="H87" s="321">
        <v>46122</v>
      </c>
    </row>
    <row r="88" spans="1:8">
      <c r="A88" s="7" t="s">
        <v>10</v>
      </c>
      <c r="B88" s="2" t="s">
        <v>224</v>
      </c>
      <c r="C88" s="2">
        <v>4000</v>
      </c>
      <c r="D88" s="42" t="s">
        <v>38</v>
      </c>
      <c r="E88" s="42" t="s">
        <v>13</v>
      </c>
      <c r="F88" s="2" t="s">
        <v>145</v>
      </c>
      <c r="G88" s="2" t="s">
        <v>130</v>
      </c>
      <c r="H88" s="8">
        <v>44933</v>
      </c>
    </row>
    <row r="89" spans="1:8">
      <c r="A89" s="7" t="s">
        <v>10</v>
      </c>
      <c r="B89" s="2" t="s">
        <v>225</v>
      </c>
      <c r="C89" s="2">
        <v>4001</v>
      </c>
      <c r="D89" s="42" t="s">
        <v>38</v>
      </c>
      <c r="E89" s="42" t="s">
        <v>13</v>
      </c>
      <c r="F89" s="2" t="s">
        <v>145</v>
      </c>
      <c r="G89" s="2" t="s">
        <v>130</v>
      </c>
      <c r="H89" s="8">
        <v>44933</v>
      </c>
    </row>
    <row r="90" spans="1:8">
      <c r="A90" s="7" t="s">
        <v>10</v>
      </c>
      <c r="B90" s="2" t="s">
        <v>226</v>
      </c>
      <c r="C90" s="2">
        <v>4002</v>
      </c>
      <c r="D90" s="42" t="s">
        <v>38</v>
      </c>
      <c r="E90" s="42" t="s">
        <v>13</v>
      </c>
      <c r="F90" s="2" t="s">
        <v>145</v>
      </c>
      <c r="G90" s="2" t="s">
        <v>130</v>
      </c>
      <c r="H90" s="8">
        <v>44933</v>
      </c>
    </row>
    <row r="91" spans="1:8">
      <c r="A91" s="7" t="s">
        <v>10</v>
      </c>
      <c r="B91" s="2" t="s">
        <v>227</v>
      </c>
      <c r="C91" s="2">
        <v>4003</v>
      </c>
      <c r="D91" s="42" t="s">
        <v>38</v>
      </c>
      <c r="E91" s="42" t="s">
        <v>13</v>
      </c>
      <c r="F91" s="2" t="s">
        <v>145</v>
      </c>
      <c r="G91" s="2" t="s">
        <v>130</v>
      </c>
      <c r="H91" s="8">
        <v>45007</v>
      </c>
    </row>
    <row r="92" spans="1:8">
      <c r="A92" s="7" t="s">
        <v>10</v>
      </c>
      <c r="B92" s="2" t="s">
        <v>228</v>
      </c>
      <c r="C92" s="2">
        <v>4004</v>
      </c>
      <c r="D92" s="42" t="s">
        <v>38</v>
      </c>
      <c r="E92" s="42" t="s">
        <v>13</v>
      </c>
      <c r="F92" s="2" t="s">
        <v>145</v>
      </c>
      <c r="G92" s="2" t="s">
        <v>130</v>
      </c>
      <c r="H92" s="8">
        <v>44933</v>
      </c>
    </row>
    <row r="93" spans="1:8">
      <c r="A93" s="7" t="s">
        <v>10</v>
      </c>
      <c r="B93" s="2" t="s">
        <v>229</v>
      </c>
      <c r="C93" s="2">
        <v>4005</v>
      </c>
      <c r="D93" s="42" t="s">
        <v>38</v>
      </c>
      <c r="E93" s="42" t="s">
        <v>13</v>
      </c>
      <c r="F93" s="2" t="s">
        <v>145</v>
      </c>
      <c r="G93" s="2" t="s">
        <v>130</v>
      </c>
      <c r="H93" s="8">
        <v>44933</v>
      </c>
    </row>
    <row r="94" spans="1:8">
      <c r="A94" s="121" t="s">
        <v>10</v>
      </c>
      <c r="B94" s="122" t="s">
        <v>230</v>
      </c>
      <c r="C94" s="122">
        <v>4006</v>
      </c>
      <c r="D94" s="123" t="s">
        <v>38</v>
      </c>
      <c r="E94" s="123" t="s">
        <v>13</v>
      </c>
      <c r="F94" s="122" t="s">
        <v>145</v>
      </c>
      <c r="G94" s="2" t="s">
        <v>130</v>
      </c>
      <c r="H94" s="124">
        <v>44933</v>
      </c>
    </row>
    <row r="95" spans="1:8">
      <c r="A95" s="7" t="s">
        <v>10</v>
      </c>
      <c r="B95" s="2" t="s">
        <v>231</v>
      </c>
      <c r="C95" s="2">
        <v>4007</v>
      </c>
      <c r="D95" s="42" t="s">
        <v>38</v>
      </c>
      <c r="E95" s="42" t="s">
        <v>13</v>
      </c>
      <c r="F95" s="2" t="s">
        <v>145</v>
      </c>
      <c r="G95" s="2" t="s">
        <v>130</v>
      </c>
      <c r="H95" s="8">
        <v>44933</v>
      </c>
    </row>
    <row r="96" spans="1:8">
      <c r="A96" s="7" t="s">
        <v>10</v>
      </c>
      <c r="B96" s="2" t="s">
        <v>232</v>
      </c>
      <c r="C96" s="2">
        <v>4008</v>
      </c>
      <c r="D96" s="42" t="s">
        <v>38</v>
      </c>
      <c r="E96" s="42" t="s">
        <v>13</v>
      </c>
      <c r="F96" s="2" t="s">
        <v>145</v>
      </c>
      <c r="G96" s="2" t="s">
        <v>130</v>
      </c>
      <c r="H96" s="8">
        <v>44933</v>
      </c>
    </row>
    <row r="97" spans="1:8">
      <c r="A97" s="7" t="s">
        <v>10</v>
      </c>
      <c r="B97" s="2" t="s">
        <v>233</v>
      </c>
      <c r="C97" s="2">
        <v>4009</v>
      </c>
      <c r="D97" s="42" t="s">
        <v>38</v>
      </c>
      <c r="E97" s="42" t="s">
        <v>13</v>
      </c>
      <c r="F97" s="2" t="s">
        <v>145</v>
      </c>
      <c r="G97" s="2" t="s">
        <v>130</v>
      </c>
      <c r="H97" s="8">
        <v>44933</v>
      </c>
    </row>
    <row r="98" spans="1:8">
      <c r="A98" s="7" t="s">
        <v>10</v>
      </c>
      <c r="B98" s="2" t="s">
        <v>234</v>
      </c>
      <c r="C98" s="2">
        <v>4010</v>
      </c>
      <c r="D98" s="42" t="s">
        <v>38</v>
      </c>
      <c r="E98" s="42" t="s">
        <v>13</v>
      </c>
      <c r="F98" s="2" t="s">
        <v>145</v>
      </c>
      <c r="G98" s="2" t="s">
        <v>130</v>
      </c>
      <c r="H98" s="8">
        <v>44933</v>
      </c>
    </row>
    <row r="99" spans="1:8">
      <c r="A99" s="7" t="s">
        <v>10</v>
      </c>
      <c r="B99" s="2" t="s">
        <v>235</v>
      </c>
      <c r="C99" s="2">
        <v>4011</v>
      </c>
      <c r="D99" s="42" t="s">
        <v>38</v>
      </c>
      <c r="E99" s="42" t="s">
        <v>13</v>
      </c>
      <c r="F99" s="2" t="s">
        <v>145</v>
      </c>
      <c r="G99" s="2" t="s">
        <v>130</v>
      </c>
      <c r="H99" s="8">
        <v>44933</v>
      </c>
    </row>
    <row r="100" spans="1:8">
      <c r="A100" s="7" t="s">
        <v>10</v>
      </c>
      <c r="B100" s="2" t="s">
        <v>236</v>
      </c>
      <c r="C100" s="2">
        <v>4012</v>
      </c>
      <c r="D100" s="42" t="s">
        <v>38</v>
      </c>
      <c r="E100" s="42" t="s">
        <v>13</v>
      </c>
      <c r="F100" s="2" t="s">
        <v>145</v>
      </c>
      <c r="G100" s="2" t="s">
        <v>130</v>
      </c>
      <c r="H100" s="8">
        <v>44933</v>
      </c>
    </row>
    <row r="101" spans="1:8">
      <c r="A101" s="7" t="s">
        <v>10</v>
      </c>
      <c r="B101" s="2" t="s">
        <v>237</v>
      </c>
      <c r="C101" s="2">
        <v>4013</v>
      </c>
      <c r="D101" s="42" t="s">
        <v>38</v>
      </c>
      <c r="E101" s="42" t="s">
        <v>13</v>
      </c>
      <c r="F101" s="2" t="s">
        <v>145</v>
      </c>
      <c r="G101" s="2" t="s">
        <v>130</v>
      </c>
      <c r="H101" s="8">
        <v>44933</v>
      </c>
    </row>
    <row r="102" spans="1:8">
      <c r="A102" s="7" t="s">
        <v>10</v>
      </c>
      <c r="B102" s="2" t="s">
        <v>238</v>
      </c>
      <c r="C102" s="2">
        <v>4014</v>
      </c>
      <c r="D102" s="42" t="s">
        <v>38</v>
      </c>
      <c r="E102" s="42" t="s">
        <v>13</v>
      </c>
      <c r="F102" s="2" t="s">
        <v>145</v>
      </c>
      <c r="G102" s="2" t="s">
        <v>130</v>
      </c>
      <c r="H102" s="8">
        <v>44933</v>
      </c>
    </row>
    <row r="103" spans="1:8">
      <c r="A103" s="7" t="s">
        <v>10</v>
      </c>
      <c r="B103" s="2" t="s">
        <v>239</v>
      </c>
      <c r="C103" s="2">
        <v>4015</v>
      </c>
      <c r="D103" s="42" t="s">
        <v>38</v>
      </c>
      <c r="E103" s="42" t="s">
        <v>13</v>
      </c>
      <c r="F103" s="2" t="s">
        <v>145</v>
      </c>
      <c r="G103" s="2" t="s">
        <v>130</v>
      </c>
      <c r="H103" s="8">
        <v>44933</v>
      </c>
    </row>
    <row r="104" spans="1:8">
      <c r="A104" s="7" t="s">
        <v>10</v>
      </c>
      <c r="B104" s="2" t="s">
        <v>240</v>
      </c>
      <c r="C104" s="2">
        <v>4016</v>
      </c>
      <c r="D104" s="42" t="s">
        <v>38</v>
      </c>
      <c r="E104" s="42" t="s">
        <v>13</v>
      </c>
      <c r="F104" s="2" t="s">
        <v>145</v>
      </c>
      <c r="G104" s="2" t="s">
        <v>130</v>
      </c>
      <c r="H104" s="8">
        <v>44933</v>
      </c>
    </row>
    <row r="105" spans="1:8">
      <c r="A105" s="7" t="s">
        <v>10</v>
      </c>
      <c r="B105" s="2" t="s">
        <v>241</v>
      </c>
      <c r="C105" s="2">
        <v>4018</v>
      </c>
      <c r="D105" s="42" t="s">
        <v>38</v>
      </c>
      <c r="E105" s="42" t="s">
        <v>13</v>
      </c>
      <c r="F105" s="2" t="s">
        <v>145</v>
      </c>
      <c r="G105" s="2" t="s">
        <v>130</v>
      </c>
      <c r="H105" s="8">
        <v>44933</v>
      </c>
    </row>
    <row r="106" spans="1:8">
      <c r="A106" s="7" t="s">
        <v>10</v>
      </c>
      <c r="B106" s="2" t="s">
        <v>242</v>
      </c>
      <c r="C106" s="2">
        <v>4019</v>
      </c>
      <c r="D106" s="42" t="s">
        <v>38</v>
      </c>
      <c r="E106" s="42" t="s">
        <v>13</v>
      </c>
      <c r="F106" s="2" t="s">
        <v>145</v>
      </c>
      <c r="G106" s="2" t="s">
        <v>130</v>
      </c>
      <c r="H106" s="8">
        <v>44933</v>
      </c>
    </row>
    <row r="107" spans="1:8">
      <c r="A107" s="7" t="s">
        <v>10</v>
      </c>
      <c r="B107" s="2" t="s">
        <v>243</v>
      </c>
      <c r="C107" s="2">
        <v>4020</v>
      </c>
      <c r="D107" s="42" t="s">
        <v>38</v>
      </c>
      <c r="E107" s="42" t="s">
        <v>13</v>
      </c>
      <c r="F107" s="2" t="s">
        <v>145</v>
      </c>
      <c r="G107" s="2" t="s">
        <v>130</v>
      </c>
      <c r="H107" s="8">
        <v>44933</v>
      </c>
    </row>
    <row r="108" spans="1:8">
      <c r="A108" s="7" t="s">
        <v>10</v>
      </c>
      <c r="B108" s="2" t="s">
        <v>244</v>
      </c>
      <c r="C108" s="2">
        <v>4021</v>
      </c>
      <c r="D108" s="42" t="s">
        <v>38</v>
      </c>
      <c r="E108" s="42" t="s">
        <v>13</v>
      </c>
      <c r="F108" s="2" t="s">
        <v>145</v>
      </c>
      <c r="G108" s="2" t="s">
        <v>130</v>
      </c>
      <c r="H108" s="8">
        <v>44933</v>
      </c>
    </row>
    <row r="109" spans="1:8">
      <c r="A109" s="7" t="s">
        <v>10</v>
      </c>
      <c r="B109" s="2" t="s">
        <v>245</v>
      </c>
      <c r="C109" s="2">
        <v>4022</v>
      </c>
      <c r="D109" s="42" t="s">
        <v>38</v>
      </c>
      <c r="E109" s="42" t="s">
        <v>13</v>
      </c>
      <c r="F109" s="2" t="s">
        <v>145</v>
      </c>
      <c r="G109" s="2" t="s">
        <v>130</v>
      </c>
      <c r="H109" s="8">
        <v>44933</v>
      </c>
    </row>
    <row r="110" spans="1:8">
      <c r="A110" s="7" t="s">
        <v>10</v>
      </c>
      <c r="B110" s="2" t="s">
        <v>246</v>
      </c>
      <c r="C110" s="2">
        <v>4023</v>
      </c>
      <c r="D110" s="42" t="s">
        <v>38</v>
      </c>
      <c r="E110" s="42" t="s">
        <v>13</v>
      </c>
      <c r="F110" s="2" t="s">
        <v>145</v>
      </c>
      <c r="G110" s="2" t="s">
        <v>130</v>
      </c>
      <c r="H110" s="8">
        <v>44933</v>
      </c>
    </row>
    <row r="111" spans="1:8">
      <c r="A111" s="7" t="s">
        <v>10</v>
      </c>
      <c r="B111" s="2" t="s">
        <v>247</v>
      </c>
      <c r="C111" s="2">
        <v>4024</v>
      </c>
      <c r="D111" s="42" t="s">
        <v>38</v>
      </c>
      <c r="E111" s="42" t="s">
        <v>25</v>
      </c>
      <c r="F111" s="2" t="s">
        <v>145</v>
      </c>
      <c r="G111" s="2" t="s">
        <v>130</v>
      </c>
      <c r="H111" s="8">
        <v>44933</v>
      </c>
    </row>
    <row r="112" spans="1:8">
      <c r="A112" s="7" t="s">
        <v>10</v>
      </c>
      <c r="B112" s="2" t="s">
        <v>248</v>
      </c>
      <c r="C112" s="2">
        <v>4031</v>
      </c>
      <c r="D112" s="42" t="s">
        <v>38</v>
      </c>
      <c r="E112" s="42" t="s">
        <v>13</v>
      </c>
      <c r="F112" s="2" t="s">
        <v>14</v>
      </c>
      <c r="G112" s="2" t="s">
        <v>130</v>
      </c>
      <c r="H112" s="8">
        <v>44928</v>
      </c>
    </row>
    <row r="113" spans="1:8">
      <c r="A113" s="7" t="s">
        <v>10</v>
      </c>
      <c r="B113" s="2" t="s">
        <v>249</v>
      </c>
      <c r="C113" s="2">
        <v>4041</v>
      </c>
      <c r="D113" s="42" t="s">
        <v>38</v>
      </c>
      <c r="E113" s="42" t="s">
        <v>13</v>
      </c>
      <c r="F113" s="2" t="s">
        <v>14</v>
      </c>
      <c r="G113" s="2" t="s">
        <v>130</v>
      </c>
      <c r="H113" s="8">
        <v>44928</v>
      </c>
    </row>
    <row r="114" spans="1:8">
      <c r="A114" s="7" t="s">
        <v>10</v>
      </c>
      <c r="B114" s="2" t="s">
        <v>250</v>
      </c>
      <c r="C114" s="2">
        <v>4042</v>
      </c>
      <c r="D114" s="42" t="s">
        <v>38</v>
      </c>
      <c r="E114" s="42" t="s">
        <v>25</v>
      </c>
      <c r="F114" s="2" t="s">
        <v>14</v>
      </c>
      <c r="G114" s="2" t="s">
        <v>130</v>
      </c>
      <c r="H114" s="8">
        <v>44928</v>
      </c>
    </row>
    <row r="115" spans="1:8">
      <c r="A115" s="7" t="s">
        <v>10</v>
      </c>
      <c r="B115" s="2" t="s">
        <v>251</v>
      </c>
      <c r="C115" s="2">
        <v>4051</v>
      </c>
      <c r="D115" s="42" t="s">
        <v>38</v>
      </c>
      <c r="E115" s="42" t="s">
        <v>13</v>
      </c>
      <c r="F115" s="2" t="s">
        <v>14</v>
      </c>
      <c r="G115" s="2" t="s">
        <v>130</v>
      </c>
      <c r="H115" s="8">
        <v>44928</v>
      </c>
    </row>
    <row r="116" spans="1:8">
      <c r="A116" s="7" t="s">
        <v>10</v>
      </c>
      <c r="B116" s="2" t="s">
        <v>252</v>
      </c>
      <c r="C116" s="2">
        <v>4056</v>
      </c>
      <c r="D116" s="42" t="s">
        <v>38</v>
      </c>
      <c r="E116" s="42" t="s">
        <v>13</v>
      </c>
      <c r="F116" s="2" t="s">
        <v>14</v>
      </c>
      <c r="G116" s="2" t="s">
        <v>130</v>
      </c>
      <c r="H116" s="8">
        <v>44928</v>
      </c>
    </row>
    <row r="117" spans="1:8">
      <c r="A117" s="7" t="s">
        <v>10</v>
      </c>
      <c r="B117" s="2" t="s">
        <v>253</v>
      </c>
      <c r="C117" s="2">
        <v>4066</v>
      </c>
      <c r="D117" s="42" t="s">
        <v>38</v>
      </c>
      <c r="E117" s="42" t="s">
        <v>25</v>
      </c>
      <c r="F117" s="2" t="s">
        <v>14</v>
      </c>
      <c r="G117" s="2" t="s">
        <v>130</v>
      </c>
      <c r="H117" s="8">
        <v>44928</v>
      </c>
    </row>
    <row r="118" spans="1:8">
      <c r="A118" s="7" t="s">
        <v>10</v>
      </c>
      <c r="B118" s="2" t="s">
        <v>254</v>
      </c>
      <c r="C118" s="2">
        <v>4068</v>
      </c>
      <c r="D118" s="42" t="s">
        <v>38</v>
      </c>
      <c r="E118" s="42" t="s">
        <v>13</v>
      </c>
      <c r="F118" s="2" t="s">
        <v>14</v>
      </c>
      <c r="G118" s="2" t="s">
        <v>130</v>
      </c>
      <c r="H118" s="8">
        <v>44933</v>
      </c>
    </row>
    <row r="119" spans="1:8">
      <c r="A119" s="7" t="s">
        <v>10</v>
      </c>
      <c r="B119" s="2" t="s">
        <v>255</v>
      </c>
      <c r="C119" s="2">
        <v>2091</v>
      </c>
      <c r="D119" s="42" t="s">
        <v>34</v>
      </c>
      <c r="E119" s="42" t="s">
        <v>13</v>
      </c>
      <c r="F119" s="2" t="s">
        <v>145</v>
      </c>
      <c r="G119" s="2" t="s">
        <v>130</v>
      </c>
      <c r="H119" s="8">
        <v>44933</v>
      </c>
    </row>
    <row r="120" spans="1:8">
      <c r="A120" s="7" t="s">
        <v>10</v>
      </c>
      <c r="B120" s="2" t="s">
        <v>256</v>
      </c>
      <c r="C120" s="2">
        <v>2095</v>
      </c>
      <c r="D120" s="42" t="s">
        <v>34</v>
      </c>
      <c r="E120" s="42" t="s">
        <v>13</v>
      </c>
      <c r="F120" s="2" t="s">
        <v>145</v>
      </c>
      <c r="G120" s="2" t="s">
        <v>130</v>
      </c>
      <c r="H120" s="8">
        <v>44933</v>
      </c>
    </row>
    <row r="121" spans="1:8">
      <c r="A121" s="7" t="s">
        <v>10</v>
      </c>
      <c r="B121" s="2" t="s">
        <v>257</v>
      </c>
      <c r="C121" s="2">
        <v>2096</v>
      </c>
      <c r="D121" s="42" t="s">
        <v>34</v>
      </c>
      <c r="E121" s="42" t="s">
        <v>13</v>
      </c>
      <c r="F121" s="2" t="s">
        <v>145</v>
      </c>
      <c r="G121" s="2" t="s">
        <v>130</v>
      </c>
      <c r="H121" s="8">
        <v>44933</v>
      </c>
    </row>
    <row r="122" spans="1:8">
      <c r="A122" s="7" t="s">
        <v>10</v>
      </c>
      <c r="B122" s="2" t="s">
        <v>258</v>
      </c>
      <c r="C122" s="2">
        <v>3133</v>
      </c>
      <c r="D122" s="42" t="s">
        <v>147</v>
      </c>
      <c r="E122" s="42" t="s">
        <v>25</v>
      </c>
      <c r="F122" s="2" t="s">
        <v>149</v>
      </c>
      <c r="G122" s="2" t="s">
        <v>130</v>
      </c>
      <c r="H122" s="8">
        <v>45695</v>
      </c>
    </row>
    <row r="123" spans="1:8">
      <c r="A123" s="7" t="s">
        <v>10</v>
      </c>
      <c r="B123" s="2" t="s">
        <v>259</v>
      </c>
      <c r="C123" s="2">
        <v>3134</v>
      </c>
      <c r="D123" s="42" t="s">
        <v>147</v>
      </c>
      <c r="E123" s="42" t="s">
        <v>25</v>
      </c>
      <c r="F123" s="2" t="s">
        <v>149</v>
      </c>
      <c r="G123" s="2" t="s">
        <v>130</v>
      </c>
      <c r="H123" s="8">
        <v>45695</v>
      </c>
    </row>
    <row r="124" spans="1:8">
      <c r="A124" s="7" t="s">
        <v>10</v>
      </c>
      <c r="B124" s="2" t="s">
        <v>260</v>
      </c>
      <c r="C124" s="2">
        <v>3135</v>
      </c>
      <c r="D124" s="42" t="s">
        <v>147</v>
      </c>
      <c r="E124" s="42" t="s">
        <v>25</v>
      </c>
      <c r="F124" s="2" t="s">
        <v>149</v>
      </c>
      <c r="G124" s="2" t="s">
        <v>130</v>
      </c>
      <c r="H124" s="8">
        <v>45701</v>
      </c>
    </row>
    <row r="125" spans="1:8">
      <c r="A125" s="7" t="s">
        <v>10</v>
      </c>
      <c r="B125" s="2" t="s">
        <v>261</v>
      </c>
      <c r="C125" s="2">
        <v>3136</v>
      </c>
      <c r="D125" s="42" t="s">
        <v>147</v>
      </c>
      <c r="E125" s="42" t="s">
        <v>25</v>
      </c>
      <c r="F125" s="2" t="s">
        <v>149</v>
      </c>
      <c r="G125" s="2" t="s">
        <v>130</v>
      </c>
      <c r="H125" s="8">
        <v>45695</v>
      </c>
    </row>
    <row r="126" spans="1:8">
      <c r="A126" s="7" t="s">
        <v>10</v>
      </c>
      <c r="B126" s="2" t="s">
        <v>262</v>
      </c>
      <c r="C126" s="2">
        <v>3137</v>
      </c>
      <c r="D126" s="42" t="s">
        <v>147</v>
      </c>
      <c r="E126" s="42" t="s">
        <v>25</v>
      </c>
      <c r="F126" s="2" t="s">
        <v>149</v>
      </c>
      <c r="G126" s="2" t="s">
        <v>130</v>
      </c>
      <c r="H126" s="8">
        <v>45695</v>
      </c>
    </row>
    <row r="127" spans="1:8">
      <c r="A127" s="7" t="s">
        <v>10</v>
      </c>
      <c r="B127" s="2" t="s">
        <v>263</v>
      </c>
      <c r="C127" s="2">
        <v>3138</v>
      </c>
      <c r="D127" s="42" t="s">
        <v>147</v>
      </c>
      <c r="E127" s="42" t="s">
        <v>25</v>
      </c>
      <c r="F127" s="2" t="s">
        <v>149</v>
      </c>
      <c r="G127" s="2" t="s">
        <v>130</v>
      </c>
      <c r="H127" s="8">
        <v>45695</v>
      </c>
    </row>
    <row r="128" spans="1:8">
      <c r="A128" s="7" t="s">
        <v>10</v>
      </c>
      <c r="B128" s="2" t="s">
        <v>264</v>
      </c>
      <c r="C128" s="2">
        <v>3139</v>
      </c>
      <c r="D128" s="42" t="s">
        <v>147</v>
      </c>
      <c r="E128" s="42" t="s">
        <v>25</v>
      </c>
      <c r="F128" s="2" t="s">
        <v>149</v>
      </c>
      <c r="G128" s="2" t="s">
        <v>130</v>
      </c>
      <c r="H128" s="8">
        <v>45702</v>
      </c>
    </row>
    <row r="129" spans="1:8">
      <c r="A129" s="7" t="s">
        <v>10</v>
      </c>
      <c r="B129" s="2" t="s">
        <v>265</v>
      </c>
      <c r="C129" s="2">
        <v>3140</v>
      </c>
      <c r="D129" s="42" t="s">
        <v>147</v>
      </c>
      <c r="E129" s="42" t="s">
        <v>25</v>
      </c>
      <c r="F129" s="2" t="s">
        <v>149</v>
      </c>
      <c r="G129" s="2" t="s">
        <v>130</v>
      </c>
      <c r="H129" s="8">
        <v>45702</v>
      </c>
    </row>
  </sheetData>
  <sortState xmlns:xlrd2="http://schemas.microsoft.com/office/spreadsheetml/2017/richdata2" ref="J78">
    <sortCondition ref="J78"/>
  </sortState>
  <phoneticPr fontId="6" type="noConversion"/>
  <pageMargins left="0.7" right="0.7" top="0.75" bottom="0.75" header="0.3" footer="0.3"/>
  <pageSetup orientation="landscape" horizontalDpi="300" verticalDpi="300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82732-7933-4286-B574-1A764BBEB57B}">
  <sheetPr codeName="Hoja8"/>
  <dimension ref="A1:K148"/>
  <sheetViews>
    <sheetView zoomScale="80" zoomScaleNormal="80" workbookViewId="0">
      <selection activeCell="G1" sqref="G1"/>
    </sheetView>
  </sheetViews>
  <sheetFormatPr baseColWidth="10" defaultColWidth="11.42578125" defaultRowHeight="15"/>
  <cols>
    <col min="1" max="1" width="14" bestFit="1" customWidth="1"/>
    <col min="2" max="2" width="11.28515625" bestFit="1" customWidth="1"/>
    <col min="3" max="3" width="13.5703125" bestFit="1" customWidth="1"/>
    <col min="4" max="4" width="13.7109375" bestFit="1" customWidth="1"/>
    <col min="5" max="5" width="15.7109375" bestFit="1" customWidth="1"/>
    <col min="6" max="6" width="19" bestFit="1" customWidth="1"/>
    <col min="7" max="7" width="29.42578125" bestFit="1" customWidth="1"/>
    <col min="8" max="8" width="20" bestFit="1" customWidth="1"/>
    <col min="9" max="9" width="7.5703125" customWidth="1"/>
    <col min="10" max="10" width="19.85546875" bestFit="1" customWidth="1"/>
    <col min="11" max="11" width="10.85546875" bestFit="1" customWidth="1"/>
    <col min="12" max="12" width="16.140625" bestFit="1" customWidth="1"/>
  </cols>
  <sheetData>
    <row r="1" spans="1:11">
      <c r="A1" s="116" t="s">
        <v>0</v>
      </c>
      <c r="B1" s="117" t="s">
        <v>87</v>
      </c>
      <c r="C1" s="117" t="s">
        <v>2</v>
      </c>
      <c r="D1" s="117" t="s">
        <v>3</v>
      </c>
      <c r="E1" s="117" t="s">
        <v>4</v>
      </c>
      <c r="F1" s="117" t="s">
        <v>5</v>
      </c>
      <c r="G1" s="117" t="s">
        <v>6</v>
      </c>
      <c r="H1" s="118" t="s">
        <v>7</v>
      </c>
      <c r="I1" s="37"/>
      <c r="J1" s="115" t="s">
        <v>8</v>
      </c>
      <c r="K1" s="115" t="s">
        <v>9</v>
      </c>
    </row>
    <row r="2" spans="1:11">
      <c r="A2" s="50" t="s">
        <v>10</v>
      </c>
      <c r="B2" s="16" t="s">
        <v>266</v>
      </c>
      <c r="C2" s="2">
        <v>1006</v>
      </c>
      <c r="D2" s="6" t="s">
        <v>12</v>
      </c>
      <c r="E2" s="2" t="s">
        <v>13</v>
      </c>
      <c r="F2" s="2" t="s">
        <v>14</v>
      </c>
      <c r="G2" s="2" t="s">
        <v>267</v>
      </c>
      <c r="H2" s="8">
        <v>45038</v>
      </c>
      <c r="I2" s="37"/>
      <c r="J2" s="5" t="s">
        <v>19</v>
      </c>
      <c r="K2" s="120" t="s">
        <v>268</v>
      </c>
    </row>
    <row r="3" spans="1:11">
      <c r="A3" s="50" t="s">
        <v>10</v>
      </c>
      <c r="B3" s="16" t="s">
        <v>269</v>
      </c>
      <c r="C3" s="2">
        <v>1007</v>
      </c>
      <c r="D3" s="6" t="s">
        <v>12</v>
      </c>
      <c r="E3" s="2" t="s">
        <v>13</v>
      </c>
      <c r="F3" s="2" t="s">
        <v>14</v>
      </c>
      <c r="G3" s="2" t="s">
        <v>267</v>
      </c>
      <c r="H3" s="8">
        <v>45038</v>
      </c>
      <c r="I3" s="37"/>
      <c r="J3" s="5" t="s">
        <v>19</v>
      </c>
      <c r="K3" s="120" t="s">
        <v>270</v>
      </c>
    </row>
    <row r="4" spans="1:11">
      <c r="A4" s="50" t="s">
        <v>10</v>
      </c>
      <c r="B4" s="113" t="s">
        <v>271</v>
      </c>
      <c r="C4" s="7">
        <v>1014</v>
      </c>
      <c r="D4" s="50" t="s">
        <v>12</v>
      </c>
      <c r="E4" s="7" t="s">
        <v>13</v>
      </c>
      <c r="F4" s="7" t="s">
        <v>14</v>
      </c>
      <c r="G4" s="2" t="s">
        <v>267</v>
      </c>
      <c r="H4" s="8">
        <v>45038</v>
      </c>
      <c r="I4" s="37"/>
      <c r="J4" s="5" t="s">
        <v>19</v>
      </c>
      <c r="K4" s="120" t="s">
        <v>272</v>
      </c>
    </row>
    <row r="5" spans="1:11">
      <c r="A5" s="50" t="s">
        <v>10</v>
      </c>
      <c r="B5" s="16" t="s">
        <v>273</v>
      </c>
      <c r="C5" s="2">
        <v>1016</v>
      </c>
      <c r="D5" s="6" t="s">
        <v>12</v>
      </c>
      <c r="E5" s="2" t="s">
        <v>13</v>
      </c>
      <c r="F5" s="2" t="s">
        <v>14</v>
      </c>
      <c r="G5" s="2" t="s">
        <v>267</v>
      </c>
      <c r="H5" s="8">
        <v>45038</v>
      </c>
      <c r="I5" s="37"/>
      <c r="J5" s="5" t="s">
        <v>19</v>
      </c>
      <c r="K5" s="120" t="s">
        <v>274</v>
      </c>
    </row>
    <row r="6" spans="1:11">
      <c r="A6" s="113" t="s">
        <v>10</v>
      </c>
      <c r="B6" s="2" t="s">
        <v>275</v>
      </c>
      <c r="C6" s="2">
        <v>1017</v>
      </c>
      <c r="D6" s="6" t="s">
        <v>12</v>
      </c>
      <c r="E6" s="2" t="s">
        <v>13</v>
      </c>
      <c r="F6" s="2" t="s">
        <v>14</v>
      </c>
      <c r="G6" s="2" t="s">
        <v>267</v>
      </c>
      <c r="H6" s="8">
        <v>45038</v>
      </c>
      <c r="I6" s="37"/>
      <c r="J6" s="5" t="s">
        <v>19</v>
      </c>
      <c r="K6" s="5" t="s">
        <v>276</v>
      </c>
    </row>
    <row r="7" spans="1:11">
      <c r="A7" s="114" t="s">
        <v>10</v>
      </c>
      <c r="B7" s="38" t="s">
        <v>277</v>
      </c>
      <c r="C7" s="13">
        <v>1024</v>
      </c>
      <c r="D7" s="46" t="s">
        <v>12</v>
      </c>
      <c r="E7" s="13" t="s">
        <v>13</v>
      </c>
      <c r="F7" s="13" t="s">
        <v>14</v>
      </c>
      <c r="G7" s="2" t="s">
        <v>267</v>
      </c>
      <c r="H7" s="14">
        <v>45038</v>
      </c>
      <c r="I7" s="37"/>
    </row>
    <row r="8" spans="1:11">
      <c r="A8" s="50" t="s">
        <v>10</v>
      </c>
      <c r="B8" s="16" t="s">
        <v>278</v>
      </c>
      <c r="C8" s="2">
        <v>1025</v>
      </c>
      <c r="D8" s="6" t="s">
        <v>12</v>
      </c>
      <c r="E8" s="2" t="s">
        <v>13</v>
      </c>
      <c r="F8" s="2" t="s">
        <v>14</v>
      </c>
      <c r="G8" s="2" t="s">
        <v>267</v>
      </c>
      <c r="H8" s="8">
        <v>45038</v>
      </c>
      <c r="I8" s="37"/>
    </row>
    <row r="9" spans="1:11">
      <c r="A9" s="50" t="s">
        <v>10</v>
      </c>
      <c r="B9" s="16" t="s">
        <v>279</v>
      </c>
      <c r="C9" s="2">
        <v>1026</v>
      </c>
      <c r="D9" s="6" t="s">
        <v>12</v>
      </c>
      <c r="E9" s="2" t="s">
        <v>13</v>
      </c>
      <c r="F9" s="2" t="s">
        <v>14</v>
      </c>
      <c r="G9" s="2" t="s">
        <v>267</v>
      </c>
      <c r="H9" s="8">
        <v>45038</v>
      </c>
      <c r="I9" s="37"/>
      <c r="J9" t="s">
        <v>96</v>
      </c>
      <c r="K9" t="s">
        <v>97</v>
      </c>
    </row>
    <row r="10" spans="1:11">
      <c r="A10" s="50" t="s">
        <v>10</v>
      </c>
      <c r="B10" s="16" t="s">
        <v>280</v>
      </c>
      <c r="C10" s="2">
        <v>1027</v>
      </c>
      <c r="D10" s="6" t="s">
        <v>12</v>
      </c>
      <c r="E10" s="2" t="s">
        <v>13</v>
      </c>
      <c r="F10" s="2" t="s">
        <v>14</v>
      </c>
      <c r="G10" s="2" t="s">
        <v>267</v>
      </c>
      <c r="H10" s="8">
        <v>45038</v>
      </c>
      <c r="I10" s="37"/>
      <c r="J10" s="48" t="s">
        <v>12</v>
      </c>
      <c r="K10">
        <v>16</v>
      </c>
    </row>
    <row r="11" spans="1:11">
      <c r="A11" s="50" t="s">
        <v>10</v>
      </c>
      <c r="B11" s="16" t="s">
        <v>281</v>
      </c>
      <c r="C11" s="2">
        <v>1030</v>
      </c>
      <c r="D11" s="6" t="s">
        <v>12</v>
      </c>
      <c r="E11" s="2" t="s">
        <v>13</v>
      </c>
      <c r="F11" s="2" t="s">
        <v>14</v>
      </c>
      <c r="G11" s="2" t="s">
        <v>267</v>
      </c>
      <c r="H11" s="8">
        <v>45038</v>
      </c>
      <c r="I11" s="37"/>
      <c r="J11" s="49" t="s">
        <v>14</v>
      </c>
      <c r="K11">
        <v>16</v>
      </c>
    </row>
    <row r="12" spans="1:11">
      <c r="A12" s="7" t="s">
        <v>10</v>
      </c>
      <c r="B12" s="16" t="s">
        <v>282</v>
      </c>
      <c r="C12" s="2">
        <v>1031</v>
      </c>
      <c r="D12" s="42" t="s">
        <v>12</v>
      </c>
      <c r="E12" s="42" t="s">
        <v>13</v>
      </c>
      <c r="F12" s="2" t="s">
        <v>14</v>
      </c>
      <c r="G12" s="2" t="s">
        <v>267</v>
      </c>
      <c r="H12" s="8">
        <v>45038</v>
      </c>
      <c r="I12" s="37"/>
      <c r="J12" s="48" t="s">
        <v>34</v>
      </c>
      <c r="K12">
        <v>22</v>
      </c>
    </row>
    <row r="13" spans="1:11">
      <c r="A13" s="7" t="s">
        <v>10</v>
      </c>
      <c r="B13" s="16" t="s">
        <v>283</v>
      </c>
      <c r="C13" s="2">
        <v>1032</v>
      </c>
      <c r="D13" s="42" t="s">
        <v>12</v>
      </c>
      <c r="E13" s="42" t="s">
        <v>13</v>
      </c>
      <c r="F13" s="2" t="s">
        <v>14</v>
      </c>
      <c r="G13" s="2" t="s">
        <v>267</v>
      </c>
      <c r="H13" s="8">
        <v>45038</v>
      </c>
      <c r="I13" s="37"/>
      <c r="J13" s="49" t="s">
        <v>145</v>
      </c>
      <c r="K13">
        <v>22</v>
      </c>
    </row>
    <row r="14" spans="1:11">
      <c r="A14" s="7" t="s">
        <v>10</v>
      </c>
      <c r="B14" s="16" t="s">
        <v>284</v>
      </c>
      <c r="C14" s="2">
        <v>1033</v>
      </c>
      <c r="D14" s="42" t="s">
        <v>12</v>
      </c>
      <c r="E14" s="42" t="s">
        <v>13</v>
      </c>
      <c r="F14" s="2" t="s">
        <v>14</v>
      </c>
      <c r="G14" s="2" t="s">
        <v>267</v>
      </c>
      <c r="H14" s="8">
        <v>45038</v>
      </c>
      <c r="I14" s="37"/>
      <c r="J14" s="48" t="s">
        <v>285</v>
      </c>
      <c r="K14">
        <v>43</v>
      </c>
    </row>
    <row r="15" spans="1:11">
      <c r="A15" s="7" t="s">
        <v>10</v>
      </c>
      <c r="B15" s="16" t="s">
        <v>286</v>
      </c>
      <c r="C15" s="2">
        <v>1034</v>
      </c>
      <c r="D15" s="42" t="s">
        <v>12</v>
      </c>
      <c r="E15" s="42" t="s">
        <v>13</v>
      </c>
      <c r="F15" s="2" t="s">
        <v>14</v>
      </c>
      <c r="G15" s="2" t="s">
        <v>267</v>
      </c>
      <c r="H15" s="8">
        <v>45038</v>
      </c>
      <c r="I15" s="37"/>
      <c r="J15" s="49" t="s">
        <v>145</v>
      </c>
      <c r="K15">
        <v>40</v>
      </c>
    </row>
    <row r="16" spans="1:11">
      <c r="A16" s="50" t="s">
        <v>10</v>
      </c>
      <c r="B16" s="16" t="s">
        <v>287</v>
      </c>
      <c r="C16" s="2">
        <v>1035</v>
      </c>
      <c r="D16" s="6" t="s">
        <v>12</v>
      </c>
      <c r="E16" s="2" t="s">
        <v>13</v>
      </c>
      <c r="F16" s="2" t="s">
        <v>14</v>
      </c>
      <c r="G16" s="2" t="s">
        <v>267</v>
      </c>
      <c r="H16" s="8">
        <v>45038</v>
      </c>
      <c r="I16" s="37"/>
      <c r="J16" s="49" t="s">
        <v>36</v>
      </c>
      <c r="K16">
        <v>3</v>
      </c>
    </row>
    <row r="17" spans="1:11">
      <c r="A17" s="50" t="s">
        <v>10</v>
      </c>
      <c r="B17" s="16" t="s">
        <v>288</v>
      </c>
      <c r="C17" s="2">
        <v>1036</v>
      </c>
      <c r="D17" s="6" t="s">
        <v>12</v>
      </c>
      <c r="E17" s="2" t="s">
        <v>13</v>
      </c>
      <c r="F17" s="2" t="s">
        <v>14</v>
      </c>
      <c r="G17" s="2" t="s">
        <v>267</v>
      </c>
      <c r="H17" s="8">
        <v>45038</v>
      </c>
      <c r="I17" s="37"/>
      <c r="J17" s="48" t="s">
        <v>147</v>
      </c>
      <c r="K17">
        <v>66</v>
      </c>
    </row>
    <row r="18" spans="1:11">
      <c r="A18" s="7" t="s">
        <v>10</v>
      </c>
      <c r="B18" s="2" t="s">
        <v>289</v>
      </c>
      <c r="C18" s="2">
        <v>2000</v>
      </c>
      <c r="D18" s="42" t="s">
        <v>285</v>
      </c>
      <c r="E18" s="42" t="s">
        <v>13</v>
      </c>
      <c r="F18" s="2" t="s">
        <v>145</v>
      </c>
      <c r="G18" s="2" t="s">
        <v>267</v>
      </c>
      <c r="H18" s="8">
        <v>45038</v>
      </c>
      <c r="I18" s="37"/>
      <c r="J18" s="49" t="s">
        <v>149</v>
      </c>
      <c r="K18">
        <v>66</v>
      </c>
    </row>
    <row r="19" spans="1:11">
      <c r="A19" s="7" t="s">
        <v>10</v>
      </c>
      <c r="B19" s="2" t="s">
        <v>290</v>
      </c>
      <c r="C19" s="2">
        <v>2001</v>
      </c>
      <c r="D19" s="42" t="s">
        <v>285</v>
      </c>
      <c r="E19" s="42" t="s">
        <v>13</v>
      </c>
      <c r="F19" s="2" t="s">
        <v>145</v>
      </c>
      <c r="G19" s="2" t="s">
        <v>267</v>
      </c>
      <c r="H19" s="8">
        <v>45038</v>
      </c>
      <c r="I19" s="37"/>
      <c r="J19" s="48" t="s">
        <v>41</v>
      </c>
      <c r="K19">
        <v>147</v>
      </c>
    </row>
    <row r="20" spans="1:11">
      <c r="A20" s="7" t="s">
        <v>10</v>
      </c>
      <c r="B20" s="2" t="s">
        <v>291</v>
      </c>
      <c r="C20" s="2">
        <v>2002</v>
      </c>
      <c r="D20" s="42" t="s">
        <v>285</v>
      </c>
      <c r="E20" s="42" t="s">
        <v>13</v>
      </c>
      <c r="F20" s="2" t="s">
        <v>145</v>
      </c>
      <c r="G20" s="2" t="s">
        <v>267</v>
      </c>
      <c r="H20" s="8">
        <v>45038</v>
      </c>
      <c r="I20" s="37"/>
    </row>
    <row r="21" spans="1:11">
      <c r="A21" s="7" t="s">
        <v>10</v>
      </c>
      <c r="B21" s="2" t="s">
        <v>292</v>
      </c>
      <c r="C21" s="2">
        <v>2003</v>
      </c>
      <c r="D21" s="42" t="s">
        <v>285</v>
      </c>
      <c r="E21" s="42" t="s">
        <v>13</v>
      </c>
      <c r="F21" s="2" t="s">
        <v>145</v>
      </c>
      <c r="G21" s="2" t="s">
        <v>267</v>
      </c>
      <c r="H21" s="8">
        <v>45038</v>
      </c>
      <c r="I21" s="37"/>
    </row>
    <row r="22" spans="1:11">
      <c r="A22" s="7" t="s">
        <v>10</v>
      </c>
      <c r="B22" s="2" t="s">
        <v>293</v>
      </c>
      <c r="C22" s="2">
        <v>2004</v>
      </c>
      <c r="D22" s="42" t="s">
        <v>285</v>
      </c>
      <c r="E22" s="42" t="s">
        <v>13</v>
      </c>
      <c r="F22" s="2" t="s">
        <v>145</v>
      </c>
      <c r="G22" s="2" t="s">
        <v>267</v>
      </c>
      <c r="H22" s="8">
        <v>45038</v>
      </c>
      <c r="I22" s="37"/>
    </row>
    <row r="23" spans="1:11">
      <c r="A23" s="7" t="s">
        <v>10</v>
      </c>
      <c r="B23" s="2" t="s">
        <v>294</v>
      </c>
      <c r="C23" s="2">
        <v>2005</v>
      </c>
      <c r="D23" s="42" t="s">
        <v>285</v>
      </c>
      <c r="E23" s="42" t="s">
        <v>13</v>
      </c>
      <c r="F23" s="2" t="s">
        <v>145</v>
      </c>
      <c r="G23" s="2" t="s">
        <v>267</v>
      </c>
      <c r="H23" s="8">
        <v>45038</v>
      </c>
      <c r="I23" s="37"/>
    </row>
    <row r="24" spans="1:11">
      <c r="A24" s="7" t="s">
        <v>10</v>
      </c>
      <c r="B24" s="2" t="s">
        <v>295</v>
      </c>
      <c r="C24" s="2">
        <v>2006</v>
      </c>
      <c r="D24" s="42" t="s">
        <v>285</v>
      </c>
      <c r="E24" s="42" t="s">
        <v>13</v>
      </c>
      <c r="F24" s="2" t="s">
        <v>145</v>
      </c>
      <c r="G24" s="2" t="s">
        <v>267</v>
      </c>
      <c r="H24" s="8">
        <v>45038</v>
      </c>
      <c r="I24" s="37"/>
    </row>
    <row r="25" spans="1:11">
      <c r="A25" s="7" t="s">
        <v>10</v>
      </c>
      <c r="B25" s="2" t="s">
        <v>296</v>
      </c>
      <c r="C25" s="2">
        <v>2007</v>
      </c>
      <c r="D25" s="42" t="s">
        <v>285</v>
      </c>
      <c r="E25" s="42" t="s">
        <v>13</v>
      </c>
      <c r="F25" s="2" t="s">
        <v>145</v>
      </c>
      <c r="G25" s="2" t="s">
        <v>267</v>
      </c>
      <c r="H25" s="8">
        <v>45038</v>
      </c>
      <c r="I25" s="37"/>
    </row>
    <row r="26" spans="1:11">
      <c r="A26" s="7" t="s">
        <v>10</v>
      </c>
      <c r="B26" s="2" t="s">
        <v>297</v>
      </c>
      <c r="C26" s="2">
        <v>2008</v>
      </c>
      <c r="D26" s="42" t="s">
        <v>285</v>
      </c>
      <c r="E26" s="42" t="s">
        <v>13</v>
      </c>
      <c r="F26" s="2" t="s">
        <v>145</v>
      </c>
      <c r="G26" s="2" t="s">
        <v>267</v>
      </c>
      <c r="H26" s="8">
        <v>45038</v>
      </c>
      <c r="I26" s="37"/>
    </row>
    <row r="27" spans="1:11">
      <c r="A27" s="7" t="s">
        <v>10</v>
      </c>
      <c r="B27" s="2" t="s">
        <v>298</v>
      </c>
      <c r="C27" s="2">
        <v>2009</v>
      </c>
      <c r="D27" s="42" t="s">
        <v>285</v>
      </c>
      <c r="E27" s="42" t="s">
        <v>13</v>
      </c>
      <c r="F27" s="2" t="s">
        <v>145</v>
      </c>
      <c r="G27" s="2" t="s">
        <v>267</v>
      </c>
      <c r="H27" s="8">
        <v>45038</v>
      </c>
      <c r="I27" s="37"/>
    </row>
    <row r="28" spans="1:11">
      <c r="A28" s="7" t="s">
        <v>10</v>
      </c>
      <c r="B28" s="2" t="s">
        <v>299</v>
      </c>
      <c r="C28" s="2">
        <v>2010</v>
      </c>
      <c r="D28" s="42" t="s">
        <v>285</v>
      </c>
      <c r="E28" s="42" t="s">
        <v>13</v>
      </c>
      <c r="F28" s="2" t="s">
        <v>145</v>
      </c>
      <c r="G28" s="2" t="s">
        <v>267</v>
      </c>
      <c r="H28" s="8">
        <v>45038</v>
      </c>
      <c r="I28" s="37"/>
    </row>
    <row r="29" spans="1:11">
      <c r="A29" s="7" t="s">
        <v>10</v>
      </c>
      <c r="B29" s="2" t="s">
        <v>300</v>
      </c>
      <c r="C29" s="2">
        <v>2011</v>
      </c>
      <c r="D29" s="42" t="s">
        <v>285</v>
      </c>
      <c r="E29" s="42" t="s">
        <v>13</v>
      </c>
      <c r="F29" s="2" t="s">
        <v>145</v>
      </c>
      <c r="G29" s="2" t="s">
        <v>267</v>
      </c>
      <c r="H29" s="8">
        <v>45038</v>
      </c>
      <c r="I29" s="37"/>
    </row>
    <row r="30" spans="1:11">
      <c r="A30" s="7" t="s">
        <v>10</v>
      </c>
      <c r="B30" s="2" t="s">
        <v>301</v>
      </c>
      <c r="C30" s="2">
        <v>2012</v>
      </c>
      <c r="D30" s="42" t="s">
        <v>285</v>
      </c>
      <c r="E30" s="42" t="s">
        <v>13</v>
      </c>
      <c r="F30" s="2" t="s">
        <v>145</v>
      </c>
      <c r="G30" s="2" t="s">
        <v>267</v>
      </c>
      <c r="H30" s="8">
        <v>45038</v>
      </c>
      <c r="I30" s="37"/>
    </row>
    <row r="31" spans="1:11">
      <c r="A31" s="7" t="s">
        <v>10</v>
      </c>
      <c r="B31" s="2" t="s">
        <v>302</v>
      </c>
      <c r="C31" s="2">
        <v>2013</v>
      </c>
      <c r="D31" s="42" t="s">
        <v>285</v>
      </c>
      <c r="E31" s="42" t="s">
        <v>13</v>
      </c>
      <c r="F31" s="2" t="s">
        <v>145</v>
      </c>
      <c r="G31" s="2" t="s">
        <v>267</v>
      </c>
      <c r="H31" s="8">
        <v>45038</v>
      </c>
      <c r="I31" s="37"/>
    </row>
    <row r="32" spans="1:11">
      <c r="A32" s="7" t="s">
        <v>10</v>
      </c>
      <c r="B32" s="2" t="s">
        <v>303</v>
      </c>
      <c r="C32" s="2">
        <v>2014</v>
      </c>
      <c r="D32" s="42" t="s">
        <v>285</v>
      </c>
      <c r="E32" s="42" t="s">
        <v>13</v>
      </c>
      <c r="F32" s="2" t="s">
        <v>145</v>
      </c>
      <c r="G32" s="2" t="s">
        <v>267</v>
      </c>
      <c r="H32" s="8">
        <v>45038</v>
      </c>
      <c r="I32" s="37"/>
    </row>
    <row r="33" spans="1:9">
      <c r="A33" s="7" t="s">
        <v>10</v>
      </c>
      <c r="B33" s="2" t="s">
        <v>304</v>
      </c>
      <c r="C33" s="2">
        <v>2015</v>
      </c>
      <c r="D33" s="42" t="s">
        <v>285</v>
      </c>
      <c r="E33" s="42" t="s">
        <v>13</v>
      </c>
      <c r="F33" s="2" t="s">
        <v>145</v>
      </c>
      <c r="G33" s="2" t="s">
        <v>267</v>
      </c>
      <c r="H33" s="8">
        <v>45038</v>
      </c>
      <c r="I33" s="37"/>
    </row>
    <row r="34" spans="1:9">
      <c r="A34" s="7" t="s">
        <v>10</v>
      </c>
      <c r="B34" s="2" t="s">
        <v>305</v>
      </c>
      <c r="C34" s="2">
        <v>2016</v>
      </c>
      <c r="D34" s="42" t="s">
        <v>285</v>
      </c>
      <c r="E34" s="42" t="s">
        <v>13</v>
      </c>
      <c r="F34" s="2" t="s">
        <v>145</v>
      </c>
      <c r="G34" s="2" t="s">
        <v>267</v>
      </c>
      <c r="H34" s="8">
        <v>45038</v>
      </c>
      <c r="I34" s="37"/>
    </row>
    <row r="35" spans="1:9">
      <c r="A35" s="7" t="s">
        <v>10</v>
      </c>
      <c r="B35" s="2" t="s">
        <v>306</v>
      </c>
      <c r="C35" s="2">
        <v>2018</v>
      </c>
      <c r="D35" s="42" t="s">
        <v>285</v>
      </c>
      <c r="E35" s="42" t="s">
        <v>13</v>
      </c>
      <c r="F35" s="2" t="s">
        <v>145</v>
      </c>
      <c r="G35" s="2" t="s">
        <v>267</v>
      </c>
      <c r="H35" s="8">
        <v>45038</v>
      </c>
      <c r="I35" s="37"/>
    </row>
    <row r="36" spans="1:9">
      <c r="A36" s="7" t="s">
        <v>10</v>
      </c>
      <c r="B36" s="2" t="s">
        <v>307</v>
      </c>
      <c r="C36" s="2">
        <v>2020</v>
      </c>
      <c r="D36" s="42" t="s">
        <v>285</v>
      </c>
      <c r="E36" s="42" t="s">
        <v>13</v>
      </c>
      <c r="F36" s="2" t="s">
        <v>145</v>
      </c>
      <c r="G36" s="2" t="s">
        <v>267</v>
      </c>
      <c r="H36" s="8">
        <v>45038</v>
      </c>
      <c r="I36" s="37"/>
    </row>
    <row r="37" spans="1:9">
      <c r="A37" s="7" t="s">
        <v>10</v>
      </c>
      <c r="B37" s="2" t="s">
        <v>308</v>
      </c>
      <c r="C37" s="2">
        <v>2021</v>
      </c>
      <c r="D37" s="42" t="s">
        <v>285</v>
      </c>
      <c r="E37" s="42" t="s">
        <v>25</v>
      </c>
      <c r="F37" s="2" t="s">
        <v>145</v>
      </c>
      <c r="G37" s="2" t="s">
        <v>267</v>
      </c>
      <c r="H37" s="8">
        <v>45038</v>
      </c>
      <c r="I37" s="37"/>
    </row>
    <row r="38" spans="1:9">
      <c r="A38" s="7" t="s">
        <v>10</v>
      </c>
      <c r="B38" s="2" t="s">
        <v>309</v>
      </c>
      <c r="C38" s="2">
        <v>2022</v>
      </c>
      <c r="D38" s="42" t="s">
        <v>285</v>
      </c>
      <c r="E38" s="42" t="s">
        <v>25</v>
      </c>
      <c r="F38" s="2" t="s">
        <v>145</v>
      </c>
      <c r="G38" s="2" t="s">
        <v>267</v>
      </c>
      <c r="H38" s="8">
        <v>45038</v>
      </c>
      <c r="I38" s="37"/>
    </row>
    <row r="39" spans="1:9">
      <c r="A39" s="7" t="s">
        <v>10</v>
      </c>
      <c r="B39" s="2" t="s">
        <v>310</v>
      </c>
      <c r="C39" s="2">
        <v>2023</v>
      </c>
      <c r="D39" s="42" t="s">
        <v>285</v>
      </c>
      <c r="E39" s="42" t="s">
        <v>13</v>
      </c>
      <c r="F39" s="2" t="s">
        <v>145</v>
      </c>
      <c r="G39" s="2" t="s">
        <v>267</v>
      </c>
      <c r="H39" s="8">
        <v>45038</v>
      </c>
      <c r="I39" s="37"/>
    </row>
    <row r="40" spans="1:9">
      <c r="A40" s="7" t="s">
        <v>10</v>
      </c>
      <c r="B40" s="2" t="s">
        <v>311</v>
      </c>
      <c r="C40" s="2">
        <v>2024</v>
      </c>
      <c r="D40" s="42" t="s">
        <v>285</v>
      </c>
      <c r="E40" s="42" t="s">
        <v>13</v>
      </c>
      <c r="F40" s="2" t="s">
        <v>145</v>
      </c>
      <c r="G40" s="2" t="s">
        <v>267</v>
      </c>
      <c r="H40" s="8">
        <v>45038</v>
      </c>
      <c r="I40" s="37"/>
    </row>
    <row r="41" spans="1:9">
      <c r="A41" s="7" t="s">
        <v>10</v>
      </c>
      <c r="B41" s="2" t="s">
        <v>312</v>
      </c>
      <c r="C41" s="2">
        <v>2025</v>
      </c>
      <c r="D41" s="42" t="s">
        <v>285</v>
      </c>
      <c r="E41" s="42" t="s">
        <v>13</v>
      </c>
      <c r="F41" s="2" t="s">
        <v>145</v>
      </c>
      <c r="G41" s="2" t="s">
        <v>267</v>
      </c>
      <c r="H41" s="8">
        <v>45038</v>
      </c>
      <c r="I41" s="37"/>
    </row>
    <row r="42" spans="1:9">
      <c r="A42" s="7" t="s">
        <v>10</v>
      </c>
      <c r="B42" s="2" t="s">
        <v>313</v>
      </c>
      <c r="C42" s="2">
        <v>3052</v>
      </c>
      <c r="D42" s="42" t="s">
        <v>147</v>
      </c>
      <c r="E42" s="42" t="s">
        <v>13</v>
      </c>
      <c r="F42" s="2" t="s">
        <v>149</v>
      </c>
      <c r="G42" s="2" t="s">
        <v>267</v>
      </c>
      <c r="H42" s="127">
        <v>45150</v>
      </c>
      <c r="I42" s="319"/>
    </row>
    <row r="43" spans="1:9">
      <c r="A43" s="7" t="s">
        <v>10</v>
      </c>
      <c r="B43" s="2" t="s">
        <v>314</v>
      </c>
      <c r="C43" s="2">
        <v>3053</v>
      </c>
      <c r="D43" s="42" t="s">
        <v>147</v>
      </c>
      <c r="E43" s="42" t="s">
        <v>13</v>
      </c>
      <c r="F43" s="2" t="s">
        <v>149</v>
      </c>
      <c r="G43" s="2" t="s">
        <v>267</v>
      </c>
      <c r="H43" s="127">
        <v>45150</v>
      </c>
      <c r="I43" s="319"/>
    </row>
    <row r="44" spans="1:9">
      <c r="A44" s="7" t="s">
        <v>10</v>
      </c>
      <c r="B44" s="2" t="s">
        <v>315</v>
      </c>
      <c r="C44" s="2">
        <v>3054</v>
      </c>
      <c r="D44" s="42" t="s">
        <v>147</v>
      </c>
      <c r="E44" s="42" t="s">
        <v>13</v>
      </c>
      <c r="F44" s="2" t="s">
        <v>149</v>
      </c>
      <c r="G44" s="2" t="s">
        <v>267</v>
      </c>
      <c r="H44" s="127">
        <v>45150</v>
      </c>
      <c r="I44" s="319"/>
    </row>
    <row r="45" spans="1:9">
      <c r="A45" s="7" t="s">
        <v>10</v>
      </c>
      <c r="B45" s="2" t="s">
        <v>316</v>
      </c>
      <c r="C45" s="2">
        <v>3055</v>
      </c>
      <c r="D45" s="42" t="s">
        <v>147</v>
      </c>
      <c r="E45" s="42" t="s">
        <v>13</v>
      </c>
      <c r="F45" s="2" t="s">
        <v>149</v>
      </c>
      <c r="G45" s="2" t="s">
        <v>267</v>
      </c>
      <c r="H45" s="127">
        <v>45150</v>
      </c>
      <c r="I45" s="319"/>
    </row>
    <row r="46" spans="1:9">
      <c r="A46" s="7" t="s">
        <v>10</v>
      </c>
      <c r="B46" s="2" t="s">
        <v>317</v>
      </c>
      <c r="C46" s="2">
        <v>3056</v>
      </c>
      <c r="D46" s="42" t="s">
        <v>147</v>
      </c>
      <c r="E46" s="42" t="s">
        <v>13</v>
      </c>
      <c r="F46" s="2" t="s">
        <v>149</v>
      </c>
      <c r="G46" s="2" t="s">
        <v>267</v>
      </c>
      <c r="H46" s="127">
        <v>45150</v>
      </c>
      <c r="I46" s="319"/>
    </row>
    <row r="47" spans="1:9">
      <c r="A47" s="7" t="s">
        <v>10</v>
      </c>
      <c r="B47" s="2" t="s">
        <v>318</v>
      </c>
      <c r="C47" s="2">
        <v>3057</v>
      </c>
      <c r="D47" s="42" t="s">
        <v>147</v>
      </c>
      <c r="E47" s="42" t="s">
        <v>13</v>
      </c>
      <c r="F47" s="2" t="s">
        <v>149</v>
      </c>
      <c r="G47" s="2" t="s">
        <v>267</v>
      </c>
      <c r="H47" s="127">
        <v>45150</v>
      </c>
      <c r="I47" s="319"/>
    </row>
    <row r="48" spans="1:9">
      <c r="A48" s="7" t="s">
        <v>10</v>
      </c>
      <c r="B48" s="2" t="s">
        <v>319</v>
      </c>
      <c r="C48" s="2">
        <v>3058</v>
      </c>
      <c r="D48" s="42" t="s">
        <v>147</v>
      </c>
      <c r="E48" s="42" t="s">
        <v>13</v>
      </c>
      <c r="F48" s="2" t="s">
        <v>149</v>
      </c>
      <c r="G48" s="2" t="s">
        <v>267</v>
      </c>
      <c r="H48" s="127">
        <v>45150</v>
      </c>
      <c r="I48" s="319"/>
    </row>
    <row r="49" spans="1:9">
      <c r="A49" s="7" t="s">
        <v>10</v>
      </c>
      <c r="B49" s="2" t="s">
        <v>320</v>
      </c>
      <c r="C49" s="2">
        <v>3060</v>
      </c>
      <c r="D49" s="42" t="s">
        <v>147</v>
      </c>
      <c r="E49" s="42" t="s">
        <v>13</v>
      </c>
      <c r="F49" s="2" t="s">
        <v>149</v>
      </c>
      <c r="G49" s="2" t="s">
        <v>267</v>
      </c>
      <c r="H49" s="127">
        <v>45150</v>
      </c>
      <c r="I49" s="319"/>
    </row>
    <row r="50" spans="1:9">
      <c r="A50" s="7" t="s">
        <v>10</v>
      </c>
      <c r="B50" s="2" t="s">
        <v>321</v>
      </c>
      <c r="C50" s="2">
        <v>3061</v>
      </c>
      <c r="D50" s="42" t="s">
        <v>147</v>
      </c>
      <c r="E50" s="42" t="s">
        <v>13</v>
      </c>
      <c r="F50" s="2" t="s">
        <v>149</v>
      </c>
      <c r="G50" s="2" t="s">
        <v>267</v>
      </c>
      <c r="H50" s="127">
        <v>45150</v>
      </c>
      <c r="I50" s="319"/>
    </row>
    <row r="51" spans="1:9">
      <c r="A51" s="7" t="s">
        <v>10</v>
      </c>
      <c r="B51" s="2" t="s">
        <v>322</v>
      </c>
      <c r="C51" s="2">
        <v>3062</v>
      </c>
      <c r="D51" s="42" t="s">
        <v>147</v>
      </c>
      <c r="E51" s="42" t="s">
        <v>13</v>
      </c>
      <c r="F51" s="2" t="s">
        <v>149</v>
      </c>
      <c r="G51" s="2" t="s">
        <v>267</v>
      </c>
      <c r="H51" s="127">
        <v>45150</v>
      </c>
      <c r="I51" s="319"/>
    </row>
    <row r="52" spans="1:9">
      <c r="A52" s="7" t="s">
        <v>10</v>
      </c>
      <c r="B52" s="2" t="s">
        <v>323</v>
      </c>
      <c r="C52" s="2">
        <v>3063</v>
      </c>
      <c r="D52" s="42" t="s">
        <v>147</v>
      </c>
      <c r="E52" s="42" t="s">
        <v>13</v>
      </c>
      <c r="F52" s="2" t="s">
        <v>149</v>
      </c>
      <c r="G52" s="2" t="s">
        <v>267</v>
      </c>
      <c r="H52" s="127">
        <v>45150</v>
      </c>
      <c r="I52" s="319"/>
    </row>
    <row r="53" spans="1:9">
      <c r="A53" s="7" t="s">
        <v>10</v>
      </c>
      <c r="B53" s="2" t="s">
        <v>324</v>
      </c>
      <c r="C53" s="2">
        <v>3064</v>
      </c>
      <c r="D53" s="42" t="s">
        <v>147</v>
      </c>
      <c r="E53" s="42" t="s">
        <v>13</v>
      </c>
      <c r="F53" s="2" t="s">
        <v>149</v>
      </c>
      <c r="G53" s="2" t="s">
        <v>267</v>
      </c>
      <c r="H53" s="127">
        <v>45150</v>
      </c>
      <c r="I53" s="319"/>
    </row>
    <row r="54" spans="1:9">
      <c r="A54" s="7" t="s">
        <v>10</v>
      </c>
      <c r="B54" s="2" t="s">
        <v>325</v>
      </c>
      <c r="C54" s="2">
        <v>3073</v>
      </c>
      <c r="D54" s="42" t="s">
        <v>147</v>
      </c>
      <c r="E54" s="42" t="s">
        <v>13</v>
      </c>
      <c r="F54" s="2" t="s">
        <v>149</v>
      </c>
      <c r="G54" s="2" t="s">
        <v>267</v>
      </c>
      <c r="H54" s="127">
        <v>45150</v>
      </c>
      <c r="I54" s="319"/>
    </row>
    <row r="55" spans="1:9">
      <c r="A55" s="7" t="s">
        <v>10</v>
      </c>
      <c r="B55" s="2" t="s">
        <v>326</v>
      </c>
      <c r="C55" s="2">
        <v>3078</v>
      </c>
      <c r="D55" s="42" t="s">
        <v>147</v>
      </c>
      <c r="E55" s="42" t="s">
        <v>13</v>
      </c>
      <c r="F55" s="2" t="s">
        <v>149</v>
      </c>
      <c r="G55" s="2" t="s">
        <v>267</v>
      </c>
      <c r="H55" s="127">
        <v>45150</v>
      </c>
      <c r="I55" s="319"/>
    </row>
    <row r="56" spans="1:9">
      <c r="A56" s="7" t="s">
        <v>10</v>
      </c>
      <c r="B56" s="2" t="s">
        <v>327</v>
      </c>
      <c r="C56" s="2">
        <v>3080</v>
      </c>
      <c r="D56" s="42" t="s">
        <v>147</v>
      </c>
      <c r="E56" s="42" t="s">
        <v>13</v>
      </c>
      <c r="F56" s="2" t="s">
        <v>149</v>
      </c>
      <c r="G56" s="2" t="s">
        <v>267</v>
      </c>
      <c r="H56" s="127">
        <v>45150</v>
      </c>
      <c r="I56" s="319"/>
    </row>
    <row r="57" spans="1:9">
      <c r="A57" s="7" t="s">
        <v>10</v>
      </c>
      <c r="B57" s="2" t="s">
        <v>328</v>
      </c>
      <c r="C57" s="2">
        <v>3082</v>
      </c>
      <c r="D57" s="42" t="s">
        <v>147</v>
      </c>
      <c r="E57" s="42" t="s">
        <v>13</v>
      </c>
      <c r="F57" s="2" t="s">
        <v>149</v>
      </c>
      <c r="G57" s="2" t="s">
        <v>267</v>
      </c>
      <c r="H57" s="8">
        <v>45038</v>
      </c>
      <c r="I57" s="37"/>
    </row>
    <row r="58" spans="1:9">
      <c r="A58" s="7" t="s">
        <v>10</v>
      </c>
      <c r="B58" s="2" t="s">
        <v>329</v>
      </c>
      <c r="C58" s="2">
        <v>3083</v>
      </c>
      <c r="D58" s="42" t="s">
        <v>147</v>
      </c>
      <c r="E58" s="42" t="s">
        <v>13</v>
      </c>
      <c r="F58" s="2" t="s">
        <v>149</v>
      </c>
      <c r="G58" s="2" t="s">
        <v>267</v>
      </c>
      <c r="H58" s="8">
        <v>45038</v>
      </c>
      <c r="I58" s="37"/>
    </row>
    <row r="59" spans="1:9">
      <c r="A59" s="7" t="s">
        <v>10</v>
      </c>
      <c r="B59" s="2" t="s">
        <v>330</v>
      </c>
      <c r="C59" s="2">
        <v>3084</v>
      </c>
      <c r="D59" s="42" t="s">
        <v>147</v>
      </c>
      <c r="E59" s="42" t="s">
        <v>13</v>
      </c>
      <c r="F59" s="2" t="s">
        <v>149</v>
      </c>
      <c r="G59" s="2" t="s">
        <v>267</v>
      </c>
      <c r="H59" s="127">
        <v>45150</v>
      </c>
      <c r="I59" s="319"/>
    </row>
    <row r="60" spans="1:9">
      <c r="A60" s="7" t="s">
        <v>10</v>
      </c>
      <c r="B60" s="2" t="s">
        <v>331</v>
      </c>
      <c r="C60" s="2">
        <v>3085</v>
      </c>
      <c r="D60" s="42" t="s">
        <v>147</v>
      </c>
      <c r="E60" s="42" t="s">
        <v>13</v>
      </c>
      <c r="F60" s="2" t="s">
        <v>149</v>
      </c>
      <c r="G60" s="2" t="s">
        <v>267</v>
      </c>
      <c r="H60" s="8">
        <v>45038</v>
      </c>
      <c r="I60" s="37"/>
    </row>
    <row r="61" spans="1:9">
      <c r="A61" s="7" t="s">
        <v>10</v>
      </c>
      <c r="B61" s="2" t="s">
        <v>332</v>
      </c>
      <c r="C61" s="2">
        <v>3086</v>
      </c>
      <c r="D61" s="42" t="s">
        <v>147</v>
      </c>
      <c r="E61" s="42" t="s">
        <v>13</v>
      </c>
      <c r="F61" s="2" t="s">
        <v>149</v>
      </c>
      <c r="G61" s="2" t="s">
        <v>267</v>
      </c>
      <c r="H61" s="8">
        <v>45038</v>
      </c>
      <c r="I61" s="37"/>
    </row>
    <row r="62" spans="1:9">
      <c r="A62" s="7" t="s">
        <v>10</v>
      </c>
      <c r="B62" s="2" t="s">
        <v>333</v>
      </c>
      <c r="C62" s="2">
        <v>3087</v>
      </c>
      <c r="D62" s="42" t="s">
        <v>147</v>
      </c>
      <c r="E62" s="42" t="s">
        <v>13</v>
      </c>
      <c r="F62" s="2" t="s">
        <v>149</v>
      </c>
      <c r="G62" s="2" t="s">
        <v>267</v>
      </c>
      <c r="H62" s="127">
        <v>45150</v>
      </c>
      <c r="I62" s="319"/>
    </row>
    <row r="63" spans="1:9">
      <c r="A63" s="7" t="s">
        <v>10</v>
      </c>
      <c r="B63" s="2" t="s">
        <v>334</v>
      </c>
      <c r="C63" s="2">
        <v>3088</v>
      </c>
      <c r="D63" s="42" t="s">
        <v>147</v>
      </c>
      <c r="E63" s="42" t="s">
        <v>13</v>
      </c>
      <c r="F63" s="2" t="s">
        <v>149</v>
      </c>
      <c r="G63" s="2" t="s">
        <v>267</v>
      </c>
      <c r="H63" s="127">
        <v>45150</v>
      </c>
      <c r="I63" s="319"/>
    </row>
    <row r="64" spans="1:9">
      <c r="A64" s="7" t="s">
        <v>10</v>
      </c>
      <c r="B64" s="2" t="s">
        <v>335</v>
      </c>
      <c r="C64" s="2">
        <v>3089</v>
      </c>
      <c r="D64" s="42" t="s">
        <v>147</v>
      </c>
      <c r="E64" s="42" t="s">
        <v>13</v>
      </c>
      <c r="F64" s="2" t="s">
        <v>149</v>
      </c>
      <c r="G64" s="2" t="s">
        <v>267</v>
      </c>
      <c r="H64" s="127">
        <v>45150</v>
      </c>
      <c r="I64" s="319"/>
    </row>
    <row r="65" spans="1:9">
      <c r="A65" s="7" t="s">
        <v>10</v>
      </c>
      <c r="B65" s="2" t="s">
        <v>336</v>
      </c>
      <c r="C65" s="2">
        <v>3090</v>
      </c>
      <c r="D65" s="42" t="s">
        <v>147</v>
      </c>
      <c r="E65" s="42" t="s">
        <v>13</v>
      </c>
      <c r="F65" s="2" t="s">
        <v>149</v>
      </c>
      <c r="G65" s="2" t="s">
        <v>267</v>
      </c>
      <c r="H65" s="127">
        <v>45150</v>
      </c>
      <c r="I65" s="319"/>
    </row>
    <row r="66" spans="1:9">
      <c r="A66" s="7" t="s">
        <v>10</v>
      </c>
      <c r="B66" s="2" t="s">
        <v>337</v>
      </c>
      <c r="C66" s="2">
        <v>3091</v>
      </c>
      <c r="D66" s="42" t="s">
        <v>147</v>
      </c>
      <c r="E66" s="42" t="s">
        <v>13</v>
      </c>
      <c r="F66" s="2" t="s">
        <v>149</v>
      </c>
      <c r="G66" s="2" t="s">
        <v>267</v>
      </c>
      <c r="H66" s="127">
        <v>45150</v>
      </c>
      <c r="I66" s="319"/>
    </row>
    <row r="67" spans="1:9">
      <c r="A67" s="7" t="s">
        <v>10</v>
      </c>
      <c r="B67" s="2" t="s">
        <v>338</v>
      </c>
      <c r="C67" s="2">
        <v>3092</v>
      </c>
      <c r="D67" s="42" t="s">
        <v>147</v>
      </c>
      <c r="E67" s="42" t="s">
        <v>13</v>
      </c>
      <c r="F67" s="2" t="s">
        <v>149</v>
      </c>
      <c r="G67" s="2" t="s">
        <v>267</v>
      </c>
      <c r="H67" s="127">
        <v>45150</v>
      </c>
      <c r="I67" s="319"/>
    </row>
    <row r="68" spans="1:9">
      <c r="A68" s="7" t="s">
        <v>10</v>
      </c>
      <c r="B68" s="2" t="s">
        <v>339</v>
      </c>
      <c r="C68" s="2">
        <v>3093</v>
      </c>
      <c r="D68" s="42" t="s">
        <v>147</v>
      </c>
      <c r="E68" s="42" t="s">
        <v>13</v>
      </c>
      <c r="F68" s="2" t="s">
        <v>149</v>
      </c>
      <c r="G68" s="2" t="s">
        <v>267</v>
      </c>
      <c r="H68" s="127">
        <v>45150</v>
      </c>
      <c r="I68" s="319"/>
    </row>
    <row r="69" spans="1:9">
      <c r="A69" s="7" t="s">
        <v>10</v>
      </c>
      <c r="B69" s="2" t="s">
        <v>340</v>
      </c>
      <c r="C69" s="2">
        <v>3094</v>
      </c>
      <c r="D69" s="42" t="s">
        <v>147</v>
      </c>
      <c r="E69" s="42" t="s">
        <v>13</v>
      </c>
      <c r="F69" s="2" t="s">
        <v>149</v>
      </c>
      <c r="G69" s="2" t="s">
        <v>267</v>
      </c>
      <c r="H69" s="127">
        <v>45150</v>
      </c>
      <c r="I69" s="319"/>
    </row>
    <row r="70" spans="1:9">
      <c r="A70" s="7" t="s">
        <v>10</v>
      </c>
      <c r="B70" s="2" t="s">
        <v>341</v>
      </c>
      <c r="C70" s="2">
        <v>3095</v>
      </c>
      <c r="D70" s="42" t="s">
        <v>147</v>
      </c>
      <c r="E70" s="42" t="s">
        <v>13</v>
      </c>
      <c r="F70" s="2" t="s">
        <v>149</v>
      </c>
      <c r="G70" s="2" t="s">
        <v>267</v>
      </c>
      <c r="H70" s="127">
        <v>45150</v>
      </c>
      <c r="I70" s="319"/>
    </row>
    <row r="71" spans="1:9">
      <c r="A71" s="7" t="s">
        <v>10</v>
      </c>
      <c r="B71" s="2" t="s">
        <v>342</v>
      </c>
      <c r="C71" s="2">
        <v>3096</v>
      </c>
      <c r="D71" s="42" t="s">
        <v>147</v>
      </c>
      <c r="E71" s="42" t="s">
        <v>13</v>
      </c>
      <c r="F71" s="2" t="s">
        <v>149</v>
      </c>
      <c r="G71" s="2" t="s">
        <v>267</v>
      </c>
      <c r="H71" s="127">
        <v>45150</v>
      </c>
      <c r="I71" s="319"/>
    </row>
    <row r="72" spans="1:9">
      <c r="A72" s="7" t="s">
        <v>10</v>
      </c>
      <c r="B72" s="2" t="s">
        <v>343</v>
      </c>
      <c r="C72" s="2">
        <v>3097</v>
      </c>
      <c r="D72" s="42" t="s">
        <v>147</v>
      </c>
      <c r="E72" s="42" t="s">
        <v>13</v>
      </c>
      <c r="F72" s="2" t="s">
        <v>149</v>
      </c>
      <c r="G72" s="2" t="s">
        <v>267</v>
      </c>
      <c r="H72" s="8">
        <v>45038</v>
      </c>
      <c r="I72" s="37"/>
    </row>
    <row r="73" spans="1:9">
      <c r="A73" s="7" t="s">
        <v>10</v>
      </c>
      <c r="B73" s="2" t="s">
        <v>344</v>
      </c>
      <c r="C73" s="2">
        <v>3098</v>
      </c>
      <c r="D73" s="42" t="s">
        <v>147</v>
      </c>
      <c r="E73" s="42" t="s">
        <v>13</v>
      </c>
      <c r="F73" s="2" t="s">
        <v>149</v>
      </c>
      <c r="G73" s="2" t="s">
        <v>267</v>
      </c>
      <c r="H73" s="127">
        <v>45150</v>
      </c>
      <c r="I73" s="319"/>
    </row>
    <row r="74" spans="1:9">
      <c r="A74" s="7" t="s">
        <v>10</v>
      </c>
      <c r="B74" s="2" t="s">
        <v>345</v>
      </c>
      <c r="C74" s="2">
        <v>3099</v>
      </c>
      <c r="D74" s="42" t="s">
        <v>147</v>
      </c>
      <c r="E74" s="42" t="s">
        <v>13</v>
      </c>
      <c r="F74" s="2" t="s">
        <v>149</v>
      </c>
      <c r="G74" s="2" t="s">
        <v>267</v>
      </c>
      <c r="H74" s="127">
        <v>45150</v>
      </c>
      <c r="I74" s="319"/>
    </row>
    <row r="75" spans="1:9">
      <c r="A75" s="7" t="s">
        <v>10</v>
      </c>
      <c r="B75" s="2" t="s">
        <v>346</v>
      </c>
      <c r="C75" s="2">
        <v>3100</v>
      </c>
      <c r="D75" s="42" t="s">
        <v>147</v>
      </c>
      <c r="E75" s="42" t="s">
        <v>13</v>
      </c>
      <c r="F75" s="2" t="s">
        <v>149</v>
      </c>
      <c r="G75" s="2" t="s">
        <v>267</v>
      </c>
      <c r="H75" s="127">
        <v>45150</v>
      </c>
      <c r="I75" s="319"/>
    </row>
    <row r="76" spans="1:9">
      <c r="A76" s="7" t="s">
        <v>10</v>
      </c>
      <c r="B76" s="2" t="s">
        <v>347</v>
      </c>
      <c r="C76" s="2">
        <v>3101</v>
      </c>
      <c r="D76" s="42" t="s">
        <v>147</v>
      </c>
      <c r="E76" s="42" t="s">
        <v>13</v>
      </c>
      <c r="F76" s="2" t="s">
        <v>149</v>
      </c>
      <c r="G76" s="2" t="s">
        <v>267</v>
      </c>
      <c r="H76" s="127">
        <v>45150</v>
      </c>
      <c r="I76" s="319"/>
    </row>
    <row r="77" spans="1:9">
      <c r="A77" s="7" t="s">
        <v>10</v>
      </c>
      <c r="B77" s="2" t="s">
        <v>348</v>
      </c>
      <c r="C77" s="2">
        <v>3102</v>
      </c>
      <c r="D77" s="42" t="s">
        <v>147</v>
      </c>
      <c r="E77" s="42" t="s">
        <v>13</v>
      </c>
      <c r="F77" s="2" t="s">
        <v>149</v>
      </c>
      <c r="G77" s="2" t="s">
        <v>267</v>
      </c>
      <c r="H77" s="127">
        <v>45150</v>
      </c>
      <c r="I77" s="319"/>
    </row>
    <row r="78" spans="1:9">
      <c r="A78" s="7" t="s">
        <v>10</v>
      </c>
      <c r="B78" s="2" t="s">
        <v>349</v>
      </c>
      <c r="C78" s="2">
        <v>3103</v>
      </c>
      <c r="D78" s="42" t="s">
        <v>147</v>
      </c>
      <c r="E78" s="42" t="s">
        <v>13</v>
      </c>
      <c r="F78" s="2" t="s">
        <v>149</v>
      </c>
      <c r="G78" s="2" t="s">
        <v>267</v>
      </c>
      <c r="H78" s="8">
        <v>45038</v>
      </c>
      <c r="I78" s="37"/>
    </row>
    <row r="79" spans="1:9">
      <c r="A79" s="7" t="s">
        <v>10</v>
      </c>
      <c r="B79" s="2" t="s">
        <v>350</v>
      </c>
      <c r="C79" s="2">
        <v>3104</v>
      </c>
      <c r="D79" s="42" t="s">
        <v>147</v>
      </c>
      <c r="E79" s="42" t="s">
        <v>13</v>
      </c>
      <c r="F79" s="2" t="s">
        <v>149</v>
      </c>
      <c r="G79" s="2" t="s">
        <v>267</v>
      </c>
      <c r="H79" s="8">
        <v>45038</v>
      </c>
      <c r="I79" s="37"/>
    </row>
    <row r="80" spans="1:9">
      <c r="A80" s="7" t="s">
        <v>10</v>
      </c>
      <c r="B80" s="2" t="s">
        <v>351</v>
      </c>
      <c r="C80" s="2">
        <v>3105</v>
      </c>
      <c r="D80" s="42" t="s">
        <v>147</v>
      </c>
      <c r="E80" s="42" t="s">
        <v>13</v>
      </c>
      <c r="F80" s="2" t="s">
        <v>149</v>
      </c>
      <c r="G80" s="2" t="s">
        <v>267</v>
      </c>
      <c r="H80" s="127">
        <v>45150</v>
      </c>
      <c r="I80" s="319"/>
    </row>
    <row r="81" spans="1:9">
      <c r="A81" s="7" t="s">
        <v>10</v>
      </c>
      <c r="B81" s="2" t="s">
        <v>352</v>
      </c>
      <c r="C81" s="2">
        <v>3106</v>
      </c>
      <c r="D81" s="42" t="s">
        <v>147</v>
      </c>
      <c r="E81" s="42" t="s">
        <v>13</v>
      </c>
      <c r="F81" s="2" t="s">
        <v>149</v>
      </c>
      <c r="G81" s="2" t="s">
        <v>267</v>
      </c>
      <c r="H81" s="127">
        <v>45150</v>
      </c>
      <c r="I81" s="319"/>
    </row>
    <row r="82" spans="1:9">
      <c r="A82" s="7" t="s">
        <v>10</v>
      </c>
      <c r="B82" s="2" t="s">
        <v>353</v>
      </c>
      <c r="C82" s="2">
        <v>3107</v>
      </c>
      <c r="D82" s="42" t="s">
        <v>147</v>
      </c>
      <c r="E82" s="42" t="s">
        <v>13</v>
      </c>
      <c r="F82" s="2" t="s">
        <v>149</v>
      </c>
      <c r="G82" s="2" t="s">
        <v>267</v>
      </c>
      <c r="H82" s="127">
        <v>45150</v>
      </c>
      <c r="I82" s="319"/>
    </row>
    <row r="83" spans="1:9">
      <c r="A83" s="7" t="s">
        <v>10</v>
      </c>
      <c r="B83" s="2" t="s">
        <v>354</v>
      </c>
      <c r="C83" s="2">
        <v>3108</v>
      </c>
      <c r="D83" s="42" t="s">
        <v>147</v>
      </c>
      <c r="E83" s="42" t="s">
        <v>13</v>
      </c>
      <c r="F83" s="2" t="s">
        <v>149</v>
      </c>
      <c r="G83" s="2" t="s">
        <v>267</v>
      </c>
      <c r="H83" s="127">
        <v>45150</v>
      </c>
      <c r="I83" s="319"/>
    </row>
    <row r="84" spans="1:9">
      <c r="A84" s="7" t="s">
        <v>10</v>
      </c>
      <c r="B84" s="2" t="s">
        <v>355</v>
      </c>
      <c r="C84" s="2">
        <v>3109</v>
      </c>
      <c r="D84" s="42" t="s">
        <v>147</v>
      </c>
      <c r="E84" s="42" t="s">
        <v>13</v>
      </c>
      <c r="F84" s="2" t="s">
        <v>149</v>
      </c>
      <c r="G84" s="2" t="s">
        <v>267</v>
      </c>
      <c r="H84" s="127">
        <v>45150</v>
      </c>
      <c r="I84" s="319"/>
    </row>
    <row r="85" spans="1:9">
      <c r="A85" s="7" t="s">
        <v>10</v>
      </c>
      <c r="B85" s="2" t="s">
        <v>356</v>
      </c>
      <c r="C85" s="2">
        <v>3110</v>
      </c>
      <c r="D85" s="42" t="s">
        <v>147</v>
      </c>
      <c r="E85" s="42" t="s">
        <v>13</v>
      </c>
      <c r="F85" s="2" t="s">
        <v>149</v>
      </c>
      <c r="G85" s="2" t="s">
        <v>267</v>
      </c>
      <c r="H85" s="8">
        <v>45038</v>
      </c>
      <c r="I85" s="37"/>
    </row>
    <row r="86" spans="1:9">
      <c r="A86" s="7" t="s">
        <v>10</v>
      </c>
      <c r="B86" s="2" t="s">
        <v>357</v>
      </c>
      <c r="C86" s="2">
        <v>3111</v>
      </c>
      <c r="D86" s="42" t="s">
        <v>147</v>
      </c>
      <c r="E86" s="42" t="s">
        <v>13</v>
      </c>
      <c r="F86" s="2" t="s">
        <v>149</v>
      </c>
      <c r="G86" s="2" t="s">
        <v>267</v>
      </c>
      <c r="H86" s="127">
        <v>45150</v>
      </c>
      <c r="I86" s="319"/>
    </row>
    <row r="87" spans="1:9">
      <c r="A87" s="7" t="s">
        <v>10</v>
      </c>
      <c r="B87" s="2" t="s">
        <v>358</v>
      </c>
      <c r="C87" s="2">
        <v>3112</v>
      </c>
      <c r="D87" s="42" t="s">
        <v>147</v>
      </c>
      <c r="E87" s="42" t="s">
        <v>13</v>
      </c>
      <c r="F87" s="2" t="s">
        <v>149</v>
      </c>
      <c r="G87" s="2" t="s">
        <v>267</v>
      </c>
      <c r="H87" s="127">
        <v>45150</v>
      </c>
      <c r="I87" s="319"/>
    </row>
    <row r="88" spans="1:9">
      <c r="A88" s="7" t="s">
        <v>10</v>
      </c>
      <c r="B88" s="2" t="s">
        <v>359</v>
      </c>
      <c r="C88" s="2">
        <v>3113</v>
      </c>
      <c r="D88" s="42" t="s">
        <v>147</v>
      </c>
      <c r="E88" s="42" t="s">
        <v>13</v>
      </c>
      <c r="F88" s="2" t="s">
        <v>149</v>
      </c>
      <c r="G88" s="2" t="s">
        <v>267</v>
      </c>
      <c r="H88" s="8">
        <v>45038</v>
      </c>
      <c r="I88" s="37"/>
    </row>
    <row r="89" spans="1:9">
      <c r="A89" s="7" t="s">
        <v>10</v>
      </c>
      <c r="B89" s="2" t="s">
        <v>360</v>
      </c>
      <c r="C89" s="2">
        <v>3114</v>
      </c>
      <c r="D89" s="42" t="s">
        <v>147</v>
      </c>
      <c r="E89" s="42" t="s">
        <v>13</v>
      </c>
      <c r="F89" s="2" t="s">
        <v>149</v>
      </c>
      <c r="G89" s="2" t="s">
        <v>267</v>
      </c>
      <c r="H89" s="127">
        <v>45150</v>
      </c>
      <c r="I89" s="319"/>
    </row>
    <row r="90" spans="1:9">
      <c r="A90" s="7" t="s">
        <v>10</v>
      </c>
      <c r="B90" s="2" t="s">
        <v>361</v>
      </c>
      <c r="C90" s="2">
        <v>3115</v>
      </c>
      <c r="D90" s="42" t="s">
        <v>147</v>
      </c>
      <c r="E90" s="42" t="s">
        <v>13</v>
      </c>
      <c r="F90" s="2" t="s">
        <v>149</v>
      </c>
      <c r="G90" s="2" t="s">
        <v>267</v>
      </c>
      <c r="H90" s="127">
        <v>45150</v>
      </c>
      <c r="I90" s="319"/>
    </row>
    <row r="91" spans="1:9">
      <c r="A91" s="7" t="s">
        <v>10</v>
      </c>
      <c r="B91" s="2" t="s">
        <v>362</v>
      </c>
      <c r="C91" s="2">
        <v>3116</v>
      </c>
      <c r="D91" s="42" t="s">
        <v>147</v>
      </c>
      <c r="E91" s="42" t="s">
        <v>13</v>
      </c>
      <c r="F91" s="2" t="s">
        <v>149</v>
      </c>
      <c r="G91" s="2" t="s">
        <v>267</v>
      </c>
      <c r="H91" s="8">
        <v>45038</v>
      </c>
      <c r="I91" s="37"/>
    </row>
    <row r="92" spans="1:9">
      <c r="A92" s="7" t="s">
        <v>10</v>
      </c>
      <c r="B92" s="2" t="s">
        <v>363</v>
      </c>
      <c r="C92" s="2">
        <v>3117</v>
      </c>
      <c r="D92" s="42" t="s">
        <v>147</v>
      </c>
      <c r="E92" s="42" t="s">
        <v>13</v>
      </c>
      <c r="F92" s="2" t="s">
        <v>149</v>
      </c>
      <c r="G92" s="2" t="s">
        <v>267</v>
      </c>
      <c r="H92" s="127">
        <v>45150</v>
      </c>
      <c r="I92" s="319"/>
    </row>
    <row r="93" spans="1:9">
      <c r="A93" s="7" t="s">
        <v>10</v>
      </c>
      <c r="B93" s="2" t="s">
        <v>364</v>
      </c>
      <c r="C93" s="2">
        <v>3118</v>
      </c>
      <c r="D93" s="42" t="s">
        <v>147</v>
      </c>
      <c r="E93" s="42" t="s">
        <v>13</v>
      </c>
      <c r="F93" s="2" t="s">
        <v>149</v>
      </c>
      <c r="G93" s="2" t="s">
        <v>267</v>
      </c>
      <c r="H93" s="127">
        <v>45150</v>
      </c>
      <c r="I93" s="319"/>
    </row>
    <row r="94" spans="1:9">
      <c r="A94" s="7" t="s">
        <v>10</v>
      </c>
      <c r="B94" s="2" t="s">
        <v>365</v>
      </c>
      <c r="C94" s="2">
        <v>3119</v>
      </c>
      <c r="D94" s="42" t="s">
        <v>147</v>
      </c>
      <c r="E94" s="42" t="s">
        <v>13</v>
      </c>
      <c r="F94" s="2" t="s">
        <v>149</v>
      </c>
      <c r="G94" s="2" t="s">
        <v>267</v>
      </c>
      <c r="H94" s="127">
        <v>45150</v>
      </c>
      <c r="I94" s="319"/>
    </row>
    <row r="95" spans="1:9">
      <c r="A95" s="7" t="s">
        <v>10</v>
      </c>
      <c r="B95" s="2" t="s">
        <v>366</v>
      </c>
      <c r="C95" s="2">
        <v>3120</v>
      </c>
      <c r="D95" s="42" t="s">
        <v>147</v>
      </c>
      <c r="E95" s="42" t="s">
        <v>13</v>
      </c>
      <c r="F95" s="2" t="s">
        <v>149</v>
      </c>
      <c r="G95" s="2" t="s">
        <v>267</v>
      </c>
      <c r="H95" s="127">
        <v>45150</v>
      </c>
      <c r="I95" s="319"/>
    </row>
    <row r="96" spans="1:9">
      <c r="A96" s="7" t="s">
        <v>10</v>
      </c>
      <c r="B96" s="2" t="s">
        <v>367</v>
      </c>
      <c r="C96" s="2">
        <v>3121</v>
      </c>
      <c r="D96" s="42" t="s">
        <v>147</v>
      </c>
      <c r="E96" s="42" t="s">
        <v>13</v>
      </c>
      <c r="F96" s="2" t="s">
        <v>149</v>
      </c>
      <c r="G96" s="2" t="s">
        <v>267</v>
      </c>
      <c r="H96" s="127">
        <v>45150</v>
      </c>
      <c r="I96" s="319"/>
    </row>
    <row r="97" spans="1:9">
      <c r="A97" s="7" t="s">
        <v>10</v>
      </c>
      <c r="B97" s="2" t="s">
        <v>368</v>
      </c>
      <c r="C97" s="2">
        <v>3122</v>
      </c>
      <c r="D97" s="42" t="s">
        <v>147</v>
      </c>
      <c r="E97" s="42" t="s">
        <v>13</v>
      </c>
      <c r="F97" s="2" t="s">
        <v>149</v>
      </c>
      <c r="G97" s="2" t="s">
        <v>267</v>
      </c>
      <c r="H97" s="127">
        <v>45150</v>
      </c>
      <c r="I97" s="319"/>
    </row>
    <row r="98" spans="1:9">
      <c r="A98" s="7" t="s">
        <v>10</v>
      </c>
      <c r="B98" s="2" t="s">
        <v>369</v>
      </c>
      <c r="C98" s="2">
        <v>3123</v>
      </c>
      <c r="D98" s="42" t="s">
        <v>147</v>
      </c>
      <c r="E98" s="42" t="s">
        <v>13</v>
      </c>
      <c r="F98" s="2" t="s">
        <v>149</v>
      </c>
      <c r="G98" s="2" t="s">
        <v>267</v>
      </c>
      <c r="H98" s="127">
        <v>45150</v>
      </c>
      <c r="I98" s="319"/>
    </row>
    <row r="99" spans="1:9">
      <c r="A99" s="7" t="s">
        <v>10</v>
      </c>
      <c r="B99" s="2" t="s">
        <v>370</v>
      </c>
      <c r="C99" s="2">
        <v>3124</v>
      </c>
      <c r="D99" s="42" t="s">
        <v>147</v>
      </c>
      <c r="E99" s="42" t="s">
        <v>13</v>
      </c>
      <c r="F99" s="2" t="s">
        <v>149</v>
      </c>
      <c r="G99" s="2" t="s">
        <v>267</v>
      </c>
      <c r="H99" s="127">
        <v>45150</v>
      </c>
      <c r="I99" s="319"/>
    </row>
    <row r="100" spans="1:9">
      <c r="A100" s="7" t="s">
        <v>10</v>
      </c>
      <c r="B100" s="2" t="s">
        <v>371</v>
      </c>
      <c r="C100" s="2">
        <v>3125</v>
      </c>
      <c r="D100" s="42" t="s">
        <v>147</v>
      </c>
      <c r="E100" s="42" t="s">
        <v>13</v>
      </c>
      <c r="F100" s="2" t="s">
        <v>149</v>
      </c>
      <c r="G100" s="2" t="s">
        <v>267</v>
      </c>
      <c r="H100" s="127">
        <v>45150</v>
      </c>
      <c r="I100" s="319"/>
    </row>
    <row r="101" spans="1:9">
      <c r="A101" s="7" t="s">
        <v>10</v>
      </c>
      <c r="B101" s="2" t="s">
        <v>372</v>
      </c>
      <c r="C101" s="2">
        <v>3126</v>
      </c>
      <c r="D101" s="42" t="s">
        <v>147</v>
      </c>
      <c r="E101" s="42" t="s">
        <v>13</v>
      </c>
      <c r="F101" s="2" t="s">
        <v>149</v>
      </c>
      <c r="G101" s="2" t="s">
        <v>267</v>
      </c>
      <c r="H101" s="127">
        <v>45150</v>
      </c>
      <c r="I101" s="319"/>
    </row>
    <row r="102" spans="1:9">
      <c r="A102" s="7" t="s">
        <v>10</v>
      </c>
      <c r="B102" s="2" t="s">
        <v>373</v>
      </c>
      <c r="C102" s="2">
        <v>2097</v>
      </c>
      <c r="D102" s="42" t="s">
        <v>34</v>
      </c>
      <c r="E102" s="42" t="s">
        <v>13</v>
      </c>
      <c r="F102" s="2" t="s">
        <v>145</v>
      </c>
      <c r="G102" s="2" t="s">
        <v>267</v>
      </c>
      <c r="H102" s="8">
        <v>44933</v>
      </c>
      <c r="I102" s="37"/>
    </row>
    <row r="103" spans="1:9">
      <c r="A103" s="7" t="s">
        <v>10</v>
      </c>
      <c r="B103" s="2" t="s">
        <v>374</v>
      </c>
      <c r="C103" s="2">
        <v>2098</v>
      </c>
      <c r="D103" s="42" t="s">
        <v>34</v>
      </c>
      <c r="E103" s="42" t="s">
        <v>13</v>
      </c>
      <c r="F103" s="2" t="s">
        <v>145</v>
      </c>
      <c r="G103" s="2" t="s">
        <v>267</v>
      </c>
      <c r="H103" s="8">
        <v>44933</v>
      </c>
      <c r="I103" s="37"/>
    </row>
    <row r="104" spans="1:9">
      <c r="A104" s="7" t="s">
        <v>10</v>
      </c>
      <c r="B104" s="2" t="s">
        <v>375</v>
      </c>
      <c r="C104" s="2">
        <v>2099</v>
      </c>
      <c r="D104" s="42" t="s">
        <v>34</v>
      </c>
      <c r="E104" s="42" t="s">
        <v>13</v>
      </c>
      <c r="F104" s="2" t="s">
        <v>145</v>
      </c>
      <c r="G104" s="2" t="s">
        <v>267</v>
      </c>
      <c r="H104" s="8">
        <v>44933</v>
      </c>
      <c r="I104" s="37"/>
    </row>
    <row r="105" spans="1:9">
      <c r="A105" s="7" t="s">
        <v>10</v>
      </c>
      <c r="B105" s="2" t="s">
        <v>376</v>
      </c>
      <c r="C105" s="2">
        <v>2100</v>
      </c>
      <c r="D105" s="42" t="s">
        <v>34</v>
      </c>
      <c r="E105" s="42" t="s">
        <v>13</v>
      </c>
      <c r="F105" s="2" t="s">
        <v>145</v>
      </c>
      <c r="G105" s="2" t="s">
        <v>267</v>
      </c>
      <c r="H105" s="8">
        <v>44933</v>
      </c>
      <c r="I105" s="37"/>
    </row>
    <row r="106" spans="1:9">
      <c r="A106" s="7" t="s">
        <v>10</v>
      </c>
      <c r="B106" s="2" t="s">
        <v>377</v>
      </c>
      <c r="C106" s="2">
        <v>2101</v>
      </c>
      <c r="D106" s="42" t="s">
        <v>34</v>
      </c>
      <c r="E106" s="42" t="s">
        <v>13</v>
      </c>
      <c r="F106" s="2" t="s">
        <v>145</v>
      </c>
      <c r="G106" s="2" t="s">
        <v>267</v>
      </c>
      <c r="H106" s="8">
        <v>44933</v>
      </c>
      <c r="I106" s="37"/>
    </row>
    <row r="107" spans="1:9">
      <c r="A107" s="7" t="s">
        <v>10</v>
      </c>
      <c r="B107" s="2" t="s">
        <v>378</v>
      </c>
      <c r="C107" s="2">
        <v>2102</v>
      </c>
      <c r="D107" s="42" t="s">
        <v>34</v>
      </c>
      <c r="E107" s="42" t="s">
        <v>13</v>
      </c>
      <c r="F107" s="2" t="s">
        <v>145</v>
      </c>
      <c r="G107" s="2" t="s">
        <v>267</v>
      </c>
      <c r="H107" s="8">
        <v>44933</v>
      </c>
      <c r="I107" s="37"/>
    </row>
    <row r="108" spans="1:9">
      <c r="A108" s="7" t="s">
        <v>10</v>
      </c>
      <c r="B108" s="2" t="s">
        <v>379</v>
      </c>
      <c r="C108" s="2">
        <v>2103</v>
      </c>
      <c r="D108" s="42" t="s">
        <v>34</v>
      </c>
      <c r="E108" s="42" t="s">
        <v>25</v>
      </c>
      <c r="F108" s="2" t="s">
        <v>145</v>
      </c>
      <c r="G108" s="2" t="s">
        <v>267</v>
      </c>
      <c r="H108" s="8">
        <v>44933</v>
      </c>
      <c r="I108" s="37"/>
    </row>
    <row r="109" spans="1:9">
      <c r="A109" s="7" t="s">
        <v>10</v>
      </c>
      <c r="B109" s="2" t="s">
        <v>380</v>
      </c>
      <c r="C109" s="2">
        <v>2104</v>
      </c>
      <c r="D109" s="42" t="s">
        <v>34</v>
      </c>
      <c r="E109" s="42" t="s">
        <v>13</v>
      </c>
      <c r="F109" s="2" t="s">
        <v>145</v>
      </c>
      <c r="G109" s="2" t="s">
        <v>267</v>
      </c>
      <c r="H109" s="8">
        <v>44933</v>
      </c>
      <c r="I109" s="37"/>
    </row>
    <row r="110" spans="1:9">
      <c r="A110" s="7" t="s">
        <v>10</v>
      </c>
      <c r="B110" s="2" t="s">
        <v>381</v>
      </c>
      <c r="C110" s="2">
        <v>2105</v>
      </c>
      <c r="D110" s="42" t="s">
        <v>34</v>
      </c>
      <c r="E110" s="42" t="s">
        <v>13</v>
      </c>
      <c r="F110" s="2" t="s">
        <v>145</v>
      </c>
      <c r="G110" s="2" t="s">
        <v>267</v>
      </c>
      <c r="H110" s="8">
        <v>44933</v>
      </c>
      <c r="I110" s="37"/>
    </row>
    <row r="111" spans="1:9">
      <c r="A111" s="7" t="s">
        <v>10</v>
      </c>
      <c r="B111" s="2" t="s">
        <v>382</v>
      </c>
      <c r="C111" s="2">
        <v>2106</v>
      </c>
      <c r="D111" s="42" t="s">
        <v>34</v>
      </c>
      <c r="E111" s="42" t="s">
        <v>13</v>
      </c>
      <c r="F111" s="2" t="s">
        <v>145</v>
      </c>
      <c r="G111" s="2" t="s">
        <v>267</v>
      </c>
      <c r="H111" s="8">
        <v>44933</v>
      </c>
      <c r="I111" s="37"/>
    </row>
    <row r="112" spans="1:9">
      <c r="A112" s="7" t="s">
        <v>10</v>
      </c>
      <c r="B112" s="2" t="s">
        <v>383</v>
      </c>
      <c r="C112" s="2">
        <v>2107</v>
      </c>
      <c r="D112" s="42" t="s">
        <v>34</v>
      </c>
      <c r="E112" s="42" t="s">
        <v>13</v>
      </c>
      <c r="F112" s="2" t="s">
        <v>145</v>
      </c>
      <c r="G112" s="2" t="s">
        <v>267</v>
      </c>
      <c r="H112" s="8">
        <v>44933</v>
      </c>
      <c r="I112" s="37"/>
    </row>
    <row r="113" spans="1:9">
      <c r="A113" s="7" t="s">
        <v>10</v>
      </c>
      <c r="B113" s="2" t="s">
        <v>384</v>
      </c>
      <c r="C113" s="2">
        <v>2108</v>
      </c>
      <c r="D113" s="42" t="s">
        <v>34</v>
      </c>
      <c r="E113" s="42" t="s">
        <v>13</v>
      </c>
      <c r="F113" s="2" t="s">
        <v>145</v>
      </c>
      <c r="G113" s="2" t="s">
        <v>267</v>
      </c>
      <c r="H113" s="8">
        <v>44933</v>
      </c>
      <c r="I113" s="37"/>
    </row>
    <row r="114" spans="1:9">
      <c r="A114" s="7" t="s">
        <v>10</v>
      </c>
      <c r="B114" s="2" t="s">
        <v>385</v>
      </c>
      <c r="C114" s="2">
        <v>2109</v>
      </c>
      <c r="D114" s="42" t="s">
        <v>34</v>
      </c>
      <c r="E114" s="42" t="s">
        <v>13</v>
      </c>
      <c r="F114" s="2" t="s">
        <v>145</v>
      </c>
      <c r="G114" s="2" t="s">
        <v>267</v>
      </c>
      <c r="H114" s="8">
        <v>44933</v>
      </c>
      <c r="I114" s="37"/>
    </row>
    <row r="115" spans="1:9">
      <c r="A115" s="12" t="s">
        <v>10</v>
      </c>
      <c r="B115" s="13" t="s">
        <v>386</v>
      </c>
      <c r="C115" s="13">
        <v>2110</v>
      </c>
      <c r="D115" s="43" t="s">
        <v>34</v>
      </c>
      <c r="E115" s="43" t="s">
        <v>13</v>
      </c>
      <c r="F115" s="13" t="s">
        <v>145</v>
      </c>
      <c r="G115" s="2" t="s">
        <v>267</v>
      </c>
      <c r="H115" s="14">
        <v>44933</v>
      </c>
      <c r="I115" s="37"/>
    </row>
    <row r="116" spans="1:9">
      <c r="A116" s="12" t="s">
        <v>10</v>
      </c>
      <c r="B116" s="13" t="s">
        <v>387</v>
      </c>
      <c r="C116" s="13">
        <v>2113</v>
      </c>
      <c r="D116" s="43" t="s">
        <v>34</v>
      </c>
      <c r="E116" s="43" t="s">
        <v>25</v>
      </c>
      <c r="F116" s="13" t="s">
        <v>145</v>
      </c>
      <c r="G116" s="2" t="s">
        <v>267</v>
      </c>
      <c r="H116" s="14">
        <v>44933</v>
      </c>
      <c r="I116" s="37"/>
    </row>
    <row r="117" spans="1:9">
      <c r="A117" s="7" t="s">
        <v>10</v>
      </c>
      <c r="B117" s="2" t="s">
        <v>388</v>
      </c>
      <c r="C117" s="2">
        <v>2080</v>
      </c>
      <c r="D117" s="42" t="s">
        <v>34</v>
      </c>
      <c r="E117" s="42" t="s">
        <v>13</v>
      </c>
      <c r="F117" s="2" t="s">
        <v>145</v>
      </c>
      <c r="G117" s="2" t="s">
        <v>267</v>
      </c>
      <c r="H117" s="8">
        <v>44933</v>
      </c>
      <c r="I117" s="37"/>
    </row>
    <row r="118" spans="1:9">
      <c r="A118" s="7" t="s">
        <v>10</v>
      </c>
      <c r="B118" s="2" t="s">
        <v>389</v>
      </c>
      <c r="C118" s="2">
        <v>2081</v>
      </c>
      <c r="D118" s="42" t="s">
        <v>34</v>
      </c>
      <c r="E118" s="42" t="s">
        <v>13</v>
      </c>
      <c r="F118" s="2" t="s">
        <v>145</v>
      </c>
      <c r="G118" s="2" t="s">
        <v>267</v>
      </c>
      <c r="H118" s="8">
        <v>44933</v>
      </c>
      <c r="I118" s="37"/>
    </row>
    <row r="119" spans="1:9">
      <c r="A119" s="7" t="s">
        <v>10</v>
      </c>
      <c r="B119" s="2" t="s">
        <v>390</v>
      </c>
      <c r="C119" s="2">
        <v>2082</v>
      </c>
      <c r="D119" s="42" t="s">
        <v>34</v>
      </c>
      <c r="E119" s="42" t="s">
        <v>13</v>
      </c>
      <c r="F119" s="2" t="s">
        <v>145</v>
      </c>
      <c r="G119" s="2" t="s">
        <v>267</v>
      </c>
      <c r="H119" s="8">
        <v>44933</v>
      </c>
      <c r="I119" s="37"/>
    </row>
    <row r="120" spans="1:9">
      <c r="A120" s="12" t="s">
        <v>10</v>
      </c>
      <c r="B120" s="13" t="s">
        <v>391</v>
      </c>
      <c r="C120" s="13">
        <v>2083</v>
      </c>
      <c r="D120" s="43" t="s">
        <v>34</v>
      </c>
      <c r="E120" s="43" t="s">
        <v>13</v>
      </c>
      <c r="F120" s="13" t="s">
        <v>145</v>
      </c>
      <c r="G120" s="2" t="s">
        <v>267</v>
      </c>
      <c r="H120" s="14">
        <v>44933</v>
      </c>
      <c r="I120" s="37"/>
    </row>
    <row r="121" spans="1:9">
      <c r="A121" s="7" t="s">
        <v>10</v>
      </c>
      <c r="B121" s="2" t="s">
        <v>392</v>
      </c>
      <c r="C121" s="2">
        <v>2086</v>
      </c>
      <c r="D121" s="42" t="s">
        <v>34</v>
      </c>
      <c r="E121" s="42" t="s">
        <v>25</v>
      </c>
      <c r="F121" s="2" t="s">
        <v>145</v>
      </c>
      <c r="G121" s="2" t="s">
        <v>267</v>
      </c>
      <c r="H121" s="8">
        <v>44933</v>
      </c>
      <c r="I121" s="37"/>
    </row>
    <row r="122" spans="1:9">
      <c r="A122" s="12" t="s">
        <v>10</v>
      </c>
      <c r="B122" s="13" t="s">
        <v>393</v>
      </c>
      <c r="C122" s="13">
        <v>2087</v>
      </c>
      <c r="D122" s="43" t="s">
        <v>34</v>
      </c>
      <c r="E122" s="43" t="s">
        <v>25</v>
      </c>
      <c r="F122" s="13" t="s">
        <v>145</v>
      </c>
      <c r="G122" s="2" t="s">
        <v>267</v>
      </c>
      <c r="H122" s="14">
        <v>44933</v>
      </c>
      <c r="I122" s="37"/>
    </row>
    <row r="123" spans="1:9">
      <c r="A123" s="7" t="s">
        <v>10</v>
      </c>
      <c r="B123" s="2" t="s">
        <v>394</v>
      </c>
      <c r="C123" s="2">
        <v>3127</v>
      </c>
      <c r="D123" s="42" t="s">
        <v>147</v>
      </c>
      <c r="E123" s="42" t="s">
        <v>25</v>
      </c>
      <c r="F123" s="2" t="s">
        <v>149</v>
      </c>
      <c r="G123" s="2" t="s">
        <v>267</v>
      </c>
      <c r="H123" s="8">
        <v>45700</v>
      </c>
      <c r="I123" s="37"/>
    </row>
    <row r="124" spans="1:9">
      <c r="A124" s="7" t="s">
        <v>10</v>
      </c>
      <c r="B124" s="2" t="s">
        <v>395</v>
      </c>
      <c r="C124" s="2">
        <v>3128</v>
      </c>
      <c r="D124" s="42" t="s">
        <v>147</v>
      </c>
      <c r="E124" s="42" t="s">
        <v>25</v>
      </c>
      <c r="F124" s="2" t="s">
        <v>149</v>
      </c>
      <c r="G124" s="2" t="s">
        <v>267</v>
      </c>
      <c r="H124" s="8">
        <v>45692</v>
      </c>
      <c r="I124" s="37"/>
    </row>
    <row r="125" spans="1:9">
      <c r="A125" s="7" t="s">
        <v>10</v>
      </c>
      <c r="B125" s="2" t="s">
        <v>396</v>
      </c>
      <c r="C125" s="2">
        <v>3129</v>
      </c>
      <c r="D125" s="42" t="s">
        <v>147</v>
      </c>
      <c r="E125" s="42" t="s">
        <v>25</v>
      </c>
      <c r="F125" s="2" t="s">
        <v>149</v>
      </c>
      <c r="G125" s="2" t="s">
        <v>267</v>
      </c>
      <c r="H125" s="8">
        <v>45700</v>
      </c>
      <c r="I125" s="37"/>
    </row>
    <row r="126" spans="1:9">
      <c r="A126" s="7" t="s">
        <v>10</v>
      </c>
      <c r="B126" s="2" t="s">
        <v>397</v>
      </c>
      <c r="C126" s="2">
        <v>3130</v>
      </c>
      <c r="D126" s="42" t="s">
        <v>147</v>
      </c>
      <c r="E126" s="42" t="s">
        <v>25</v>
      </c>
      <c r="F126" s="2" t="s">
        <v>149</v>
      </c>
      <c r="G126" s="2" t="s">
        <v>267</v>
      </c>
      <c r="H126" s="8">
        <v>45692</v>
      </c>
      <c r="I126" s="37"/>
    </row>
    <row r="127" spans="1:9">
      <c r="A127" s="7" t="s">
        <v>10</v>
      </c>
      <c r="B127" s="2" t="s">
        <v>398</v>
      </c>
      <c r="C127" s="2">
        <v>3131</v>
      </c>
      <c r="D127" s="42" t="s">
        <v>147</v>
      </c>
      <c r="E127" s="42" t="s">
        <v>25</v>
      </c>
      <c r="F127" s="2" t="s">
        <v>149</v>
      </c>
      <c r="G127" s="2" t="s">
        <v>267</v>
      </c>
      <c r="H127" s="8">
        <v>45693</v>
      </c>
      <c r="I127" s="37"/>
    </row>
    <row r="128" spans="1:9">
      <c r="A128" s="12" t="s">
        <v>10</v>
      </c>
      <c r="B128" s="13" t="s">
        <v>399</v>
      </c>
      <c r="C128" s="13">
        <v>3132</v>
      </c>
      <c r="D128" s="42" t="s">
        <v>147</v>
      </c>
      <c r="E128" s="43" t="s">
        <v>25</v>
      </c>
      <c r="F128" s="13" t="s">
        <v>149</v>
      </c>
      <c r="G128" s="2" t="s">
        <v>267</v>
      </c>
      <c r="H128" s="14">
        <v>45692</v>
      </c>
      <c r="I128" s="37"/>
    </row>
    <row r="129" spans="1:9">
      <c r="A129" s="12" t="s">
        <v>10</v>
      </c>
      <c r="B129" s="13" t="s">
        <v>400</v>
      </c>
      <c r="C129" s="13">
        <v>2112</v>
      </c>
      <c r="D129" s="42" t="s">
        <v>34</v>
      </c>
      <c r="E129" s="43" t="s">
        <v>13</v>
      </c>
      <c r="F129" s="13" t="s">
        <v>145</v>
      </c>
      <c r="G129" s="2" t="s">
        <v>267</v>
      </c>
      <c r="H129" s="14">
        <v>44933</v>
      </c>
      <c r="I129" s="37"/>
    </row>
    <row r="130" spans="1:9">
      <c r="A130" s="12" t="s">
        <v>10</v>
      </c>
      <c r="B130" s="13" t="s">
        <v>401</v>
      </c>
      <c r="C130" s="13">
        <v>2114</v>
      </c>
      <c r="D130" s="43" t="s">
        <v>285</v>
      </c>
      <c r="E130" s="43" t="s">
        <v>25</v>
      </c>
      <c r="F130" s="13" t="s">
        <v>36</v>
      </c>
      <c r="G130" s="2" t="s">
        <v>267</v>
      </c>
      <c r="H130" s="14">
        <v>45735</v>
      </c>
      <c r="I130" s="37"/>
    </row>
    <row r="131" spans="1:9">
      <c r="A131" s="12" t="s">
        <v>10</v>
      </c>
      <c r="B131" s="13" t="s">
        <v>402</v>
      </c>
      <c r="C131" s="13">
        <v>2115</v>
      </c>
      <c r="D131" s="43" t="s">
        <v>285</v>
      </c>
      <c r="E131" s="43" t="s">
        <v>13</v>
      </c>
      <c r="F131" s="13" t="s">
        <v>36</v>
      </c>
      <c r="G131" s="2" t="s">
        <v>267</v>
      </c>
      <c r="H131" s="14">
        <v>45730</v>
      </c>
      <c r="I131" s="37"/>
    </row>
    <row r="132" spans="1:9">
      <c r="A132" s="12" t="s">
        <v>10</v>
      </c>
      <c r="B132" s="13" t="s">
        <v>403</v>
      </c>
      <c r="C132" s="13">
        <v>2116</v>
      </c>
      <c r="D132" s="43" t="s">
        <v>285</v>
      </c>
      <c r="E132" s="43" t="s">
        <v>13</v>
      </c>
      <c r="F132" s="13" t="s">
        <v>36</v>
      </c>
      <c r="G132" s="2" t="s">
        <v>267</v>
      </c>
      <c r="H132" s="14">
        <v>45730</v>
      </c>
      <c r="I132" s="37"/>
    </row>
    <row r="133" spans="1:9">
      <c r="A133" s="7" t="s">
        <v>10</v>
      </c>
      <c r="B133" s="2" t="s">
        <v>404</v>
      </c>
      <c r="C133" s="2">
        <v>2026</v>
      </c>
      <c r="D133" s="42" t="s">
        <v>285</v>
      </c>
      <c r="E133" s="42" t="s">
        <v>405</v>
      </c>
      <c r="F133" s="2" t="s">
        <v>145</v>
      </c>
      <c r="G133" s="2" t="s">
        <v>267</v>
      </c>
      <c r="H133" s="14">
        <v>45024</v>
      </c>
    </row>
    <row r="134" spans="1:9">
      <c r="A134" s="322" t="s">
        <v>10</v>
      </c>
      <c r="B134" s="112" t="s">
        <v>406</v>
      </c>
      <c r="C134" s="112">
        <v>2027</v>
      </c>
      <c r="D134" s="323" t="s">
        <v>285</v>
      </c>
      <c r="E134" s="323" t="s">
        <v>405</v>
      </c>
      <c r="F134" s="112" t="s">
        <v>145</v>
      </c>
      <c r="G134" s="112" t="s">
        <v>267</v>
      </c>
      <c r="H134" s="324">
        <v>45024</v>
      </c>
    </row>
    <row r="135" spans="1:9">
      <c r="A135" s="7" t="s">
        <v>10</v>
      </c>
      <c r="B135" s="2" t="s">
        <v>407</v>
      </c>
      <c r="C135" s="2">
        <v>2028</v>
      </c>
      <c r="D135" s="42" t="s">
        <v>285</v>
      </c>
      <c r="E135" s="42" t="s">
        <v>405</v>
      </c>
      <c r="F135" s="2" t="s">
        <v>145</v>
      </c>
      <c r="G135" s="2" t="s">
        <v>267</v>
      </c>
      <c r="H135" s="14">
        <v>45024</v>
      </c>
    </row>
    <row r="136" spans="1:9">
      <c r="A136" s="7" t="s">
        <v>10</v>
      </c>
      <c r="B136" s="2" t="s">
        <v>408</v>
      </c>
      <c r="C136" s="2">
        <v>2029</v>
      </c>
      <c r="D136" s="42" t="s">
        <v>285</v>
      </c>
      <c r="E136" s="42" t="s">
        <v>405</v>
      </c>
      <c r="F136" s="2" t="s">
        <v>145</v>
      </c>
      <c r="G136" s="2" t="s">
        <v>267</v>
      </c>
      <c r="H136" s="14">
        <v>45024</v>
      </c>
    </row>
    <row r="137" spans="1:9">
      <c r="A137" s="7" t="s">
        <v>10</v>
      </c>
      <c r="B137" s="2" t="s">
        <v>409</v>
      </c>
      <c r="C137" s="2">
        <v>2030</v>
      </c>
      <c r="D137" s="42" t="s">
        <v>285</v>
      </c>
      <c r="E137" s="42" t="s">
        <v>405</v>
      </c>
      <c r="F137" s="2" t="s">
        <v>145</v>
      </c>
      <c r="G137" s="2" t="s">
        <v>267</v>
      </c>
      <c r="H137" s="14">
        <v>45024</v>
      </c>
    </row>
    <row r="138" spans="1:9">
      <c r="A138" s="7" t="s">
        <v>10</v>
      </c>
      <c r="B138" s="2" t="s">
        <v>410</v>
      </c>
      <c r="C138" s="2">
        <v>2031</v>
      </c>
      <c r="D138" s="42" t="s">
        <v>285</v>
      </c>
      <c r="E138" s="42" t="s">
        <v>405</v>
      </c>
      <c r="F138" s="2" t="s">
        <v>145</v>
      </c>
      <c r="G138" s="2" t="s">
        <v>267</v>
      </c>
      <c r="H138" s="14">
        <v>45024</v>
      </c>
    </row>
    <row r="139" spans="1:9">
      <c r="A139" s="7" t="s">
        <v>10</v>
      </c>
      <c r="B139" s="2" t="s">
        <v>411</v>
      </c>
      <c r="C139" s="2">
        <v>2032</v>
      </c>
      <c r="D139" s="42" t="s">
        <v>285</v>
      </c>
      <c r="E139" s="42" t="s">
        <v>405</v>
      </c>
      <c r="F139" s="2" t="s">
        <v>145</v>
      </c>
      <c r="G139" s="2" t="s">
        <v>267</v>
      </c>
      <c r="H139" s="14">
        <v>45024</v>
      </c>
    </row>
    <row r="140" spans="1:9">
      <c r="A140" s="7" t="s">
        <v>10</v>
      </c>
      <c r="B140" s="2" t="s">
        <v>412</v>
      </c>
      <c r="C140" s="2">
        <v>2033</v>
      </c>
      <c r="D140" s="42" t="s">
        <v>285</v>
      </c>
      <c r="E140" s="42" t="s">
        <v>405</v>
      </c>
      <c r="F140" s="2" t="s">
        <v>145</v>
      </c>
      <c r="G140" s="2" t="s">
        <v>267</v>
      </c>
      <c r="H140" s="14">
        <v>45024</v>
      </c>
    </row>
    <row r="141" spans="1:9">
      <c r="A141" s="7" t="s">
        <v>10</v>
      </c>
      <c r="B141" s="2" t="s">
        <v>413</v>
      </c>
      <c r="C141" s="2">
        <v>2034</v>
      </c>
      <c r="D141" s="42" t="s">
        <v>285</v>
      </c>
      <c r="E141" s="42" t="s">
        <v>405</v>
      </c>
      <c r="F141" s="2" t="s">
        <v>145</v>
      </c>
      <c r="G141" s="2" t="s">
        <v>267</v>
      </c>
      <c r="H141" s="14">
        <v>45024</v>
      </c>
    </row>
    <row r="142" spans="1:9">
      <c r="A142" s="7" t="s">
        <v>10</v>
      </c>
      <c r="B142" s="2" t="s">
        <v>414</v>
      </c>
      <c r="C142" s="2">
        <v>2035</v>
      </c>
      <c r="D142" s="42" t="s">
        <v>285</v>
      </c>
      <c r="E142" s="42" t="s">
        <v>405</v>
      </c>
      <c r="F142" s="2" t="s">
        <v>145</v>
      </c>
      <c r="G142" s="2" t="s">
        <v>267</v>
      </c>
      <c r="H142" s="14">
        <v>45024</v>
      </c>
    </row>
    <row r="143" spans="1:9">
      <c r="A143" s="7" t="s">
        <v>10</v>
      </c>
      <c r="B143" s="2" t="s">
        <v>415</v>
      </c>
      <c r="C143" s="2">
        <v>2036</v>
      </c>
      <c r="D143" s="42" t="s">
        <v>285</v>
      </c>
      <c r="E143" s="42" t="s">
        <v>405</v>
      </c>
      <c r="F143" s="2" t="s">
        <v>145</v>
      </c>
      <c r="G143" s="2" t="s">
        <v>267</v>
      </c>
      <c r="H143" s="14">
        <v>45024</v>
      </c>
    </row>
    <row r="144" spans="1:9">
      <c r="A144" s="7" t="s">
        <v>10</v>
      </c>
      <c r="B144" s="2" t="s">
        <v>416</v>
      </c>
      <c r="C144" s="2">
        <v>2037</v>
      </c>
      <c r="D144" s="42" t="s">
        <v>285</v>
      </c>
      <c r="E144" s="42" t="s">
        <v>405</v>
      </c>
      <c r="F144" s="2" t="s">
        <v>145</v>
      </c>
      <c r="G144" s="2" t="s">
        <v>267</v>
      </c>
      <c r="H144" s="14">
        <v>45024</v>
      </c>
    </row>
    <row r="145" spans="1:8">
      <c r="A145" s="7" t="s">
        <v>10</v>
      </c>
      <c r="B145" s="2" t="s">
        <v>417</v>
      </c>
      <c r="C145" s="2">
        <v>2038</v>
      </c>
      <c r="D145" s="42" t="s">
        <v>285</v>
      </c>
      <c r="E145" s="42" t="s">
        <v>405</v>
      </c>
      <c r="F145" s="2" t="s">
        <v>145</v>
      </c>
      <c r="G145" s="2" t="s">
        <v>267</v>
      </c>
      <c r="H145" s="14">
        <v>45024</v>
      </c>
    </row>
    <row r="146" spans="1:8">
      <c r="A146" s="7" t="s">
        <v>10</v>
      </c>
      <c r="B146" s="2" t="s">
        <v>418</v>
      </c>
      <c r="C146" s="2">
        <v>2039</v>
      </c>
      <c r="D146" s="42" t="s">
        <v>285</v>
      </c>
      <c r="E146" s="42" t="s">
        <v>405</v>
      </c>
      <c r="F146" s="2" t="s">
        <v>145</v>
      </c>
      <c r="G146" s="2" t="s">
        <v>267</v>
      </c>
      <c r="H146" s="14">
        <v>45024</v>
      </c>
    </row>
    <row r="147" spans="1:8">
      <c r="A147" s="7" t="s">
        <v>10</v>
      </c>
      <c r="B147" s="2" t="s">
        <v>419</v>
      </c>
      <c r="C147" s="2">
        <v>2040</v>
      </c>
      <c r="D147" s="42" t="s">
        <v>285</v>
      </c>
      <c r="E147" s="42" t="s">
        <v>405</v>
      </c>
      <c r="F147" s="2" t="s">
        <v>145</v>
      </c>
      <c r="G147" s="2" t="s">
        <v>267</v>
      </c>
      <c r="H147" s="14">
        <v>45024</v>
      </c>
    </row>
    <row r="148" spans="1:8">
      <c r="A148" s="12" t="s">
        <v>10</v>
      </c>
      <c r="B148" s="13" t="s">
        <v>420</v>
      </c>
      <c r="C148" s="13">
        <v>2041</v>
      </c>
      <c r="D148" s="43" t="s">
        <v>285</v>
      </c>
      <c r="E148" s="43" t="s">
        <v>405</v>
      </c>
      <c r="F148" s="13" t="s">
        <v>145</v>
      </c>
      <c r="G148" s="13" t="s">
        <v>267</v>
      </c>
      <c r="H148" s="14">
        <v>45024</v>
      </c>
    </row>
  </sheetData>
  <phoneticPr fontId="6" type="noConversion"/>
  <pageMargins left="0.7" right="0.7" top="0.75" bottom="0.75" header="0.3" footer="0.3"/>
  <pageSetup orientation="landscape" horizontalDpi="300" verticalDpi="300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1963-3B27-4BDE-A1E9-8B44ECE56637}">
  <sheetPr codeName="Hoja5"/>
  <dimension ref="A1:K64"/>
  <sheetViews>
    <sheetView zoomScale="80" zoomScaleNormal="80" workbookViewId="0">
      <selection activeCell="C16" sqref="C16"/>
    </sheetView>
  </sheetViews>
  <sheetFormatPr baseColWidth="10" defaultColWidth="11.42578125" defaultRowHeight="15"/>
  <cols>
    <col min="1" max="1" width="14" bestFit="1" customWidth="1"/>
    <col min="2" max="2" width="11.28515625" bestFit="1" customWidth="1"/>
    <col min="3" max="3" width="13.5703125" bestFit="1" customWidth="1"/>
    <col min="4" max="4" width="13.7109375" bestFit="1" customWidth="1"/>
    <col min="5" max="5" width="15.7109375" bestFit="1" customWidth="1"/>
    <col min="6" max="6" width="19" bestFit="1" customWidth="1"/>
    <col min="7" max="7" width="23.28515625" bestFit="1" customWidth="1"/>
    <col min="8" max="8" width="20" bestFit="1" customWidth="1"/>
    <col min="9" max="9" width="12.28515625" customWidth="1"/>
    <col min="10" max="10" width="19.85546875" bestFit="1" customWidth="1"/>
    <col min="11" max="11" width="10.85546875" bestFit="1" customWidth="1"/>
    <col min="12" max="12" width="15.85546875" bestFit="1" customWidth="1"/>
    <col min="13" max="13" width="16.140625" bestFit="1" customWidth="1"/>
  </cols>
  <sheetData>
    <row r="1" spans="1:11">
      <c r="A1" s="9" t="s">
        <v>0</v>
      </c>
      <c r="B1" s="10" t="s">
        <v>87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J1" s="1" t="s">
        <v>8</v>
      </c>
      <c r="K1" s="1" t="s">
        <v>9</v>
      </c>
    </row>
    <row r="2" spans="1:11">
      <c r="A2" s="7" t="s">
        <v>421</v>
      </c>
      <c r="B2" s="2" t="s">
        <v>422</v>
      </c>
      <c r="C2" s="2">
        <v>5001</v>
      </c>
      <c r="D2" s="2" t="s">
        <v>12</v>
      </c>
      <c r="E2" s="42" t="s">
        <v>13</v>
      </c>
      <c r="F2" s="2" t="s">
        <v>14</v>
      </c>
      <c r="G2" s="2" t="s">
        <v>423</v>
      </c>
      <c r="H2" s="8">
        <v>44982</v>
      </c>
      <c r="J2" s="5" t="s">
        <v>19</v>
      </c>
      <c r="K2" s="119" t="s">
        <v>424</v>
      </c>
    </row>
    <row r="3" spans="1:11">
      <c r="A3" s="7" t="s">
        <v>421</v>
      </c>
      <c r="B3" s="2" t="s">
        <v>425</v>
      </c>
      <c r="C3" s="2">
        <v>5002</v>
      </c>
      <c r="D3" s="42" t="s">
        <v>12</v>
      </c>
      <c r="E3" s="42" t="s">
        <v>13</v>
      </c>
      <c r="F3" s="2" t="s">
        <v>14</v>
      </c>
      <c r="G3" s="2" t="s">
        <v>423</v>
      </c>
      <c r="H3" s="8">
        <v>44982</v>
      </c>
    </row>
    <row r="4" spans="1:11">
      <c r="A4" s="7" t="s">
        <v>421</v>
      </c>
      <c r="B4" s="2" t="s">
        <v>426</v>
      </c>
      <c r="C4" s="2">
        <v>5003</v>
      </c>
      <c r="D4" s="42" t="s">
        <v>12</v>
      </c>
      <c r="E4" s="42" t="s">
        <v>13</v>
      </c>
      <c r="F4" s="2" t="s">
        <v>14</v>
      </c>
      <c r="G4" s="2" t="s">
        <v>423</v>
      </c>
      <c r="H4" s="8">
        <v>44982</v>
      </c>
      <c r="J4" s="47" t="s">
        <v>96</v>
      </c>
      <c r="K4" t="s">
        <v>97</v>
      </c>
    </row>
    <row r="5" spans="1:11">
      <c r="A5" s="7" t="s">
        <v>421</v>
      </c>
      <c r="B5" s="2" t="s">
        <v>427</v>
      </c>
      <c r="C5" s="2">
        <v>5004</v>
      </c>
      <c r="D5" s="42" t="s">
        <v>12</v>
      </c>
      <c r="E5" s="42" t="s">
        <v>13</v>
      </c>
      <c r="F5" s="2" t="s">
        <v>14</v>
      </c>
      <c r="G5" s="2" t="s">
        <v>423</v>
      </c>
      <c r="H5" s="8">
        <v>44982</v>
      </c>
      <c r="J5" s="48" t="s">
        <v>12</v>
      </c>
      <c r="K5">
        <v>6</v>
      </c>
    </row>
    <row r="6" spans="1:11">
      <c r="A6" s="7" t="s">
        <v>421</v>
      </c>
      <c r="B6" s="2" t="s">
        <v>428</v>
      </c>
      <c r="C6" s="2">
        <v>5005</v>
      </c>
      <c r="D6" s="42" t="s">
        <v>12</v>
      </c>
      <c r="E6" s="42" t="s">
        <v>13</v>
      </c>
      <c r="F6" s="2" t="s">
        <v>14</v>
      </c>
      <c r="G6" s="2" t="s">
        <v>423</v>
      </c>
      <c r="H6" s="8">
        <v>44982</v>
      </c>
      <c r="J6" s="49" t="s">
        <v>14</v>
      </c>
      <c r="K6">
        <v>6</v>
      </c>
    </row>
    <row r="7" spans="1:11">
      <c r="A7" s="7" t="s">
        <v>421</v>
      </c>
      <c r="B7" s="16" t="s">
        <v>429</v>
      </c>
      <c r="C7" s="2">
        <v>5023</v>
      </c>
      <c r="D7" s="42" t="s">
        <v>12</v>
      </c>
      <c r="E7" s="42" t="s">
        <v>13</v>
      </c>
      <c r="F7" s="16" t="s">
        <v>14</v>
      </c>
      <c r="G7" s="2" t="s">
        <v>423</v>
      </c>
      <c r="H7" s="8">
        <v>45537</v>
      </c>
      <c r="J7" s="48" t="s">
        <v>34</v>
      </c>
      <c r="K7">
        <v>33</v>
      </c>
    </row>
    <row r="8" spans="1:11">
      <c r="A8" s="7" t="s">
        <v>421</v>
      </c>
      <c r="B8" s="16" t="s">
        <v>430</v>
      </c>
      <c r="C8" s="2">
        <v>6000</v>
      </c>
      <c r="D8" s="42" t="s">
        <v>285</v>
      </c>
      <c r="E8" s="42" t="s">
        <v>13</v>
      </c>
      <c r="F8" s="16" t="s">
        <v>145</v>
      </c>
      <c r="G8" s="2" t="s">
        <v>423</v>
      </c>
      <c r="H8" s="8">
        <v>45003</v>
      </c>
      <c r="J8" s="49" t="s">
        <v>14</v>
      </c>
      <c r="K8">
        <v>33</v>
      </c>
    </row>
    <row r="9" spans="1:11">
      <c r="A9" s="7" t="s">
        <v>421</v>
      </c>
      <c r="B9" s="16" t="s">
        <v>431</v>
      </c>
      <c r="C9" s="2">
        <v>6001</v>
      </c>
      <c r="D9" s="42" t="s">
        <v>285</v>
      </c>
      <c r="E9" s="42" t="s">
        <v>13</v>
      </c>
      <c r="F9" s="16" t="s">
        <v>145</v>
      </c>
      <c r="G9" s="2" t="s">
        <v>423</v>
      </c>
      <c r="H9" s="8">
        <v>45003</v>
      </c>
      <c r="J9" s="48" t="s">
        <v>285</v>
      </c>
      <c r="K9">
        <v>24</v>
      </c>
    </row>
    <row r="10" spans="1:11">
      <c r="A10" s="7" t="s">
        <v>421</v>
      </c>
      <c r="B10" s="16" t="s">
        <v>432</v>
      </c>
      <c r="C10" s="2">
        <v>6002</v>
      </c>
      <c r="D10" s="42" t="s">
        <v>285</v>
      </c>
      <c r="E10" s="42" t="s">
        <v>13</v>
      </c>
      <c r="F10" s="16" t="s">
        <v>145</v>
      </c>
      <c r="G10" s="2" t="s">
        <v>423</v>
      </c>
      <c r="H10" s="8">
        <v>45003</v>
      </c>
      <c r="J10" s="49" t="s">
        <v>145</v>
      </c>
      <c r="K10">
        <v>24</v>
      </c>
    </row>
    <row r="11" spans="1:11">
      <c r="A11" s="7" t="s">
        <v>421</v>
      </c>
      <c r="B11" s="16" t="s">
        <v>433</v>
      </c>
      <c r="C11" s="2">
        <v>6003</v>
      </c>
      <c r="D11" s="42" t="s">
        <v>285</v>
      </c>
      <c r="E11" s="42" t="s">
        <v>13</v>
      </c>
      <c r="F11" s="16" t="s">
        <v>145</v>
      </c>
      <c r="G11" s="2" t="s">
        <v>423</v>
      </c>
      <c r="H11" s="8">
        <v>45003</v>
      </c>
      <c r="J11" s="48" t="s">
        <v>41</v>
      </c>
      <c r="K11">
        <v>63</v>
      </c>
    </row>
    <row r="12" spans="1:11">
      <c r="A12" s="7" t="s">
        <v>421</v>
      </c>
      <c r="B12" s="16" t="s">
        <v>434</v>
      </c>
      <c r="C12" s="2">
        <v>6004</v>
      </c>
      <c r="D12" s="42" t="s">
        <v>285</v>
      </c>
      <c r="E12" s="42" t="s">
        <v>13</v>
      </c>
      <c r="F12" s="16" t="s">
        <v>145</v>
      </c>
      <c r="G12" s="2" t="s">
        <v>423</v>
      </c>
      <c r="H12" s="8">
        <v>45003</v>
      </c>
    </row>
    <row r="13" spans="1:11">
      <c r="A13" s="7" t="s">
        <v>421</v>
      </c>
      <c r="B13" s="16" t="s">
        <v>435</v>
      </c>
      <c r="C13" s="2">
        <v>6005</v>
      </c>
      <c r="D13" s="42" t="s">
        <v>285</v>
      </c>
      <c r="E13" s="42" t="s">
        <v>13</v>
      </c>
      <c r="F13" s="16" t="s">
        <v>145</v>
      </c>
      <c r="G13" s="2" t="s">
        <v>423</v>
      </c>
      <c r="H13" s="8">
        <v>45003</v>
      </c>
    </row>
    <row r="14" spans="1:11">
      <c r="A14" s="7" t="s">
        <v>421</v>
      </c>
      <c r="B14" s="16" t="s">
        <v>436</v>
      </c>
      <c r="C14" s="2">
        <v>6007</v>
      </c>
      <c r="D14" s="42" t="s">
        <v>285</v>
      </c>
      <c r="E14" s="42" t="s">
        <v>13</v>
      </c>
      <c r="F14" s="16" t="s">
        <v>145</v>
      </c>
      <c r="G14" s="2" t="s">
        <v>423</v>
      </c>
      <c r="H14" s="8">
        <v>45003</v>
      </c>
      <c r="J14" s="294" t="s">
        <v>45</v>
      </c>
    </row>
    <row r="15" spans="1:11">
      <c r="A15" s="7" t="s">
        <v>421</v>
      </c>
      <c r="B15" s="16" t="s">
        <v>437</v>
      </c>
      <c r="C15" s="2">
        <v>6008</v>
      </c>
      <c r="D15" s="42" t="s">
        <v>285</v>
      </c>
      <c r="E15" s="42" t="s">
        <v>13</v>
      </c>
      <c r="F15" s="16" t="s">
        <v>145</v>
      </c>
      <c r="G15" s="2" t="s">
        <v>423</v>
      </c>
      <c r="H15" s="8">
        <v>45003</v>
      </c>
      <c r="J15" s="112" t="s">
        <v>438</v>
      </c>
      <c r="K15" s="129">
        <v>45180</v>
      </c>
    </row>
    <row r="16" spans="1:11">
      <c r="A16" s="7" t="s">
        <v>421</v>
      </c>
      <c r="B16" s="16" t="s">
        <v>441</v>
      </c>
      <c r="C16" s="2">
        <v>6011</v>
      </c>
      <c r="D16" s="42" t="s">
        <v>285</v>
      </c>
      <c r="E16" s="42" t="s">
        <v>25</v>
      </c>
      <c r="F16" s="16" t="s">
        <v>145</v>
      </c>
      <c r="G16" s="2" t="s">
        <v>423</v>
      </c>
      <c r="H16" s="8">
        <v>45003</v>
      </c>
      <c r="J16" s="112" t="s">
        <v>440</v>
      </c>
      <c r="K16" s="129">
        <v>45014</v>
      </c>
    </row>
    <row r="17" spans="1:11">
      <c r="A17" s="7" t="s">
        <v>421</v>
      </c>
      <c r="B17" s="16" t="s">
        <v>443</v>
      </c>
      <c r="C17" s="2">
        <v>6012</v>
      </c>
      <c r="D17" s="42" t="s">
        <v>285</v>
      </c>
      <c r="E17" s="42" t="s">
        <v>13</v>
      </c>
      <c r="F17" s="16" t="s">
        <v>145</v>
      </c>
      <c r="G17" s="2" t="s">
        <v>423</v>
      </c>
      <c r="H17" s="8">
        <v>45003</v>
      </c>
      <c r="J17" s="112" t="s">
        <v>442</v>
      </c>
      <c r="K17" s="129">
        <v>45824</v>
      </c>
    </row>
    <row r="18" spans="1:11">
      <c r="A18" s="7" t="s">
        <v>421</v>
      </c>
      <c r="B18" s="16" t="s">
        <v>445</v>
      </c>
      <c r="C18" s="2">
        <v>6013</v>
      </c>
      <c r="D18" s="42" t="s">
        <v>285</v>
      </c>
      <c r="E18" s="42" t="s">
        <v>13</v>
      </c>
      <c r="F18" s="16" t="s">
        <v>145</v>
      </c>
      <c r="G18" s="2" t="s">
        <v>423</v>
      </c>
      <c r="H18" s="8">
        <v>45003</v>
      </c>
      <c r="J18" s="320" t="s">
        <v>444</v>
      </c>
      <c r="K18" s="129">
        <v>45967</v>
      </c>
    </row>
    <row r="19" spans="1:11">
      <c r="A19" s="7" t="s">
        <v>421</v>
      </c>
      <c r="B19" s="16" t="s">
        <v>446</v>
      </c>
      <c r="C19" s="2">
        <v>6014</v>
      </c>
      <c r="D19" s="42" t="s">
        <v>285</v>
      </c>
      <c r="E19" s="42" t="s">
        <v>13</v>
      </c>
      <c r="F19" s="16" t="s">
        <v>145</v>
      </c>
      <c r="G19" s="2" t="s">
        <v>423</v>
      </c>
      <c r="H19" s="8">
        <v>45003</v>
      </c>
    </row>
    <row r="20" spans="1:11">
      <c r="A20" s="7" t="s">
        <v>421</v>
      </c>
      <c r="B20" s="16" t="s">
        <v>447</v>
      </c>
      <c r="C20" s="2">
        <v>6015</v>
      </c>
      <c r="D20" s="42" t="s">
        <v>285</v>
      </c>
      <c r="E20" s="42" t="s">
        <v>13</v>
      </c>
      <c r="F20" s="16" t="s">
        <v>145</v>
      </c>
      <c r="G20" s="2" t="s">
        <v>423</v>
      </c>
      <c r="H20" s="8">
        <v>45003</v>
      </c>
    </row>
    <row r="21" spans="1:11">
      <c r="A21" s="7" t="s">
        <v>421</v>
      </c>
      <c r="B21" s="2" t="s">
        <v>448</v>
      </c>
      <c r="C21" s="2">
        <v>6093</v>
      </c>
      <c r="D21" s="42" t="s">
        <v>34</v>
      </c>
      <c r="E21" s="42" t="s">
        <v>13</v>
      </c>
      <c r="F21" s="2" t="s">
        <v>14</v>
      </c>
      <c r="G21" s="2" t="s">
        <v>423</v>
      </c>
      <c r="H21" s="8">
        <v>44982</v>
      </c>
    </row>
    <row r="22" spans="1:11">
      <c r="A22" s="7" t="s">
        <v>421</v>
      </c>
      <c r="B22" s="2" t="s">
        <v>449</v>
      </c>
      <c r="C22" s="2">
        <v>6096</v>
      </c>
      <c r="D22" s="42" t="s">
        <v>34</v>
      </c>
      <c r="E22" s="42" t="s">
        <v>25</v>
      </c>
      <c r="F22" s="2" t="s">
        <v>14</v>
      </c>
      <c r="G22" s="2" t="s">
        <v>423</v>
      </c>
      <c r="H22" s="8">
        <v>44982</v>
      </c>
    </row>
    <row r="23" spans="1:11">
      <c r="A23" s="7" t="s">
        <v>421</v>
      </c>
      <c r="B23" s="2" t="s">
        <v>450</v>
      </c>
      <c r="C23" s="2">
        <v>6101</v>
      </c>
      <c r="D23" s="42" t="s">
        <v>34</v>
      </c>
      <c r="E23" s="42" t="s">
        <v>13</v>
      </c>
      <c r="F23" s="2" t="s">
        <v>14</v>
      </c>
      <c r="G23" s="2" t="s">
        <v>423</v>
      </c>
      <c r="H23" s="8">
        <v>44982</v>
      </c>
    </row>
    <row r="24" spans="1:11">
      <c r="A24" s="7" t="s">
        <v>421</v>
      </c>
      <c r="B24" s="2" t="s">
        <v>451</v>
      </c>
      <c r="C24" s="2">
        <v>6104</v>
      </c>
      <c r="D24" s="42" t="s">
        <v>34</v>
      </c>
      <c r="E24" s="42" t="s">
        <v>13</v>
      </c>
      <c r="F24" s="2" t="s">
        <v>14</v>
      </c>
      <c r="G24" s="2" t="s">
        <v>423</v>
      </c>
      <c r="H24" s="8">
        <v>44982</v>
      </c>
    </row>
    <row r="25" spans="1:11">
      <c r="A25" s="7" t="s">
        <v>421</v>
      </c>
      <c r="B25" s="16" t="s">
        <v>452</v>
      </c>
      <c r="C25" s="2">
        <v>6105</v>
      </c>
      <c r="D25" s="42" t="s">
        <v>34</v>
      </c>
      <c r="E25" s="42" t="s">
        <v>13</v>
      </c>
      <c r="F25" s="2" t="s">
        <v>14</v>
      </c>
      <c r="G25" s="2" t="s">
        <v>423</v>
      </c>
      <c r="H25" s="8">
        <v>44982</v>
      </c>
    </row>
    <row r="26" spans="1:11">
      <c r="A26" s="7" t="s">
        <v>421</v>
      </c>
      <c r="B26" s="16" t="s">
        <v>453</v>
      </c>
      <c r="C26" s="2">
        <v>6106</v>
      </c>
      <c r="D26" s="42" t="s">
        <v>34</v>
      </c>
      <c r="E26" s="42" t="s">
        <v>13</v>
      </c>
      <c r="F26" s="2" t="s">
        <v>14</v>
      </c>
      <c r="G26" s="2" t="s">
        <v>423</v>
      </c>
      <c r="H26" s="8">
        <v>44982</v>
      </c>
    </row>
    <row r="27" spans="1:11">
      <c r="A27" s="7" t="s">
        <v>421</v>
      </c>
      <c r="B27" s="16" t="s">
        <v>454</v>
      </c>
      <c r="C27" s="2">
        <v>6108</v>
      </c>
      <c r="D27" s="42" t="s">
        <v>34</v>
      </c>
      <c r="E27" s="42" t="s">
        <v>13</v>
      </c>
      <c r="F27" s="2" t="s">
        <v>14</v>
      </c>
      <c r="G27" s="2" t="s">
        <v>423</v>
      </c>
      <c r="H27" s="8">
        <v>44982</v>
      </c>
    </row>
    <row r="28" spans="1:11">
      <c r="A28" s="7" t="s">
        <v>421</v>
      </c>
      <c r="B28" s="16" t="s">
        <v>455</v>
      </c>
      <c r="C28" s="2">
        <v>6111</v>
      </c>
      <c r="D28" s="42" t="s">
        <v>34</v>
      </c>
      <c r="E28" s="42" t="s">
        <v>13</v>
      </c>
      <c r="F28" s="2" t="s">
        <v>14</v>
      </c>
      <c r="G28" s="2" t="s">
        <v>423</v>
      </c>
      <c r="H28" s="8">
        <v>44982</v>
      </c>
    </row>
    <row r="29" spans="1:11">
      <c r="A29" s="7" t="s">
        <v>421</v>
      </c>
      <c r="B29" s="16" t="s">
        <v>456</v>
      </c>
      <c r="C29" s="2">
        <v>6112</v>
      </c>
      <c r="D29" s="42" t="s">
        <v>34</v>
      </c>
      <c r="E29" s="42" t="s">
        <v>13</v>
      </c>
      <c r="F29" s="2" t="s">
        <v>14</v>
      </c>
      <c r="G29" s="2" t="s">
        <v>423</v>
      </c>
      <c r="H29" s="8">
        <v>44982</v>
      </c>
    </row>
    <row r="30" spans="1:11">
      <c r="A30" s="7" t="s">
        <v>421</v>
      </c>
      <c r="B30" s="16" t="s">
        <v>457</v>
      </c>
      <c r="C30" s="2">
        <v>6114</v>
      </c>
      <c r="D30" s="42" t="s">
        <v>34</v>
      </c>
      <c r="E30" s="42" t="s">
        <v>13</v>
      </c>
      <c r="F30" s="2" t="s">
        <v>14</v>
      </c>
      <c r="G30" s="2" t="s">
        <v>423</v>
      </c>
      <c r="H30" s="8">
        <v>44982</v>
      </c>
    </row>
    <row r="31" spans="1:11">
      <c r="A31" s="7" t="s">
        <v>421</v>
      </c>
      <c r="B31" s="16" t="s">
        <v>458</v>
      </c>
      <c r="C31" s="2">
        <v>6115</v>
      </c>
      <c r="D31" s="42" t="s">
        <v>34</v>
      </c>
      <c r="E31" s="42" t="s">
        <v>13</v>
      </c>
      <c r="F31" s="2" t="s">
        <v>14</v>
      </c>
      <c r="G31" s="2" t="s">
        <v>423</v>
      </c>
      <c r="H31" s="8">
        <v>44982</v>
      </c>
    </row>
    <row r="32" spans="1:11">
      <c r="A32" s="7" t="s">
        <v>421</v>
      </c>
      <c r="B32" s="16" t="s">
        <v>459</v>
      </c>
      <c r="C32" s="2">
        <v>6119</v>
      </c>
      <c r="D32" s="42" t="s">
        <v>34</v>
      </c>
      <c r="E32" s="42" t="s">
        <v>13</v>
      </c>
      <c r="F32" s="2" t="s">
        <v>14</v>
      </c>
      <c r="G32" s="2" t="s">
        <v>423</v>
      </c>
      <c r="H32" s="8">
        <v>44982</v>
      </c>
    </row>
    <row r="33" spans="1:8">
      <c r="A33" s="7" t="s">
        <v>421</v>
      </c>
      <c r="B33" s="16" t="s">
        <v>460</v>
      </c>
      <c r="C33" s="2">
        <v>6120</v>
      </c>
      <c r="D33" s="42" t="s">
        <v>34</v>
      </c>
      <c r="E33" s="42" t="s">
        <v>13</v>
      </c>
      <c r="F33" s="2" t="s">
        <v>14</v>
      </c>
      <c r="G33" s="2" t="s">
        <v>423</v>
      </c>
      <c r="H33" s="8">
        <v>44982</v>
      </c>
    </row>
    <row r="34" spans="1:8">
      <c r="A34" s="7" t="s">
        <v>421</v>
      </c>
      <c r="B34" s="16" t="s">
        <v>461</v>
      </c>
      <c r="C34" s="2">
        <v>6122</v>
      </c>
      <c r="D34" s="42" t="s">
        <v>34</v>
      </c>
      <c r="E34" s="42" t="s">
        <v>13</v>
      </c>
      <c r="F34" s="2" t="s">
        <v>14</v>
      </c>
      <c r="G34" s="2" t="s">
        <v>423</v>
      </c>
      <c r="H34" s="8">
        <v>44982</v>
      </c>
    </row>
    <row r="35" spans="1:8">
      <c r="A35" s="7" t="s">
        <v>421</v>
      </c>
      <c r="B35" s="2" t="s">
        <v>462</v>
      </c>
      <c r="C35" s="2">
        <v>6124</v>
      </c>
      <c r="D35" s="42" t="s">
        <v>34</v>
      </c>
      <c r="E35" s="42" t="s">
        <v>13</v>
      </c>
      <c r="F35" s="2" t="s">
        <v>14</v>
      </c>
      <c r="G35" s="2" t="s">
        <v>423</v>
      </c>
      <c r="H35" s="8">
        <v>44982</v>
      </c>
    </row>
    <row r="36" spans="1:8">
      <c r="A36" s="7" t="s">
        <v>421</v>
      </c>
      <c r="B36" s="16" t="s">
        <v>464</v>
      </c>
      <c r="C36" s="2">
        <v>6127</v>
      </c>
      <c r="D36" s="42" t="s">
        <v>34</v>
      </c>
      <c r="E36" s="42" t="s">
        <v>13</v>
      </c>
      <c r="F36" s="2" t="s">
        <v>14</v>
      </c>
      <c r="G36" s="2" t="s">
        <v>423</v>
      </c>
      <c r="H36" s="8">
        <v>44982</v>
      </c>
    </row>
    <row r="37" spans="1:8">
      <c r="A37" s="7" t="s">
        <v>421</v>
      </c>
      <c r="B37" s="16" t="s">
        <v>465</v>
      </c>
      <c r="C37" s="2">
        <v>6128</v>
      </c>
      <c r="D37" s="42" t="s">
        <v>34</v>
      </c>
      <c r="E37" s="42" t="s">
        <v>13</v>
      </c>
      <c r="F37" s="2" t="s">
        <v>14</v>
      </c>
      <c r="G37" s="2" t="s">
        <v>423</v>
      </c>
      <c r="H37" s="8">
        <v>44982</v>
      </c>
    </row>
    <row r="38" spans="1:8">
      <c r="A38" s="7" t="s">
        <v>421</v>
      </c>
      <c r="B38" s="16" t="s">
        <v>466</v>
      </c>
      <c r="C38" s="2">
        <v>6129</v>
      </c>
      <c r="D38" s="42" t="s">
        <v>34</v>
      </c>
      <c r="E38" s="42" t="s">
        <v>13</v>
      </c>
      <c r="F38" s="2" t="s">
        <v>14</v>
      </c>
      <c r="G38" s="2" t="s">
        <v>423</v>
      </c>
      <c r="H38" s="8">
        <v>44982</v>
      </c>
    </row>
    <row r="39" spans="1:8">
      <c r="A39" s="7" t="s">
        <v>421</v>
      </c>
      <c r="B39" s="16" t="s">
        <v>467</v>
      </c>
      <c r="C39" s="2">
        <v>6130</v>
      </c>
      <c r="D39" s="42" t="s">
        <v>34</v>
      </c>
      <c r="E39" s="42" t="s">
        <v>13</v>
      </c>
      <c r="F39" s="2" t="s">
        <v>14</v>
      </c>
      <c r="G39" s="2" t="s">
        <v>423</v>
      </c>
      <c r="H39" s="8">
        <v>44982</v>
      </c>
    </row>
    <row r="40" spans="1:8">
      <c r="A40" s="7" t="s">
        <v>421</v>
      </c>
      <c r="B40" s="16" t="s">
        <v>468</v>
      </c>
      <c r="C40" s="2">
        <v>6131</v>
      </c>
      <c r="D40" s="42" t="s">
        <v>34</v>
      </c>
      <c r="E40" s="42" t="s">
        <v>13</v>
      </c>
      <c r="F40" s="2" t="s">
        <v>14</v>
      </c>
      <c r="G40" s="2" t="s">
        <v>423</v>
      </c>
      <c r="H40" s="8">
        <v>44982</v>
      </c>
    </row>
    <row r="41" spans="1:8">
      <c r="A41" s="7" t="s">
        <v>421</v>
      </c>
      <c r="B41" s="2" t="s">
        <v>469</v>
      </c>
      <c r="C41" s="2">
        <v>6132</v>
      </c>
      <c r="D41" s="42" t="s">
        <v>34</v>
      </c>
      <c r="E41" s="42" t="s">
        <v>13</v>
      </c>
      <c r="F41" s="2" t="s">
        <v>14</v>
      </c>
      <c r="G41" s="2" t="s">
        <v>423</v>
      </c>
      <c r="H41" s="8">
        <v>44982</v>
      </c>
    </row>
    <row r="42" spans="1:8">
      <c r="A42" s="7" t="s">
        <v>421</v>
      </c>
      <c r="B42" s="16" t="s">
        <v>471</v>
      </c>
      <c r="C42" s="2">
        <v>6134</v>
      </c>
      <c r="D42" s="42" t="s">
        <v>34</v>
      </c>
      <c r="E42" s="42" t="s">
        <v>13</v>
      </c>
      <c r="F42" s="2" t="s">
        <v>14</v>
      </c>
      <c r="G42" s="2" t="s">
        <v>423</v>
      </c>
      <c r="H42" s="8">
        <v>44982</v>
      </c>
    </row>
    <row r="43" spans="1:8">
      <c r="A43" s="7" t="s">
        <v>421</v>
      </c>
      <c r="B43" s="16" t="s">
        <v>472</v>
      </c>
      <c r="C43" s="2">
        <v>6135</v>
      </c>
      <c r="D43" s="42" t="s">
        <v>34</v>
      </c>
      <c r="E43" s="42" t="s">
        <v>13</v>
      </c>
      <c r="F43" s="2" t="s">
        <v>14</v>
      </c>
      <c r="G43" s="2" t="s">
        <v>423</v>
      </c>
      <c r="H43" s="8">
        <v>44982</v>
      </c>
    </row>
    <row r="44" spans="1:8">
      <c r="A44" s="7" t="s">
        <v>421</v>
      </c>
      <c r="B44" s="16" t="s">
        <v>473</v>
      </c>
      <c r="C44" s="2">
        <v>6136</v>
      </c>
      <c r="D44" s="42" t="s">
        <v>34</v>
      </c>
      <c r="E44" s="42" t="s">
        <v>13</v>
      </c>
      <c r="F44" s="2" t="s">
        <v>14</v>
      </c>
      <c r="G44" s="2" t="s">
        <v>423</v>
      </c>
      <c r="H44" s="8">
        <v>44982</v>
      </c>
    </row>
    <row r="45" spans="1:8">
      <c r="A45" s="7" t="s">
        <v>421</v>
      </c>
      <c r="B45" s="2" t="s">
        <v>474</v>
      </c>
      <c r="C45" s="2">
        <v>6139</v>
      </c>
      <c r="D45" s="42" t="s">
        <v>34</v>
      </c>
      <c r="E45" s="42" t="s">
        <v>13</v>
      </c>
      <c r="F45" s="2" t="s">
        <v>14</v>
      </c>
      <c r="G45" s="2" t="s">
        <v>423</v>
      </c>
      <c r="H45" s="8">
        <v>44982</v>
      </c>
    </row>
    <row r="46" spans="1:8">
      <c r="A46" s="7" t="s">
        <v>421</v>
      </c>
      <c r="B46" s="16" t="s">
        <v>475</v>
      </c>
      <c r="C46" s="2">
        <v>6141</v>
      </c>
      <c r="D46" s="42" t="s">
        <v>34</v>
      </c>
      <c r="E46" s="42" t="s">
        <v>13</v>
      </c>
      <c r="F46" s="2" t="s">
        <v>14</v>
      </c>
      <c r="G46" s="2" t="s">
        <v>423</v>
      </c>
      <c r="H46" s="8">
        <v>44982</v>
      </c>
    </row>
    <row r="47" spans="1:8">
      <c r="A47" s="7" t="s">
        <v>421</v>
      </c>
      <c r="B47" s="2" t="s">
        <v>476</v>
      </c>
      <c r="C47" s="2">
        <v>6142</v>
      </c>
      <c r="D47" s="42" t="s">
        <v>34</v>
      </c>
      <c r="E47" s="42" t="s">
        <v>13</v>
      </c>
      <c r="F47" s="2" t="s">
        <v>14</v>
      </c>
      <c r="G47" s="2" t="s">
        <v>423</v>
      </c>
      <c r="H47" s="8">
        <v>44982</v>
      </c>
    </row>
    <row r="48" spans="1:8">
      <c r="A48" s="7" t="s">
        <v>421</v>
      </c>
      <c r="B48" s="2" t="s">
        <v>477</v>
      </c>
      <c r="C48" s="2">
        <v>6143</v>
      </c>
      <c r="D48" s="42" t="s">
        <v>34</v>
      </c>
      <c r="E48" s="42" t="s">
        <v>13</v>
      </c>
      <c r="F48" s="2" t="s">
        <v>14</v>
      </c>
      <c r="G48" s="2" t="s">
        <v>423</v>
      </c>
      <c r="H48" s="8">
        <v>44982</v>
      </c>
    </row>
    <row r="49" spans="1:8">
      <c r="A49" s="7" t="s">
        <v>421</v>
      </c>
      <c r="B49" s="2" t="s">
        <v>478</v>
      </c>
      <c r="C49" s="2">
        <v>6153</v>
      </c>
      <c r="D49" s="42" t="s">
        <v>34</v>
      </c>
      <c r="E49" s="42" t="s">
        <v>13</v>
      </c>
      <c r="F49" s="2" t="s">
        <v>14</v>
      </c>
      <c r="G49" s="2" t="s">
        <v>423</v>
      </c>
      <c r="H49" s="8">
        <v>44982</v>
      </c>
    </row>
    <row r="50" spans="1:8">
      <c r="A50" s="7" t="s">
        <v>421</v>
      </c>
      <c r="B50" s="16" t="s">
        <v>479</v>
      </c>
      <c r="C50" s="2">
        <v>6155</v>
      </c>
      <c r="D50" s="42" t="s">
        <v>34</v>
      </c>
      <c r="E50" s="42" t="s">
        <v>13</v>
      </c>
      <c r="F50" s="2" t="s">
        <v>14</v>
      </c>
      <c r="G50" s="2" t="s">
        <v>423</v>
      </c>
      <c r="H50" s="8">
        <v>44982</v>
      </c>
    </row>
    <row r="51" spans="1:8">
      <c r="A51" s="7" t="s">
        <v>421</v>
      </c>
      <c r="B51" s="16" t="s">
        <v>480</v>
      </c>
      <c r="C51" s="2">
        <v>6156</v>
      </c>
      <c r="D51" s="42" t="s">
        <v>34</v>
      </c>
      <c r="E51" s="42" t="s">
        <v>13</v>
      </c>
      <c r="F51" s="2" t="s">
        <v>14</v>
      </c>
      <c r="G51" s="2" t="s">
        <v>423</v>
      </c>
      <c r="H51" s="8">
        <v>44982</v>
      </c>
    </row>
    <row r="52" spans="1:8">
      <c r="A52" s="7" t="s">
        <v>421</v>
      </c>
      <c r="B52" s="2" t="s">
        <v>482</v>
      </c>
      <c r="C52" s="2">
        <v>6160</v>
      </c>
      <c r="D52" s="42" t="s">
        <v>34</v>
      </c>
      <c r="E52" s="42" t="s">
        <v>13</v>
      </c>
      <c r="F52" s="2" t="s">
        <v>14</v>
      </c>
      <c r="G52" s="2" t="s">
        <v>423</v>
      </c>
      <c r="H52" s="8">
        <v>44982</v>
      </c>
    </row>
    <row r="53" spans="1:8">
      <c r="A53" s="7" t="s">
        <v>421</v>
      </c>
      <c r="B53" s="16" t="s">
        <v>483</v>
      </c>
      <c r="C53" s="2">
        <v>6116</v>
      </c>
      <c r="D53" s="42" t="s">
        <v>34</v>
      </c>
      <c r="E53" s="42" t="s">
        <v>13</v>
      </c>
      <c r="F53" s="2" t="s">
        <v>14</v>
      </c>
      <c r="G53" s="2" t="s">
        <v>423</v>
      </c>
      <c r="H53" s="8">
        <v>44982</v>
      </c>
    </row>
    <row r="54" spans="1:8">
      <c r="A54" s="7" t="s">
        <v>421</v>
      </c>
      <c r="B54" s="2" t="s">
        <v>484</v>
      </c>
      <c r="C54" s="2">
        <v>6016</v>
      </c>
      <c r="D54" s="42" t="s">
        <v>285</v>
      </c>
      <c r="E54" s="42" t="s">
        <v>405</v>
      </c>
      <c r="F54" s="2" t="s">
        <v>145</v>
      </c>
      <c r="G54" s="2" t="s">
        <v>423</v>
      </c>
      <c r="H54" s="8">
        <v>45024</v>
      </c>
    </row>
    <row r="55" spans="1:8">
      <c r="A55" s="7" t="s">
        <v>421</v>
      </c>
      <c r="B55" s="2" t="s">
        <v>485</v>
      </c>
      <c r="C55" s="2">
        <v>6017</v>
      </c>
      <c r="D55" s="42" t="s">
        <v>285</v>
      </c>
      <c r="E55" s="42" t="s">
        <v>405</v>
      </c>
      <c r="F55" s="2" t="s">
        <v>145</v>
      </c>
      <c r="G55" s="2" t="s">
        <v>423</v>
      </c>
      <c r="H55" s="8">
        <v>45024</v>
      </c>
    </row>
    <row r="56" spans="1:8">
      <c r="A56" s="7" t="s">
        <v>421</v>
      </c>
      <c r="B56" s="2" t="s">
        <v>486</v>
      </c>
      <c r="C56" s="2">
        <v>6018</v>
      </c>
      <c r="D56" s="42" t="s">
        <v>285</v>
      </c>
      <c r="E56" s="42" t="s">
        <v>405</v>
      </c>
      <c r="F56" s="2" t="s">
        <v>145</v>
      </c>
      <c r="G56" s="2" t="s">
        <v>423</v>
      </c>
      <c r="H56" s="8">
        <v>45024</v>
      </c>
    </row>
    <row r="57" spans="1:8">
      <c r="A57" s="7" t="s">
        <v>421</v>
      </c>
      <c r="B57" s="2" t="s">
        <v>487</v>
      </c>
      <c r="C57" s="2">
        <v>6019</v>
      </c>
      <c r="D57" s="42" t="s">
        <v>285</v>
      </c>
      <c r="E57" s="42" t="s">
        <v>405</v>
      </c>
      <c r="F57" s="2" t="s">
        <v>145</v>
      </c>
      <c r="G57" s="2" t="s">
        <v>423</v>
      </c>
      <c r="H57" s="8">
        <v>45024</v>
      </c>
    </row>
    <row r="58" spans="1:8">
      <c r="A58" s="7" t="s">
        <v>421</v>
      </c>
      <c r="B58" s="2" t="s">
        <v>488</v>
      </c>
      <c r="C58" s="2">
        <v>6020</v>
      </c>
      <c r="D58" s="42" t="s">
        <v>285</v>
      </c>
      <c r="E58" s="42" t="s">
        <v>405</v>
      </c>
      <c r="F58" s="2" t="s">
        <v>145</v>
      </c>
      <c r="G58" s="2" t="s">
        <v>423</v>
      </c>
      <c r="H58" s="8">
        <v>45024</v>
      </c>
    </row>
    <row r="59" spans="1:8">
      <c r="A59" s="7" t="s">
        <v>421</v>
      </c>
      <c r="B59" s="2" t="s">
        <v>489</v>
      </c>
      <c r="C59" s="2">
        <v>6021</v>
      </c>
      <c r="D59" s="42" t="s">
        <v>285</v>
      </c>
      <c r="E59" s="42" t="s">
        <v>405</v>
      </c>
      <c r="F59" s="2" t="s">
        <v>145</v>
      </c>
      <c r="G59" s="2" t="s">
        <v>423</v>
      </c>
      <c r="H59" s="8">
        <v>45024</v>
      </c>
    </row>
    <row r="60" spans="1:8">
      <c r="A60" s="7" t="s">
        <v>421</v>
      </c>
      <c r="B60" s="2" t="s">
        <v>490</v>
      </c>
      <c r="C60" s="2">
        <v>6023</v>
      </c>
      <c r="D60" s="42" t="s">
        <v>285</v>
      </c>
      <c r="E60" s="42" t="s">
        <v>405</v>
      </c>
      <c r="F60" s="2" t="s">
        <v>145</v>
      </c>
      <c r="G60" s="2" t="s">
        <v>423</v>
      </c>
      <c r="H60" s="8">
        <v>45024</v>
      </c>
    </row>
    <row r="61" spans="1:8">
      <c r="A61" s="7" t="s">
        <v>421</v>
      </c>
      <c r="B61" s="2" t="s">
        <v>491</v>
      </c>
      <c r="C61" s="2">
        <v>6026</v>
      </c>
      <c r="D61" s="42" t="s">
        <v>285</v>
      </c>
      <c r="E61" s="42" t="s">
        <v>405</v>
      </c>
      <c r="F61" s="2" t="s">
        <v>145</v>
      </c>
      <c r="G61" s="2" t="s">
        <v>423</v>
      </c>
      <c r="H61" s="8">
        <v>45024</v>
      </c>
    </row>
    <row r="62" spans="1:8">
      <c r="A62" s="7" t="s">
        <v>421</v>
      </c>
      <c r="B62" s="2" t="s">
        <v>544</v>
      </c>
      <c r="C62" s="2">
        <v>6022</v>
      </c>
      <c r="D62" s="42" t="s">
        <v>285</v>
      </c>
      <c r="E62" s="42" t="s">
        <v>405</v>
      </c>
      <c r="F62" s="2" t="s">
        <v>145</v>
      </c>
      <c r="G62" s="2" t="s">
        <v>423</v>
      </c>
      <c r="H62" s="8">
        <v>45024</v>
      </c>
    </row>
    <row r="63" spans="1:8">
      <c r="A63" s="7" t="s">
        <v>421</v>
      </c>
      <c r="B63" s="2" t="s">
        <v>545</v>
      </c>
      <c r="C63" s="2">
        <v>6024</v>
      </c>
      <c r="D63" s="42" t="s">
        <v>285</v>
      </c>
      <c r="E63" s="42" t="s">
        <v>405</v>
      </c>
      <c r="F63" s="2" t="s">
        <v>145</v>
      </c>
      <c r="G63" s="2" t="s">
        <v>423</v>
      </c>
      <c r="H63" s="8">
        <v>45024</v>
      </c>
    </row>
    <row r="64" spans="1:8">
      <c r="A64" s="7" t="s">
        <v>421</v>
      </c>
      <c r="B64" s="2" t="s">
        <v>546</v>
      </c>
      <c r="C64" s="2">
        <v>6025</v>
      </c>
      <c r="D64" s="42" t="s">
        <v>285</v>
      </c>
      <c r="E64" s="42" t="s">
        <v>405</v>
      </c>
      <c r="F64" s="2" t="s">
        <v>145</v>
      </c>
      <c r="G64" s="2" t="s">
        <v>423</v>
      </c>
      <c r="H64" s="8">
        <v>45024</v>
      </c>
    </row>
  </sheetData>
  <conditionalFormatting sqref="B18">
    <cfRule type="duplicateValues" dxfId="2" priority="2"/>
  </conditionalFormatting>
  <pageMargins left="0.7" right="0.7" top="0.75" bottom="0.75" header="0.3" footer="0.3"/>
  <pageSetup orientation="landscape" horizontalDpi="300" verticalDpi="300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6A11-AEAD-4908-8810-70B194954C71}">
  <sheetPr codeName="Hoja6"/>
  <dimension ref="A1:K142"/>
  <sheetViews>
    <sheetView topLeftCell="A119" zoomScale="87" zoomScaleNormal="80" workbookViewId="0">
      <selection activeCell="C138" sqref="C138"/>
    </sheetView>
  </sheetViews>
  <sheetFormatPr baseColWidth="10" defaultColWidth="11.42578125" defaultRowHeight="15"/>
  <cols>
    <col min="1" max="1" width="14" bestFit="1" customWidth="1"/>
    <col min="2" max="2" width="11.28515625" bestFit="1" customWidth="1"/>
    <col min="3" max="3" width="13.5703125" bestFit="1" customWidth="1"/>
    <col min="4" max="4" width="13.7109375" bestFit="1" customWidth="1"/>
    <col min="5" max="5" width="15.7109375" customWidth="1"/>
    <col min="6" max="6" width="19" bestFit="1" customWidth="1"/>
    <col min="7" max="7" width="23.85546875" bestFit="1" customWidth="1"/>
    <col min="8" max="8" width="20" bestFit="1" customWidth="1"/>
    <col min="10" max="10" width="19.140625" bestFit="1" customWidth="1"/>
    <col min="11" max="11" width="10.28515625" bestFit="1" customWidth="1"/>
    <col min="12" max="12" width="16.140625" bestFit="1" customWidth="1"/>
    <col min="13" max="13" width="20.5703125" bestFit="1" customWidth="1"/>
    <col min="14" max="14" width="20.140625" bestFit="1" customWidth="1"/>
  </cols>
  <sheetData>
    <row r="1" spans="1:11">
      <c r="A1" s="9" t="s">
        <v>0</v>
      </c>
      <c r="B1" s="10" t="s">
        <v>87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J1" s="1" t="s">
        <v>8</v>
      </c>
      <c r="K1" s="1" t="s">
        <v>9</v>
      </c>
    </row>
    <row r="2" spans="1:11">
      <c r="A2" s="113" t="s">
        <v>421</v>
      </c>
      <c r="B2" s="2" t="s">
        <v>492</v>
      </c>
      <c r="C2" s="2">
        <v>5006</v>
      </c>
      <c r="D2" s="42" t="s">
        <v>12</v>
      </c>
      <c r="E2" s="6" t="s">
        <v>13</v>
      </c>
      <c r="F2" s="2" t="s">
        <v>14</v>
      </c>
      <c r="G2" s="2" t="s">
        <v>493</v>
      </c>
      <c r="H2" s="63">
        <v>45003</v>
      </c>
      <c r="J2" s="5" t="s">
        <v>494</v>
      </c>
      <c r="K2" s="5" t="s">
        <v>495</v>
      </c>
    </row>
    <row r="3" spans="1:11">
      <c r="A3" s="341" t="s">
        <v>421</v>
      </c>
      <c r="B3" s="6" t="s">
        <v>496</v>
      </c>
      <c r="C3" s="6">
        <v>5007</v>
      </c>
      <c r="D3" s="6" t="s">
        <v>12</v>
      </c>
      <c r="E3" s="6" t="s">
        <v>13</v>
      </c>
      <c r="F3" s="2" t="s">
        <v>14</v>
      </c>
      <c r="G3" s="2" t="s">
        <v>493</v>
      </c>
      <c r="H3" s="63">
        <v>45003</v>
      </c>
      <c r="J3" s="5" t="s">
        <v>19</v>
      </c>
      <c r="K3" s="5" t="s">
        <v>497</v>
      </c>
    </row>
    <row r="4" spans="1:11">
      <c r="A4" s="113" t="s">
        <v>421</v>
      </c>
      <c r="B4" s="2" t="s">
        <v>498</v>
      </c>
      <c r="C4" s="2">
        <v>5009</v>
      </c>
      <c r="D4" s="42" t="s">
        <v>12</v>
      </c>
      <c r="E4" s="6" t="s">
        <v>13</v>
      </c>
      <c r="F4" s="2" t="s">
        <v>14</v>
      </c>
      <c r="G4" s="2" t="s">
        <v>493</v>
      </c>
      <c r="H4" s="63">
        <v>45003</v>
      </c>
      <c r="J4" s="5" t="s">
        <v>19</v>
      </c>
      <c r="K4" s="5" t="s">
        <v>499</v>
      </c>
    </row>
    <row r="5" spans="1:11">
      <c r="A5" s="113" t="s">
        <v>421</v>
      </c>
      <c r="B5" s="2" t="s">
        <v>500</v>
      </c>
      <c r="C5" s="2">
        <v>5010</v>
      </c>
      <c r="D5" s="42" t="s">
        <v>12</v>
      </c>
      <c r="E5" s="6" t="s">
        <v>13</v>
      </c>
      <c r="F5" s="2" t="s">
        <v>14</v>
      </c>
      <c r="G5" s="2" t="s">
        <v>493</v>
      </c>
      <c r="H5" s="63">
        <v>45003</v>
      </c>
      <c r="J5" s="5" t="s">
        <v>19</v>
      </c>
      <c r="K5" s="5" t="s">
        <v>501</v>
      </c>
    </row>
    <row r="6" spans="1:11">
      <c r="A6" s="113" t="s">
        <v>421</v>
      </c>
      <c r="B6" s="2" t="s">
        <v>502</v>
      </c>
      <c r="C6" s="2">
        <v>5011</v>
      </c>
      <c r="D6" s="42" t="s">
        <v>12</v>
      </c>
      <c r="E6" s="6" t="s">
        <v>13</v>
      </c>
      <c r="F6" s="2" t="s">
        <v>14</v>
      </c>
      <c r="G6" s="2" t="s">
        <v>493</v>
      </c>
      <c r="H6" s="63">
        <v>45003</v>
      </c>
    </row>
    <row r="7" spans="1:11">
      <c r="A7" s="113" t="s">
        <v>421</v>
      </c>
      <c r="B7" s="2" t="s">
        <v>503</v>
      </c>
      <c r="C7" s="2">
        <v>5012</v>
      </c>
      <c r="D7" s="42" t="s">
        <v>12</v>
      </c>
      <c r="E7" s="6" t="s">
        <v>13</v>
      </c>
      <c r="F7" s="2" t="s">
        <v>14</v>
      </c>
      <c r="G7" s="2" t="s">
        <v>493</v>
      </c>
      <c r="H7" s="63">
        <v>45003</v>
      </c>
    </row>
    <row r="8" spans="1:11">
      <c r="A8" s="113" t="s">
        <v>421</v>
      </c>
      <c r="B8" s="2" t="s">
        <v>504</v>
      </c>
      <c r="C8" s="2">
        <v>5013</v>
      </c>
      <c r="D8" s="42" t="s">
        <v>12</v>
      </c>
      <c r="E8" s="6" t="s">
        <v>13</v>
      </c>
      <c r="F8" s="2" t="s">
        <v>14</v>
      </c>
      <c r="G8" s="2" t="s">
        <v>493</v>
      </c>
      <c r="H8" s="63">
        <v>45003</v>
      </c>
    </row>
    <row r="9" spans="1:11">
      <c r="A9" s="113" t="s">
        <v>421</v>
      </c>
      <c r="B9" s="2" t="s">
        <v>505</v>
      </c>
      <c r="C9" s="2">
        <v>5014</v>
      </c>
      <c r="D9" s="42" t="s">
        <v>12</v>
      </c>
      <c r="E9" s="6" t="s">
        <v>13</v>
      </c>
      <c r="F9" s="2" t="s">
        <v>14</v>
      </c>
      <c r="G9" s="2" t="s">
        <v>493</v>
      </c>
      <c r="H9" s="63">
        <v>45003</v>
      </c>
      <c r="J9" s="47" t="s">
        <v>506</v>
      </c>
      <c r="K9" t="s">
        <v>97</v>
      </c>
    </row>
    <row r="10" spans="1:11">
      <c r="A10" s="113" t="s">
        <v>421</v>
      </c>
      <c r="B10" s="2" t="s">
        <v>507</v>
      </c>
      <c r="C10" s="2">
        <v>5015</v>
      </c>
      <c r="D10" s="42" t="s">
        <v>12</v>
      </c>
      <c r="E10" s="6" t="s">
        <v>13</v>
      </c>
      <c r="F10" s="2" t="s">
        <v>14</v>
      </c>
      <c r="G10" s="2" t="s">
        <v>493</v>
      </c>
      <c r="H10" s="63">
        <v>45003</v>
      </c>
      <c r="J10" s="48" t="s">
        <v>12</v>
      </c>
      <c r="K10">
        <v>15</v>
      </c>
    </row>
    <row r="11" spans="1:11">
      <c r="A11" s="113" t="s">
        <v>421</v>
      </c>
      <c r="B11" s="2" t="s">
        <v>508</v>
      </c>
      <c r="C11" s="2">
        <v>5016</v>
      </c>
      <c r="D11" s="42" t="s">
        <v>12</v>
      </c>
      <c r="E11" s="6" t="s">
        <v>13</v>
      </c>
      <c r="F11" s="2" t="s">
        <v>14</v>
      </c>
      <c r="G11" s="2" t="s">
        <v>493</v>
      </c>
      <c r="H11" s="63">
        <v>45003</v>
      </c>
      <c r="J11" s="49" t="s">
        <v>14</v>
      </c>
      <c r="K11">
        <v>15</v>
      </c>
    </row>
    <row r="12" spans="1:11">
      <c r="A12" s="113" t="s">
        <v>421</v>
      </c>
      <c r="B12" s="2" t="s">
        <v>509</v>
      </c>
      <c r="C12" s="2">
        <v>5017</v>
      </c>
      <c r="D12" s="42" t="s">
        <v>12</v>
      </c>
      <c r="E12" s="6" t="s">
        <v>13</v>
      </c>
      <c r="F12" s="2" t="s">
        <v>14</v>
      </c>
      <c r="G12" s="2" t="s">
        <v>493</v>
      </c>
      <c r="H12" s="63">
        <v>45003</v>
      </c>
      <c r="J12" s="48" t="s">
        <v>34</v>
      </c>
      <c r="K12">
        <v>49</v>
      </c>
    </row>
    <row r="13" spans="1:11">
      <c r="A13" s="113" t="s">
        <v>421</v>
      </c>
      <c r="B13" s="2" t="s">
        <v>510</v>
      </c>
      <c r="C13" s="2">
        <v>5018</v>
      </c>
      <c r="D13" s="42" t="s">
        <v>12</v>
      </c>
      <c r="E13" s="6" t="s">
        <v>13</v>
      </c>
      <c r="F13" s="2" t="s">
        <v>14</v>
      </c>
      <c r="G13" s="2" t="s">
        <v>493</v>
      </c>
      <c r="H13" s="63">
        <v>45003</v>
      </c>
      <c r="J13" s="49" t="s">
        <v>145</v>
      </c>
      <c r="K13">
        <v>12</v>
      </c>
    </row>
    <row r="14" spans="1:11">
      <c r="A14" s="113" t="s">
        <v>421</v>
      </c>
      <c r="B14" s="2" t="s">
        <v>511</v>
      </c>
      <c r="C14" s="2">
        <v>5019</v>
      </c>
      <c r="D14" s="42" t="s">
        <v>12</v>
      </c>
      <c r="E14" s="6" t="s">
        <v>13</v>
      </c>
      <c r="F14" s="2" t="s">
        <v>14</v>
      </c>
      <c r="G14" s="2" t="s">
        <v>493</v>
      </c>
      <c r="H14" s="63">
        <v>45003</v>
      </c>
      <c r="J14" s="49" t="s">
        <v>14</v>
      </c>
      <c r="K14">
        <v>37</v>
      </c>
    </row>
    <row r="15" spans="1:11">
      <c r="A15" s="113" t="s">
        <v>421</v>
      </c>
      <c r="B15" s="2" t="s">
        <v>512</v>
      </c>
      <c r="C15" s="2">
        <v>5020</v>
      </c>
      <c r="D15" s="42" t="s">
        <v>12</v>
      </c>
      <c r="E15" s="6" t="s">
        <v>13</v>
      </c>
      <c r="F15" s="2" t="s">
        <v>14</v>
      </c>
      <c r="G15" s="2" t="s">
        <v>493</v>
      </c>
      <c r="H15" s="63">
        <v>45003</v>
      </c>
      <c r="J15" s="48" t="s">
        <v>147</v>
      </c>
      <c r="K15">
        <v>77</v>
      </c>
    </row>
    <row r="16" spans="1:11">
      <c r="A16" s="7" t="s">
        <v>421</v>
      </c>
      <c r="B16" s="16" t="s">
        <v>513</v>
      </c>
      <c r="C16" s="2">
        <v>5022</v>
      </c>
      <c r="D16" s="42" t="s">
        <v>12</v>
      </c>
      <c r="E16" s="6" t="s">
        <v>13</v>
      </c>
      <c r="F16" s="2" t="s">
        <v>14</v>
      </c>
      <c r="G16" s="2" t="s">
        <v>493</v>
      </c>
      <c r="H16" s="63">
        <v>45003</v>
      </c>
      <c r="J16" s="49" t="s">
        <v>149</v>
      </c>
      <c r="K16">
        <v>77</v>
      </c>
    </row>
    <row r="17" spans="1:11">
      <c r="A17" s="7" t="s">
        <v>421</v>
      </c>
      <c r="B17" s="2" t="s">
        <v>514</v>
      </c>
      <c r="C17" s="2">
        <v>6027</v>
      </c>
      <c r="D17" s="42" t="s">
        <v>34</v>
      </c>
      <c r="E17" s="6" t="s">
        <v>13</v>
      </c>
      <c r="F17" s="16" t="s">
        <v>145</v>
      </c>
      <c r="G17" s="2" t="s">
        <v>493</v>
      </c>
      <c r="H17" s="63">
        <v>45003</v>
      </c>
      <c r="J17" s="48" t="s">
        <v>41</v>
      </c>
      <c r="K17">
        <v>141</v>
      </c>
    </row>
    <row r="18" spans="1:11">
      <c r="A18" s="7" t="s">
        <v>421</v>
      </c>
      <c r="B18" s="2" t="s">
        <v>515</v>
      </c>
      <c r="C18" s="2">
        <v>6028</v>
      </c>
      <c r="D18" s="42" t="s">
        <v>34</v>
      </c>
      <c r="E18" s="6" t="s">
        <v>25</v>
      </c>
      <c r="F18" s="16" t="s">
        <v>145</v>
      </c>
      <c r="G18" s="2" t="s">
        <v>493</v>
      </c>
      <c r="H18" s="63">
        <v>45003</v>
      </c>
    </row>
    <row r="19" spans="1:11">
      <c r="A19" s="7" t="s">
        <v>421</v>
      </c>
      <c r="B19" s="2" t="s">
        <v>516</v>
      </c>
      <c r="C19" s="2">
        <v>6029</v>
      </c>
      <c r="D19" s="42" t="s">
        <v>34</v>
      </c>
      <c r="E19" s="6" t="s">
        <v>25</v>
      </c>
      <c r="F19" s="16" t="s">
        <v>145</v>
      </c>
      <c r="G19" s="2" t="s">
        <v>493</v>
      </c>
      <c r="H19" s="63">
        <v>45003</v>
      </c>
    </row>
    <row r="20" spans="1:11">
      <c r="A20" s="7" t="s">
        <v>421</v>
      </c>
      <c r="B20" s="2" t="s">
        <v>517</v>
      </c>
      <c r="C20" s="2">
        <v>6030</v>
      </c>
      <c r="D20" s="42" t="s">
        <v>34</v>
      </c>
      <c r="E20" s="6" t="s">
        <v>25</v>
      </c>
      <c r="F20" s="16" t="s">
        <v>145</v>
      </c>
      <c r="G20" s="2" t="s">
        <v>493</v>
      </c>
      <c r="H20" s="63">
        <v>45003</v>
      </c>
    </row>
    <row r="21" spans="1:11">
      <c r="A21" s="7" t="s">
        <v>421</v>
      </c>
      <c r="B21" s="2" t="s">
        <v>531</v>
      </c>
      <c r="C21" s="2">
        <v>6055</v>
      </c>
      <c r="D21" s="42" t="s">
        <v>34</v>
      </c>
      <c r="E21" s="6" t="s">
        <v>25</v>
      </c>
      <c r="F21" s="16" t="s">
        <v>145</v>
      </c>
      <c r="G21" s="2" t="s">
        <v>493</v>
      </c>
      <c r="H21" s="63">
        <v>45024</v>
      </c>
      <c r="J21" s="294" t="s">
        <v>45</v>
      </c>
    </row>
    <row r="22" spans="1:11">
      <c r="A22" s="7" t="s">
        <v>421</v>
      </c>
      <c r="B22" s="2" t="s">
        <v>534</v>
      </c>
      <c r="C22" s="2">
        <v>6063</v>
      </c>
      <c r="D22" s="42" t="s">
        <v>34</v>
      </c>
      <c r="E22" s="6" t="s">
        <v>13</v>
      </c>
      <c r="F22" s="16" t="s">
        <v>145</v>
      </c>
      <c r="G22" s="2" t="s">
        <v>493</v>
      </c>
      <c r="H22" s="63">
        <v>45024</v>
      </c>
      <c r="J22" s="66" t="s">
        <v>520</v>
      </c>
      <c r="K22" s="129">
        <v>45118</v>
      </c>
    </row>
    <row r="23" spans="1:11">
      <c r="A23" s="7" t="s">
        <v>421</v>
      </c>
      <c r="B23" s="2" t="s">
        <v>537</v>
      </c>
      <c r="C23" s="2">
        <v>6069</v>
      </c>
      <c r="D23" s="42" t="s">
        <v>34</v>
      </c>
      <c r="E23" s="6" t="s">
        <v>13</v>
      </c>
      <c r="F23" s="16" t="s">
        <v>145</v>
      </c>
      <c r="G23" s="2" t="s">
        <v>493</v>
      </c>
      <c r="H23" s="63">
        <v>45024</v>
      </c>
      <c r="J23" s="202" t="s">
        <v>522</v>
      </c>
      <c r="K23" s="129">
        <v>45457</v>
      </c>
    </row>
    <row r="24" spans="1:11">
      <c r="A24" s="7" t="s">
        <v>421</v>
      </c>
      <c r="B24" s="2" t="s">
        <v>540</v>
      </c>
      <c r="C24" s="2">
        <v>6083</v>
      </c>
      <c r="D24" s="42" t="s">
        <v>34</v>
      </c>
      <c r="E24" s="6" t="s">
        <v>13</v>
      </c>
      <c r="F24" s="16" t="s">
        <v>145</v>
      </c>
      <c r="G24" s="2" t="s">
        <v>493</v>
      </c>
      <c r="H24" s="63">
        <v>45024</v>
      </c>
      <c r="J24" s="202" t="s">
        <v>524</v>
      </c>
      <c r="K24" s="129">
        <v>45461</v>
      </c>
    </row>
    <row r="25" spans="1:11">
      <c r="A25" s="7" t="s">
        <v>421</v>
      </c>
      <c r="B25" s="2" t="s">
        <v>542</v>
      </c>
      <c r="C25" s="2">
        <v>6089</v>
      </c>
      <c r="D25" s="42" t="s">
        <v>34</v>
      </c>
      <c r="E25" s="6" t="s">
        <v>13</v>
      </c>
      <c r="F25" s="16" t="s">
        <v>145</v>
      </c>
      <c r="G25" s="2" t="s">
        <v>493</v>
      </c>
      <c r="H25" s="63">
        <v>45024</v>
      </c>
      <c r="J25" s="202" t="s">
        <v>526</v>
      </c>
      <c r="K25" s="129">
        <v>45811</v>
      </c>
    </row>
    <row r="26" spans="1:11">
      <c r="A26" s="7" t="s">
        <v>421</v>
      </c>
      <c r="B26" s="2" t="s">
        <v>543</v>
      </c>
      <c r="C26" s="2">
        <v>6090</v>
      </c>
      <c r="D26" s="42" t="s">
        <v>34</v>
      </c>
      <c r="E26" s="6" t="s">
        <v>13</v>
      </c>
      <c r="F26" s="16" t="s">
        <v>145</v>
      </c>
      <c r="G26" s="2" t="s">
        <v>493</v>
      </c>
      <c r="H26" s="63">
        <v>45024</v>
      </c>
    </row>
    <row r="27" spans="1:11">
      <c r="A27" s="7" t="s">
        <v>421</v>
      </c>
      <c r="B27" s="2" t="s">
        <v>547</v>
      </c>
      <c r="C27" s="2">
        <v>6091</v>
      </c>
      <c r="D27" s="42" t="s">
        <v>34</v>
      </c>
      <c r="E27" s="6" t="s">
        <v>13</v>
      </c>
      <c r="F27" s="16" t="s">
        <v>14</v>
      </c>
      <c r="G27" s="2" t="s">
        <v>493</v>
      </c>
      <c r="H27" s="63">
        <v>45003</v>
      </c>
    </row>
    <row r="28" spans="1:11">
      <c r="A28" s="113" t="s">
        <v>421</v>
      </c>
      <c r="B28" s="16" t="s">
        <v>548</v>
      </c>
      <c r="C28" s="2">
        <v>6092</v>
      </c>
      <c r="D28" s="42" t="s">
        <v>34</v>
      </c>
      <c r="E28" s="6" t="s">
        <v>13</v>
      </c>
      <c r="F28" s="2" t="s">
        <v>14</v>
      </c>
      <c r="G28" s="2" t="s">
        <v>493</v>
      </c>
      <c r="H28" s="63">
        <v>45003</v>
      </c>
    </row>
    <row r="29" spans="1:11">
      <c r="A29" s="7" t="s">
        <v>421</v>
      </c>
      <c r="B29" s="2" t="s">
        <v>549</v>
      </c>
      <c r="C29" s="2">
        <v>6094</v>
      </c>
      <c r="D29" s="42" t="s">
        <v>34</v>
      </c>
      <c r="E29" s="6" t="s">
        <v>25</v>
      </c>
      <c r="F29" s="2" t="s">
        <v>14</v>
      </c>
      <c r="G29" s="2" t="s">
        <v>493</v>
      </c>
      <c r="H29" s="63">
        <v>44982</v>
      </c>
    </row>
    <row r="30" spans="1:11">
      <c r="A30" s="7" t="s">
        <v>421</v>
      </c>
      <c r="B30" s="2" t="s">
        <v>550</v>
      </c>
      <c r="C30" s="2">
        <v>6095</v>
      </c>
      <c r="D30" s="42" t="s">
        <v>34</v>
      </c>
      <c r="E30" s="6" t="s">
        <v>25</v>
      </c>
      <c r="F30" s="2" t="s">
        <v>14</v>
      </c>
      <c r="G30" s="2" t="s">
        <v>493</v>
      </c>
      <c r="H30" s="63">
        <v>44982</v>
      </c>
    </row>
    <row r="31" spans="1:11">
      <c r="A31" s="7" t="s">
        <v>421</v>
      </c>
      <c r="B31" s="2" t="s">
        <v>551</v>
      </c>
      <c r="C31" s="2">
        <v>6097</v>
      </c>
      <c r="D31" s="42" t="s">
        <v>34</v>
      </c>
      <c r="E31" s="6" t="s">
        <v>13</v>
      </c>
      <c r="F31" s="2" t="s">
        <v>14</v>
      </c>
      <c r="G31" s="2" t="s">
        <v>493</v>
      </c>
      <c r="H31" s="63">
        <v>44982</v>
      </c>
    </row>
    <row r="32" spans="1:11">
      <c r="A32" s="7" t="s">
        <v>421</v>
      </c>
      <c r="B32" s="2" t="s">
        <v>552</v>
      </c>
      <c r="C32" s="2">
        <v>6098</v>
      </c>
      <c r="D32" s="42" t="s">
        <v>34</v>
      </c>
      <c r="E32" s="6" t="s">
        <v>13</v>
      </c>
      <c r="F32" s="2" t="s">
        <v>14</v>
      </c>
      <c r="G32" s="2" t="s">
        <v>493</v>
      </c>
      <c r="H32" s="63">
        <v>44982</v>
      </c>
    </row>
    <row r="33" spans="1:8">
      <c r="A33" s="7" t="s">
        <v>421</v>
      </c>
      <c r="B33" s="2" t="s">
        <v>553</v>
      </c>
      <c r="C33" s="2">
        <v>6099</v>
      </c>
      <c r="D33" s="42" t="s">
        <v>34</v>
      </c>
      <c r="E33" s="6" t="s">
        <v>13</v>
      </c>
      <c r="F33" s="2" t="s">
        <v>14</v>
      </c>
      <c r="G33" s="2" t="s">
        <v>493</v>
      </c>
      <c r="H33" s="63">
        <v>44982</v>
      </c>
    </row>
    <row r="34" spans="1:8">
      <c r="A34" s="113" t="s">
        <v>421</v>
      </c>
      <c r="B34" s="16" t="s">
        <v>554</v>
      </c>
      <c r="C34" s="16">
        <v>6100</v>
      </c>
      <c r="D34" s="42" t="s">
        <v>34</v>
      </c>
      <c r="E34" s="6" t="s">
        <v>13</v>
      </c>
      <c r="F34" s="16" t="s">
        <v>14</v>
      </c>
      <c r="G34" s="2" t="s">
        <v>493</v>
      </c>
      <c r="H34" s="63">
        <v>44982</v>
      </c>
    </row>
    <row r="35" spans="1:8">
      <c r="A35" s="7" t="s">
        <v>421</v>
      </c>
      <c r="B35" s="2" t="s">
        <v>555</v>
      </c>
      <c r="C35" s="2">
        <v>6102</v>
      </c>
      <c r="D35" s="42" t="s">
        <v>34</v>
      </c>
      <c r="E35" s="6" t="s">
        <v>13</v>
      </c>
      <c r="F35" s="2" t="s">
        <v>14</v>
      </c>
      <c r="G35" s="2" t="s">
        <v>493</v>
      </c>
      <c r="H35" s="63">
        <v>44982</v>
      </c>
    </row>
    <row r="36" spans="1:8">
      <c r="A36" s="113" t="s">
        <v>421</v>
      </c>
      <c r="B36" s="16" t="s">
        <v>556</v>
      </c>
      <c r="C36" s="16">
        <v>6107</v>
      </c>
      <c r="D36" s="42" t="s">
        <v>34</v>
      </c>
      <c r="E36" s="6" t="s">
        <v>13</v>
      </c>
      <c r="F36" s="16" t="s">
        <v>14</v>
      </c>
      <c r="G36" s="2" t="s">
        <v>493</v>
      </c>
      <c r="H36" s="63">
        <v>44982</v>
      </c>
    </row>
    <row r="37" spans="1:8">
      <c r="A37" s="7" t="s">
        <v>421</v>
      </c>
      <c r="B37" s="16" t="s">
        <v>557</v>
      </c>
      <c r="C37" s="2">
        <v>6109</v>
      </c>
      <c r="D37" s="42" t="s">
        <v>34</v>
      </c>
      <c r="E37" s="6" t="s">
        <v>13</v>
      </c>
      <c r="F37" s="2" t="s">
        <v>14</v>
      </c>
      <c r="G37" s="2" t="s">
        <v>493</v>
      </c>
      <c r="H37" s="63">
        <v>44982</v>
      </c>
    </row>
    <row r="38" spans="1:8">
      <c r="A38" s="7" t="s">
        <v>421</v>
      </c>
      <c r="B38" s="16" t="s">
        <v>558</v>
      </c>
      <c r="C38" s="2">
        <v>6110</v>
      </c>
      <c r="D38" s="42" t="s">
        <v>34</v>
      </c>
      <c r="E38" s="6" t="s">
        <v>13</v>
      </c>
      <c r="F38" s="2" t="s">
        <v>14</v>
      </c>
      <c r="G38" s="2" t="s">
        <v>493</v>
      </c>
      <c r="H38" s="63">
        <v>44982</v>
      </c>
    </row>
    <row r="39" spans="1:8">
      <c r="A39" s="7" t="s">
        <v>421</v>
      </c>
      <c r="B39" s="16" t="s">
        <v>559</v>
      </c>
      <c r="C39" s="2">
        <v>6113</v>
      </c>
      <c r="D39" s="42" t="s">
        <v>34</v>
      </c>
      <c r="E39" s="6" t="s">
        <v>13</v>
      </c>
      <c r="F39" s="2" t="s">
        <v>14</v>
      </c>
      <c r="G39" s="2" t="s">
        <v>493</v>
      </c>
      <c r="H39" s="63">
        <v>44982</v>
      </c>
    </row>
    <row r="40" spans="1:8">
      <c r="A40" s="113" t="s">
        <v>421</v>
      </c>
      <c r="B40" s="16" t="s">
        <v>560</v>
      </c>
      <c r="C40" s="16">
        <v>6117</v>
      </c>
      <c r="D40" s="42" t="s">
        <v>34</v>
      </c>
      <c r="E40" s="6" t="s">
        <v>13</v>
      </c>
      <c r="F40" s="16" t="s">
        <v>14</v>
      </c>
      <c r="G40" s="2" t="s">
        <v>493</v>
      </c>
      <c r="H40" s="63">
        <v>44982</v>
      </c>
    </row>
    <row r="41" spans="1:8">
      <c r="A41" s="113" t="s">
        <v>421</v>
      </c>
      <c r="B41" s="16" t="s">
        <v>561</v>
      </c>
      <c r="C41" s="16">
        <v>6118</v>
      </c>
      <c r="D41" s="42" t="s">
        <v>34</v>
      </c>
      <c r="E41" s="6" t="s">
        <v>13</v>
      </c>
      <c r="F41" s="16" t="s">
        <v>14</v>
      </c>
      <c r="G41" s="2" t="s">
        <v>493</v>
      </c>
      <c r="H41" s="63">
        <v>44982</v>
      </c>
    </row>
    <row r="42" spans="1:8">
      <c r="A42" s="113" t="s">
        <v>421</v>
      </c>
      <c r="B42" s="16" t="s">
        <v>562</v>
      </c>
      <c r="C42" s="16">
        <v>6121</v>
      </c>
      <c r="D42" s="42" t="s">
        <v>34</v>
      </c>
      <c r="E42" s="6" t="s">
        <v>13</v>
      </c>
      <c r="F42" s="16" t="s">
        <v>14</v>
      </c>
      <c r="G42" s="2" t="s">
        <v>493</v>
      </c>
      <c r="H42" s="63">
        <v>45003</v>
      </c>
    </row>
    <row r="43" spans="1:8">
      <c r="A43" s="7" t="s">
        <v>421</v>
      </c>
      <c r="B43" s="16" t="s">
        <v>563</v>
      </c>
      <c r="C43" s="2">
        <v>6123</v>
      </c>
      <c r="D43" s="42" t="s">
        <v>34</v>
      </c>
      <c r="E43" s="6" t="s">
        <v>13</v>
      </c>
      <c r="F43" s="2" t="s">
        <v>14</v>
      </c>
      <c r="G43" s="2" t="s">
        <v>493</v>
      </c>
      <c r="H43" s="63">
        <v>44982</v>
      </c>
    </row>
    <row r="44" spans="1:8">
      <c r="A44" s="7" t="s">
        <v>421</v>
      </c>
      <c r="B44" s="16" t="s">
        <v>564</v>
      </c>
      <c r="C44" s="2">
        <v>6126</v>
      </c>
      <c r="D44" s="42" t="s">
        <v>34</v>
      </c>
      <c r="E44" s="6" t="s">
        <v>13</v>
      </c>
      <c r="F44" s="2" t="s">
        <v>14</v>
      </c>
      <c r="G44" s="2" t="s">
        <v>493</v>
      </c>
      <c r="H44" s="63">
        <v>44982</v>
      </c>
    </row>
    <row r="45" spans="1:8">
      <c r="A45" s="7" t="s">
        <v>421</v>
      </c>
      <c r="B45" s="2" t="s">
        <v>565</v>
      </c>
      <c r="C45" s="2">
        <v>6137</v>
      </c>
      <c r="D45" s="42" t="s">
        <v>34</v>
      </c>
      <c r="E45" s="6" t="s">
        <v>13</v>
      </c>
      <c r="F45" s="2" t="s">
        <v>14</v>
      </c>
      <c r="G45" s="2" t="s">
        <v>493</v>
      </c>
      <c r="H45" s="63">
        <v>44982</v>
      </c>
    </row>
    <row r="46" spans="1:8">
      <c r="A46" s="113" t="s">
        <v>421</v>
      </c>
      <c r="B46" s="16" t="s">
        <v>566</v>
      </c>
      <c r="C46" s="16">
        <v>6138</v>
      </c>
      <c r="D46" s="42" t="s">
        <v>34</v>
      </c>
      <c r="E46" s="6" t="s">
        <v>13</v>
      </c>
      <c r="F46" s="16" t="s">
        <v>14</v>
      </c>
      <c r="G46" s="2" t="s">
        <v>493</v>
      </c>
      <c r="H46" s="63">
        <v>44982</v>
      </c>
    </row>
    <row r="47" spans="1:8">
      <c r="A47" s="7" t="s">
        <v>421</v>
      </c>
      <c r="B47" s="16" t="s">
        <v>567</v>
      </c>
      <c r="C47" s="2">
        <v>6140</v>
      </c>
      <c r="D47" s="42" t="s">
        <v>34</v>
      </c>
      <c r="E47" s="6" t="s">
        <v>13</v>
      </c>
      <c r="F47" s="2" t="s">
        <v>14</v>
      </c>
      <c r="G47" s="2" t="s">
        <v>493</v>
      </c>
      <c r="H47" s="63">
        <v>44982</v>
      </c>
    </row>
    <row r="48" spans="1:8">
      <c r="A48" s="7" t="s">
        <v>421</v>
      </c>
      <c r="B48" s="2" t="s">
        <v>568</v>
      </c>
      <c r="C48" s="2">
        <v>6144</v>
      </c>
      <c r="D48" s="42" t="s">
        <v>34</v>
      </c>
      <c r="E48" s="6" t="s">
        <v>13</v>
      </c>
      <c r="F48" s="2" t="s">
        <v>14</v>
      </c>
      <c r="G48" s="2" t="s">
        <v>493</v>
      </c>
      <c r="H48" s="63">
        <v>44982</v>
      </c>
    </row>
    <row r="49" spans="1:8">
      <c r="A49" s="7" t="s">
        <v>421</v>
      </c>
      <c r="B49" s="2" t="s">
        <v>569</v>
      </c>
      <c r="C49" s="2">
        <v>6145</v>
      </c>
      <c r="D49" s="42" t="s">
        <v>34</v>
      </c>
      <c r="E49" s="6" t="s">
        <v>13</v>
      </c>
      <c r="F49" s="2" t="s">
        <v>14</v>
      </c>
      <c r="G49" s="2" t="s">
        <v>493</v>
      </c>
      <c r="H49" s="63">
        <v>44982</v>
      </c>
    </row>
    <row r="50" spans="1:8">
      <c r="A50" s="7" t="s">
        <v>421</v>
      </c>
      <c r="B50" s="2" t="s">
        <v>570</v>
      </c>
      <c r="C50" s="2">
        <v>6146</v>
      </c>
      <c r="D50" s="42" t="s">
        <v>34</v>
      </c>
      <c r="E50" s="6" t="s">
        <v>13</v>
      </c>
      <c r="F50" s="2" t="s">
        <v>14</v>
      </c>
      <c r="G50" s="2" t="s">
        <v>493</v>
      </c>
      <c r="H50" s="63">
        <v>44982</v>
      </c>
    </row>
    <row r="51" spans="1:8">
      <c r="A51" s="7" t="s">
        <v>421</v>
      </c>
      <c r="B51" s="2" t="s">
        <v>571</v>
      </c>
      <c r="C51" s="2">
        <v>6147</v>
      </c>
      <c r="D51" s="42" t="s">
        <v>34</v>
      </c>
      <c r="E51" s="6" t="s">
        <v>13</v>
      </c>
      <c r="F51" s="2" t="s">
        <v>14</v>
      </c>
      <c r="G51" s="2" t="s">
        <v>493</v>
      </c>
      <c r="H51" s="63">
        <v>44982</v>
      </c>
    </row>
    <row r="52" spans="1:8">
      <c r="A52" s="7" t="s">
        <v>421</v>
      </c>
      <c r="B52" s="2" t="s">
        <v>572</v>
      </c>
      <c r="C52" s="2">
        <v>6148</v>
      </c>
      <c r="D52" s="42" t="s">
        <v>34</v>
      </c>
      <c r="E52" s="6" t="s">
        <v>13</v>
      </c>
      <c r="F52" s="2" t="s">
        <v>14</v>
      </c>
      <c r="G52" s="2" t="s">
        <v>493</v>
      </c>
      <c r="H52" s="63">
        <v>44982</v>
      </c>
    </row>
    <row r="53" spans="1:8">
      <c r="A53" s="7" t="s">
        <v>421</v>
      </c>
      <c r="B53" s="16" t="s">
        <v>573</v>
      </c>
      <c r="C53" s="2">
        <v>6149</v>
      </c>
      <c r="D53" s="42" t="s">
        <v>34</v>
      </c>
      <c r="E53" s="6" t="s">
        <v>13</v>
      </c>
      <c r="F53" s="16" t="s">
        <v>14</v>
      </c>
      <c r="G53" s="2" t="s">
        <v>493</v>
      </c>
      <c r="H53" s="63">
        <v>44982</v>
      </c>
    </row>
    <row r="54" spans="1:8">
      <c r="A54" s="7" t="s">
        <v>421</v>
      </c>
      <c r="B54" s="16" t="s">
        <v>574</v>
      </c>
      <c r="C54" s="2">
        <v>6150</v>
      </c>
      <c r="D54" s="42" t="s">
        <v>34</v>
      </c>
      <c r="E54" s="6" t="s">
        <v>13</v>
      </c>
      <c r="F54" s="16" t="s">
        <v>14</v>
      </c>
      <c r="G54" s="2" t="s">
        <v>493</v>
      </c>
      <c r="H54" s="63">
        <v>44982</v>
      </c>
    </row>
    <row r="55" spans="1:8">
      <c r="A55" s="7" t="s">
        <v>421</v>
      </c>
      <c r="B55" s="16" t="s">
        <v>575</v>
      </c>
      <c r="C55" s="2">
        <v>6151</v>
      </c>
      <c r="D55" s="42" t="s">
        <v>34</v>
      </c>
      <c r="E55" s="6" t="s">
        <v>13</v>
      </c>
      <c r="F55" s="16" t="s">
        <v>14</v>
      </c>
      <c r="G55" s="2" t="s">
        <v>493</v>
      </c>
      <c r="H55" s="63">
        <v>44982</v>
      </c>
    </row>
    <row r="56" spans="1:8">
      <c r="A56" s="7" t="s">
        <v>421</v>
      </c>
      <c r="B56" s="16" t="s">
        <v>576</v>
      </c>
      <c r="C56" s="2">
        <v>6152</v>
      </c>
      <c r="D56" s="42" t="s">
        <v>34</v>
      </c>
      <c r="E56" s="6" t="s">
        <v>13</v>
      </c>
      <c r="F56" s="16" t="s">
        <v>14</v>
      </c>
      <c r="G56" s="2" t="s">
        <v>493</v>
      </c>
      <c r="H56" s="63">
        <v>44982</v>
      </c>
    </row>
    <row r="57" spans="1:8">
      <c r="A57" s="113" t="s">
        <v>421</v>
      </c>
      <c r="B57" s="16" t="s">
        <v>577</v>
      </c>
      <c r="C57" s="16">
        <v>6154</v>
      </c>
      <c r="D57" s="42" t="s">
        <v>34</v>
      </c>
      <c r="E57" s="6" t="s">
        <v>13</v>
      </c>
      <c r="F57" s="16" t="s">
        <v>14</v>
      </c>
      <c r="G57" s="2" t="s">
        <v>493</v>
      </c>
      <c r="H57" s="63">
        <v>44982</v>
      </c>
    </row>
    <row r="58" spans="1:8">
      <c r="A58" s="7" t="s">
        <v>421</v>
      </c>
      <c r="B58" s="16" t="s">
        <v>578</v>
      </c>
      <c r="C58" s="2">
        <v>6158</v>
      </c>
      <c r="D58" s="42" t="s">
        <v>34</v>
      </c>
      <c r="E58" s="6" t="s">
        <v>13</v>
      </c>
      <c r="F58" s="2" t="s">
        <v>14</v>
      </c>
      <c r="G58" s="2" t="s">
        <v>493</v>
      </c>
      <c r="H58" s="63">
        <v>44982</v>
      </c>
    </row>
    <row r="59" spans="1:8">
      <c r="A59" s="7" t="s">
        <v>421</v>
      </c>
      <c r="B59" s="16" t="s">
        <v>579</v>
      </c>
      <c r="C59" s="2">
        <v>6159</v>
      </c>
      <c r="D59" s="42" t="s">
        <v>34</v>
      </c>
      <c r="E59" s="6" t="s">
        <v>13</v>
      </c>
      <c r="F59" s="16" t="s">
        <v>14</v>
      </c>
      <c r="G59" s="2" t="s">
        <v>493</v>
      </c>
      <c r="H59" s="63">
        <v>44982</v>
      </c>
    </row>
    <row r="60" spans="1:8">
      <c r="A60" s="7" t="s">
        <v>421</v>
      </c>
      <c r="B60" s="2" t="s">
        <v>463</v>
      </c>
      <c r="C60" s="2">
        <v>6125</v>
      </c>
      <c r="D60" s="42" t="s">
        <v>34</v>
      </c>
      <c r="E60" s="42" t="s">
        <v>13</v>
      </c>
      <c r="F60" s="2" t="s">
        <v>14</v>
      </c>
      <c r="G60" s="2" t="s">
        <v>493</v>
      </c>
      <c r="H60" s="63">
        <v>44982</v>
      </c>
    </row>
    <row r="61" spans="1:8">
      <c r="A61" s="7" t="s">
        <v>421</v>
      </c>
      <c r="B61" s="2" t="s">
        <v>470</v>
      </c>
      <c r="C61" s="2">
        <v>6133</v>
      </c>
      <c r="D61" s="42" t="s">
        <v>34</v>
      </c>
      <c r="E61" s="42" t="s">
        <v>13</v>
      </c>
      <c r="F61" s="2" t="s">
        <v>14</v>
      </c>
      <c r="G61" s="2" t="s">
        <v>493</v>
      </c>
      <c r="H61" s="63">
        <v>44982</v>
      </c>
    </row>
    <row r="62" spans="1:8">
      <c r="A62" s="7" t="s">
        <v>421</v>
      </c>
      <c r="B62" s="16" t="s">
        <v>481</v>
      </c>
      <c r="C62" s="2">
        <v>6157</v>
      </c>
      <c r="D62" s="42" t="s">
        <v>34</v>
      </c>
      <c r="E62" s="42" t="s">
        <v>13</v>
      </c>
      <c r="F62" s="2" t="s">
        <v>14</v>
      </c>
      <c r="G62" s="2" t="s">
        <v>493</v>
      </c>
      <c r="H62" s="63">
        <v>44982</v>
      </c>
    </row>
    <row r="63" spans="1:8">
      <c r="A63" s="113" t="s">
        <v>421</v>
      </c>
      <c r="B63" s="2" t="s">
        <v>580</v>
      </c>
      <c r="C63" s="16">
        <v>7026</v>
      </c>
      <c r="D63" s="42" t="s">
        <v>147</v>
      </c>
      <c r="E63" s="6" t="s">
        <v>25</v>
      </c>
      <c r="F63" s="16" t="s">
        <v>149</v>
      </c>
      <c r="G63" s="2" t="s">
        <v>493</v>
      </c>
      <c r="H63" s="63">
        <v>45003</v>
      </c>
    </row>
    <row r="64" spans="1:8">
      <c r="A64" s="113" t="s">
        <v>421</v>
      </c>
      <c r="B64" s="2" t="s">
        <v>581</v>
      </c>
      <c r="C64" s="16">
        <v>7027</v>
      </c>
      <c r="D64" s="42" t="s">
        <v>147</v>
      </c>
      <c r="E64" s="6" t="s">
        <v>25</v>
      </c>
      <c r="F64" s="16" t="s">
        <v>149</v>
      </c>
      <c r="G64" s="2" t="s">
        <v>493</v>
      </c>
      <c r="H64" s="63">
        <v>45003</v>
      </c>
    </row>
    <row r="65" spans="1:8">
      <c r="A65" s="113" t="s">
        <v>421</v>
      </c>
      <c r="B65" s="2" t="s">
        <v>582</v>
      </c>
      <c r="C65" s="16">
        <v>7029</v>
      </c>
      <c r="D65" s="42" t="s">
        <v>147</v>
      </c>
      <c r="E65" s="6" t="s">
        <v>25</v>
      </c>
      <c r="F65" s="16" t="s">
        <v>149</v>
      </c>
      <c r="G65" s="2" t="s">
        <v>493</v>
      </c>
      <c r="H65" s="63">
        <v>45003</v>
      </c>
    </row>
    <row r="66" spans="1:8">
      <c r="A66" s="113" t="s">
        <v>421</v>
      </c>
      <c r="B66" s="2" t="s">
        <v>584</v>
      </c>
      <c r="C66" s="16">
        <v>7032</v>
      </c>
      <c r="D66" s="42" t="s">
        <v>147</v>
      </c>
      <c r="E66" s="6" t="s">
        <v>13</v>
      </c>
      <c r="F66" s="16" t="s">
        <v>149</v>
      </c>
      <c r="G66" s="2" t="s">
        <v>493</v>
      </c>
      <c r="H66" s="63">
        <v>45003</v>
      </c>
    </row>
    <row r="67" spans="1:8">
      <c r="A67" s="113" t="s">
        <v>421</v>
      </c>
      <c r="B67" s="2" t="s">
        <v>585</v>
      </c>
      <c r="C67" s="16">
        <v>7033</v>
      </c>
      <c r="D67" s="42" t="s">
        <v>147</v>
      </c>
      <c r="E67" s="6" t="s">
        <v>13</v>
      </c>
      <c r="F67" s="16" t="s">
        <v>149</v>
      </c>
      <c r="G67" s="2" t="s">
        <v>493</v>
      </c>
      <c r="H67" s="63">
        <v>45003</v>
      </c>
    </row>
    <row r="68" spans="1:8">
      <c r="A68" s="113" t="s">
        <v>421</v>
      </c>
      <c r="B68" s="2" t="s">
        <v>586</v>
      </c>
      <c r="C68" s="16">
        <v>7034</v>
      </c>
      <c r="D68" s="42" t="s">
        <v>147</v>
      </c>
      <c r="E68" s="6" t="s">
        <v>13</v>
      </c>
      <c r="F68" s="16" t="s">
        <v>149</v>
      </c>
      <c r="G68" s="2" t="s">
        <v>493</v>
      </c>
      <c r="H68" s="63">
        <v>45003</v>
      </c>
    </row>
    <row r="69" spans="1:8">
      <c r="A69" s="113" t="s">
        <v>421</v>
      </c>
      <c r="B69" s="2" t="s">
        <v>587</v>
      </c>
      <c r="C69" s="16">
        <v>7035</v>
      </c>
      <c r="D69" s="42" t="s">
        <v>147</v>
      </c>
      <c r="E69" s="6" t="s">
        <v>13</v>
      </c>
      <c r="F69" s="16" t="s">
        <v>149</v>
      </c>
      <c r="G69" s="2" t="s">
        <v>493</v>
      </c>
      <c r="H69" s="63">
        <v>45003</v>
      </c>
    </row>
    <row r="70" spans="1:8">
      <c r="A70" s="113" t="s">
        <v>421</v>
      </c>
      <c r="B70" s="2" t="s">
        <v>588</v>
      </c>
      <c r="C70" s="16">
        <v>7036</v>
      </c>
      <c r="D70" s="42" t="s">
        <v>147</v>
      </c>
      <c r="E70" s="6" t="s">
        <v>13</v>
      </c>
      <c r="F70" s="16" t="s">
        <v>149</v>
      </c>
      <c r="G70" s="2" t="s">
        <v>493</v>
      </c>
      <c r="H70" s="63">
        <v>45003</v>
      </c>
    </row>
    <row r="71" spans="1:8">
      <c r="A71" s="113" t="s">
        <v>421</v>
      </c>
      <c r="B71" s="2" t="s">
        <v>589</v>
      </c>
      <c r="C71" s="16">
        <v>7037</v>
      </c>
      <c r="D71" s="42" t="s">
        <v>147</v>
      </c>
      <c r="E71" s="6" t="s">
        <v>13</v>
      </c>
      <c r="F71" s="16" t="s">
        <v>149</v>
      </c>
      <c r="G71" s="2" t="s">
        <v>493</v>
      </c>
      <c r="H71" s="63">
        <v>45003</v>
      </c>
    </row>
    <row r="72" spans="1:8">
      <c r="A72" s="113" t="s">
        <v>421</v>
      </c>
      <c r="B72" s="2" t="s">
        <v>590</v>
      </c>
      <c r="C72" s="16">
        <v>7038</v>
      </c>
      <c r="D72" s="42" t="s">
        <v>147</v>
      </c>
      <c r="E72" s="6" t="s">
        <v>13</v>
      </c>
      <c r="F72" s="16" t="s">
        <v>149</v>
      </c>
      <c r="G72" s="2" t="s">
        <v>493</v>
      </c>
      <c r="H72" s="63">
        <v>45003</v>
      </c>
    </row>
    <row r="73" spans="1:8">
      <c r="A73" s="113" t="s">
        <v>421</v>
      </c>
      <c r="B73" s="2" t="s">
        <v>591</v>
      </c>
      <c r="C73" s="16">
        <v>7039</v>
      </c>
      <c r="D73" s="42" t="s">
        <v>147</v>
      </c>
      <c r="E73" s="6" t="s">
        <v>13</v>
      </c>
      <c r="F73" s="16" t="s">
        <v>149</v>
      </c>
      <c r="G73" s="2" t="s">
        <v>493</v>
      </c>
      <c r="H73" s="63">
        <v>45003</v>
      </c>
    </row>
    <row r="74" spans="1:8">
      <c r="A74" s="113" t="s">
        <v>421</v>
      </c>
      <c r="B74" s="2" t="s">
        <v>593</v>
      </c>
      <c r="C74" s="16">
        <v>7045</v>
      </c>
      <c r="D74" s="42" t="s">
        <v>147</v>
      </c>
      <c r="E74" s="6" t="s">
        <v>13</v>
      </c>
      <c r="F74" s="16" t="s">
        <v>149</v>
      </c>
      <c r="G74" s="2" t="s">
        <v>493</v>
      </c>
      <c r="H74" s="63">
        <v>45003</v>
      </c>
    </row>
    <row r="75" spans="1:8">
      <c r="A75" s="113" t="s">
        <v>421</v>
      </c>
      <c r="B75" s="2" t="s">
        <v>594</v>
      </c>
      <c r="C75" s="16">
        <v>7046</v>
      </c>
      <c r="D75" s="42" t="s">
        <v>147</v>
      </c>
      <c r="E75" s="6" t="s">
        <v>13</v>
      </c>
      <c r="F75" s="16" t="s">
        <v>149</v>
      </c>
      <c r="G75" s="2" t="s">
        <v>493</v>
      </c>
      <c r="H75" s="63">
        <v>45003</v>
      </c>
    </row>
    <row r="76" spans="1:8">
      <c r="A76" s="113" t="s">
        <v>421</v>
      </c>
      <c r="B76" s="2" t="s">
        <v>595</v>
      </c>
      <c r="C76" s="16">
        <v>7047</v>
      </c>
      <c r="D76" s="42" t="s">
        <v>147</v>
      </c>
      <c r="E76" s="6" t="s">
        <v>13</v>
      </c>
      <c r="F76" s="16" t="s">
        <v>149</v>
      </c>
      <c r="G76" s="2" t="s">
        <v>493</v>
      </c>
      <c r="H76" s="63">
        <v>45003</v>
      </c>
    </row>
    <row r="77" spans="1:8">
      <c r="A77" s="7" t="s">
        <v>421</v>
      </c>
      <c r="B77" s="2" t="s">
        <v>597</v>
      </c>
      <c r="C77" s="2">
        <v>7049</v>
      </c>
      <c r="D77" s="42" t="s">
        <v>147</v>
      </c>
      <c r="E77" s="6" t="s">
        <v>13</v>
      </c>
      <c r="F77" s="2" t="s">
        <v>149</v>
      </c>
      <c r="G77" s="2" t="s">
        <v>493</v>
      </c>
      <c r="H77" s="63">
        <v>45003</v>
      </c>
    </row>
    <row r="78" spans="1:8">
      <c r="A78" s="113" t="s">
        <v>421</v>
      </c>
      <c r="B78" s="2" t="s">
        <v>598</v>
      </c>
      <c r="C78" s="16">
        <v>7050</v>
      </c>
      <c r="D78" s="42" t="s">
        <v>147</v>
      </c>
      <c r="E78" s="6" t="s">
        <v>13</v>
      </c>
      <c r="F78" s="16" t="s">
        <v>149</v>
      </c>
      <c r="G78" s="2" t="s">
        <v>493</v>
      </c>
      <c r="H78" s="63">
        <v>45003</v>
      </c>
    </row>
    <row r="79" spans="1:8">
      <c r="A79" s="113" t="s">
        <v>421</v>
      </c>
      <c r="B79" s="2" t="s">
        <v>600</v>
      </c>
      <c r="C79" s="16">
        <v>7052</v>
      </c>
      <c r="D79" s="42" t="s">
        <v>147</v>
      </c>
      <c r="E79" s="6" t="s">
        <v>13</v>
      </c>
      <c r="F79" s="16" t="s">
        <v>149</v>
      </c>
      <c r="G79" s="2" t="s">
        <v>493</v>
      </c>
      <c r="H79" s="63">
        <v>45003</v>
      </c>
    </row>
    <row r="80" spans="1:8">
      <c r="A80" s="113" t="s">
        <v>421</v>
      </c>
      <c r="B80" s="2" t="s">
        <v>601</v>
      </c>
      <c r="C80" s="16">
        <v>7053</v>
      </c>
      <c r="D80" s="42" t="s">
        <v>147</v>
      </c>
      <c r="E80" s="6" t="s">
        <v>13</v>
      </c>
      <c r="F80" s="16" t="s">
        <v>149</v>
      </c>
      <c r="G80" s="2" t="s">
        <v>493</v>
      </c>
      <c r="H80" s="63">
        <v>45003</v>
      </c>
    </row>
    <row r="81" spans="1:8">
      <c r="A81" s="113" t="s">
        <v>421</v>
      </c>
      <c r="B81" s="2" t="s">
        <v>602</v>
      </c>
      <c r="C81" s="16">
        <v>7054</v>
      </c>
      <c r="D81" s="42" t="s">
        <v>147</v>
      </c>
      <c r="E81" s="6" t="s">
        <v>13</v>
      </c>
      <c r="F81" s="16" t="s">
        <v>149</v>
      </c>
      <c r="G81" s="2" t="s">
        <v>493</v>
      </c>
      <c r="H81" s="63">
        <v>45003</v>
      </c>
    </row>
    <row r="82" spans="1:8">
      <c r="A82" s="113" t="s">
        <v>421</v>
      </c>
      <c r="B82" s="2" t="s">
        <v>603</v>
      </c>
      <c r="C82" s="16">
        <v>7055</v>
      </c>
      <c r="D82" s="42" t="s">
        <v>147</v>
      </c>
      <c r="E82" s="6" t="s">
        <v>13</v>
      </c>
      <c r="F82" s="16" t="s">
        <v>149</v>
      </c>
      <c r="G82" s="2" t="s">
        <v>493</v>
      </c>
      <c r="H82" s="63">
        <v>45003</v>
      </c>
    </row>
    <row r="83" spans="1:8">
      <c r="A83" s="113" t="s">
        <v>421</v>
      </c>
      <c r="B83" s="2" t="s">
        <v>604</v>
      </c>
      <c r="C83" s="16">
        <v>7056</v>
      </c>
      <c r="D83" s="42" t="s">
        <v>147</v>
      </c>
      <c r="E83" s="6" t="s">
        <v>13</v>
      </c>
      <c r="F83" s="16" t="s">
        <v>149</v>
      </c>
      <c r="G83" s="2" t="s">
        <v>493</v>
      </c>
      <c r="H83" s="63">
        <v>45003</v>
      </c>
    </row>
    <row r="84" spans="1:8">
      <c r="A84" s="113" t="s">
        <v>421</v>
      </c>
      <c r="B84" s="2" t="s">
        <v>605</v>
      </c>
      <c r="C84" s="16">
        <v>7057</v>
      </c>
      <c r="D84" s="42" t="s">
        <v>147</v>
      </c>
      <c r="E84" s="6" t="s">
        <v>13</v>
      </c>
      <c r="F84" s="16" t="s">
        <v>149</v>
      </c>
      <c r="G84" s="2" t="s">
        <v>493</v>
      </c>
      <c r="H84" s="63">
        <v>45003</v>
      </c>
    </row>
    <row r="85" spans="1:8">
      <c r="A85" s="113" t="s">
        <v>421</v>
      </c>
      <c r="B85" s="2" t="s">
        <v>606</v>
      </c>
      <c r="C85" s="16">
        <v>7058</v>
      </c>
      <c r="D85" s="42" t="s">
        <v>147</v>
      </c>
      <c r="E85" s="6" t="s">
        <v>13</v>
      </c>
      <c r="F85" s="16" t="s">
        <v>149</v>
      </c>
      <c r="G85" s="2" t="s">
        <v>493</v>
      </c>
      <c r="H85" s="63">
        <v>45003</v>
      </c>
    </row>
    <row r="86" spans="1:8">
      <c r="A86" s="113" t="s">
        <v>421</v>
      </c>
      <c r="B86" s="2" t="s">
        <v>607</v>
      </c>
      <c r="C86" s="16">
        <v>7060</v>
      </c>
      <c r="D86" s="42" t="s">
        <v>147</v>
      </c>
      <c r="E86" s="6" t="s">
        <v>13</v>
      </c>
      <c r="F86" s="16" t="s">
        <v>149</v>
      </c>
      <c r="G86" s="2" t="s">
        <v>493</v>
      </c>
      <c r="H86" s="63">
        <v>45003</v>
      </c>
    </row>
    <row r="87" spans="1:8">
      <c r="A87" s="113" t="s">
        <v>421</v>
      </c>
      <c r="B87" s="2" t="s">
        <v>608</v>
      </c>
      <c r="C87" s="16">
        <v>7061</v>
      </c>
      <c r="D87" s="42" t="s">
        <v>147</v>
      </c>
      <c r="E87" s="6" t="s">
        <v>13</v>
      </c>
      <c r="F87" s="16" t="s">
        <v>149</v>
      </c>
      <c r="G87" s="2" t="s">
        <v>493</v>
      </c>
      <c r="H87" s="63">
        <v>45003</v>
      </c>
    </row>
    <row r="88" spans="1:8">
      <c r="A88" s="113" t="s">
        <v>421</v>
      </c>
      <c r="B88" s="2" t="s">
        <v>609</v>
      </c>
      <c r="C88" s="16">
        <v>7062</v>
      </c>
      <c r="D88" s="42" t="s">
        <v>147</v>
      </c>
      <c r="E88" s="6" t="s">
        <v>13</v>
      </c>
      <c r="F88" s="16" t="s">
        <v>149</v>
      </c>
      <c r="G88" s="2" t="s">
        <v>493</v>
      </c>
      <c r="H88" s="63">
        <v>45003</v>
      </c>
    </row>
    <row r="89" spans="1:8">
      <c r="A89" s="113" t="s">
        <v>421</v>
      </c>
      <c r="B89" s="2" t="s">
        <v>610</v>
      </c>
      <c r="C89" s="16">
        <v>7063</v>
      </c>
      <c r="D89" s="42" t="s">
        <v>147</v>
      </c>
      <c r="E89" s="6" t="s">
        <v>13</v>
      </c>
      <c r="F89" s="16" t="s">
        <v>149</v>
      </c>
      <c r="G89" s="2" t="s">
        <v>493</v>
      </c>
      <c r="H89" s="63">
        <v>45003</v>
      </c>
    </row>
    <row r="90" spans="1:8">
      <c r="A90" s="113" t="s">
        <v>421</v>
      </c>
      <c r="B90" s="2" t="s">
        <v>611</v>
      </c>
      <c r="C90" s="16">
        <v>7064</v>
      </c>
      <c r="D90" s="42" t="s">
        <v>147</v>
      </c>
      <c r="E90" s="6" t="s">
        <v>13</v>
      </c>
      <c r="F90" s="16" t="s">
        <v>149</v>
      </c>
      <c r="G90" s="2" t="s">
        <v>493</v>
      </c>
      <c r="H90" s="63">
        <v>45003</v>
      </c>
    </row>
    <row r="91" spans="1:8">
      <c r="A91" s="113" t="s">
        <v>421</v>
      </c>
      <c r="B91" s="2" t="s">
        <v>612</v>
      </c>
      <c r="C91" s="16">
        <v>7067</v>
      </c>
      <c r="D91" s="42" t="s">
        <v>147</v>
      </c>
      <c r="E91" s="6" t="s">
        <v>13</v>
      </c>
      <c r="F91" s="16" t="s">
        <v>149</v>
      </c>
      <c r="G91" s="2" t="s">
        <v>493</v>
      </c>
      <c r="H91" s="63">
        <v>45003</v>
      </c>
    </row>
    <row r="92" spans="1:8">
      <c r="A92" s="113" t="s">
        <v>421</v>
      </c>
      <c r="B92" s="2" t="s">
        <v>614</v>
      </c>
      <c r="C92" s="16">
        <v>7070</v>
      </c>
      <c r="D92" s="42" t="s">
        <v>147</v>
      </c>
      <c r="E92" s="6" t="s">
        <v>13</v>
      </c>
      <c r="F92" s="16" t="s">
        <v>149</v>
      </c>
      <c r="G92" s="2" t="s">
        <v>493</v>
      </c>
      <c r="H92" s="63">
        <v>45003</v>
      </c>
    </row>
    <row r="93" spans="1:8">
      <c r="A93" s="113" t="s">
        <v>421</v>
      </c>
      <c r="B93" s="2" t="s">
        <v>615</v>
      </c>
      <c r="C93" s="16">
        <v>7072</v>
      </c>
      <c r="D93" s="42" t="s">
        <v>147</v>
      </c>
      <c r="E93" s="6" t="s">
        <v>13</v>
      </c>
      <c r="F93" s="16" t="s">
        <v>149</v>
      </c>
      <c r="G93" s="2" t="s">
        <v>493</v>
      </c>
      <c r="H93" s="63">
        <v>45003</v>
      </c>
    </row>
    <row r="94" spans="1:8">
      <c r="A94" s="113" t="s">
        <v>421</v>
      </c>
      <c r="B94" s="2" t="s">
        <v>616</v>
      </c>
      <c r="C94" s="16">
        <v>7073</v>
      </c>
      <c r="D94" s="42" t="s">
        <v>147</v>
      </c>
      <c r="E94" s="6" t="s">
        <v>13</v>
      </c>
      <c r="F94" s="16" t="s">
        <v>149</v>
      </c>
      <c r="G94" s="2" t="s">
        <v>493</v>
      </c>
      <c r="H94" s="63">
        <v>45003</v>
      </c>
    </row>
    <row r="95" spans="1:8">
      <c r="A95" s="113" t="s">
        <v>421</v>
      </c>
      <c r="B95" s="2" t="s">
        <v>617</v>
      </c>
      <c r="C95" s="16">
        <v>7074</v>
      </c>
      <c r="D95" s="42" t="s">
        <v>147</v>
      </c>
      <c r="E95" s="6" t="s">
        <v>13</v>
      </c>
      <c r="F95" s="16" t="s">
        <v>149</v>
      </c>
      <c r="G95" s="2" t="s">
        <v>493</v>
      </c>
      <c r="H95" s="63">
        <v>45003</v>
      </c>
    </row>
    <row r="96" spans="1:8">
      <c r="A96" s="113" t="s">
        <v>421</v>
      </c>
      <c r="B96" s="2" t="s">
        <v>618</v>
      </c>
      <c r="C96" s="16">
        <v>7075</v>
      </c>
      <c r="D96" s="42" t="s">
        <v>147</v>
      </c>
      <c r="E96" s="6" t="s">
        <v>13</v>
      </c>
      <c r="F96" s="16" t="s">
        <v>149</v>
      </c>
      <c r="G96" s="2" t="s">
        <v>493</v>
      </c>
      <c r="H96" s="63">
        <v>45003</v>
      </c>
    </row>
    <row r="97" spans="1:10">
      <c r="A97" s="113" t="s">
        <v>421</v>
      </c>
      <c r="B97" s="2" t="s">
        <v>619</v>
      </c>
      <c r="C97" s="16">
        <v>7076</v>
      </c>
      <c r="D97" s="42" t="s">
        <v>147</v>
      </c>
      <c r="E97" s="6" t="s">
        <v>13</v>
      </c>
      <c r="F97" s="16" t="s">
        <v>149</v>
      </c>
      <c r="G97" s="2" t="s">
        <v>493</v>
      </c>
      <c r="H97" s="63">
        <v>45003</v>
      </c>
    </row>
    <row r="98" spans="1:10">
      <c r="A98" s="113" t="s">
        <v>421</v>
      </c>
      <c r="B98" s="2" t="s">
        <v>621</v>
      </c>
      <c r="C98" s="16">
        <v>7078</v>
      </c>
      <c r="D98" s="42" t="s">
        <v>147</v>
      </c>
      <c r="E98" s="6" t="s">
        <v>13</v>
      </c>
      <c r="F98" s="16" t="s">
        <v>149</v>
      </c>
      <c r="G98" s="2" t="s">
        <v>493</v>
      </c>
      <c r="H98" s="63">
        <v>45003</v>
      </c>
    </row>
    <row r="99" spans="1:10">
      <c r="A99" s="113" t="s">
        <v>421</v>
      </c>
      <c r="B99" s="2" t="s">
        <v>622</v>
      </c>
      <c r="C99" s="16">
        <v>7079</v>
      </c>
      <c r="D99" s="42" t="s">
        <v>147</v>
      </c>
      <c r="E99" s="6" t="s">
        <v>13</v>
      </c>
      <c r="F99" s="16" t="s">
        <v>149</v>
      </c>
      <c r="G99" s="2" t="s">
        <v>493</v>
      </c>
      <c r="H99" s="63">
        <v>45003</v>
      </c>
    </row>
    <row r="100" spans="1:10">
      <c r="A100" s="113" t="s">
        <v>421</v>
      </c>
      <c r="B100" s="2" t="s">
        <v>624</v>
      </c>
      <c r="C100" s="16">
        <v>7081</v>
      </c>
      <c r="D100" s="42" t="s">
        <v>147</v>
      </c>
      <c r="E100" s="6" t="s">
        <v>13</v>
      </c>
      <c r="F100" s="16" t="s">
        <v>149</v>
      </c>
      <c r="G100" s="2" t="s">
        <v>493</v>
      </c>
      <c r="H100" s="63">
        <v>45003</v>
      </c>
    </row>
    <row r="101" spans="1:10">
      <c r="A101" s="113" t="s">
        <v>421</v>
      </c>
      <c r="B101" s="2" t="s">
        <v>626</v>
      </c>
      <c r="C101" s="16">
        <v>7083</v>
      </c>
      <c r="D101" s="42" t="s">
        <v>147</v>
      </c>
      <c r="E101" s="6" t="s">
        <v>13</v>
      </c>
      <c r="F101" s="16" t="s">
        <v>149</v>
      </c>
      <c r="G101" s="2" t="s">
        <v>493</v>
      </c>
      <c r="H101" s="63">
        <v>45003</v>
      </c>
    </row>
    <row r="102" spans="1:10">
      <c r="A102" s="113" t="s">
        <v>421</v>
      </c>
      <c r="B102" s="2" t="s">
        <v>628</v>
      </c>
      <c r="C102" s="16">
        <v>7085</v>
      </c>
      <c r="D102" s="42" t="s">
        <v>147</v>
      </c>
      <c r="E102" s="6" t="s">
        <v>13</v>
      </c>
      <c r="F102" s="16" t="s">
        <v>149</v>
      </c>
      <c r="G102" s="2" t="s">
        <v>493</v>
      </c>
      <c r="H102" s="63">
        <v>45003</v>
      </c>
    </row>
    <row r="103" spans="1:10">
      <c r="A103" s="113" t="s">
        <v>421</v>
      </c>
      <c r="B103" s="2" t="s">
        <v>629</v>
      </c>
      <c r="C103" s="16">
        <v>7087</v>
      </c>
      <c r="D103" s="42" t="s">
        <v>147</v>
      </c>
      <c r="E103" s="6" t="s">
        <v>13</v>
      </c>
      <c r="F103" s="16" t="s">
        <v>149</v>
      </c>
      <c r="G103" s="2" t="s">
        <v>493</v>
      </c>
      <c r="H103" s="63">
        <v>45003</v>
      </c>
    </row>
    <row r="104" spans="1:10">
      <c r="A104" s="113" t="s">
        <v>421</v>
      </c>
      <c r="B104" s="2" t="s">
        <v>631</v>
      </c>
      <c r="C104" s="16">
        <v>7090</v>
      </c>
      <c r="D104" s="42" t="s">
        <v>147</v>
      </c>
      <c r="E104" s="6" t="s">
        <v>13</v>
      </c>
      <c r="F104" s="16" t="s">
        <v>149</v>
      </c>
      <c r="G104" s="2" t="s">
        <v>493</v>
      </c>
      <c r="H104" s="63">
        <v>45003</v>
      </c>
    </row>
    <row r="105" spans="1:10">
      <c r="A105" s="113" t="s">
        <v>421</v>
      </c>
      <c r="B105" s="2" t="s">
        <v>632</v>
      </c>
      <c r="C105" s="16">
        <v>7091</v>
      </c>
      <c r="D105" s="42" t="s">
        <v>147</v>
      </c>
      <c r="E105" s="6" t="s">
        <v>13</v>
      </c>
      <c r="F105" s="16" t="s">
        <v>149</v>
      </c>
      <c r="G105" s="2" t="s">
        <v>493</v>
      </c>
      <c r="H105" s="63">
        <v>45003</v>
      </c>
    </row>
    <row r="106" spans="1:10">
      <c r="A106" s="113" t="s">
        <v>421</v>
      </c>
      <c r="B106" s="2" t="s">
        <v>633</v>
      </c>
      <c r="C106" s="16">
        <v>7092</v>
      </c>
      <c r="D106" s="42" t="s">
        <v>147</v>
      </c>
      <c r="E106" s="6" t="s">
        <v>13</v>
      </c>
      <c r="F106" s="16" t="s">
        <v>149</v>
      </c>
      <c r="G106" s="2" t="s">
        <v>493</v>
      </c>
      <c r="H106" s="63">
        <v>45003</v>
      </c>
    </row>
    <row r="107" spans="1:10">
      <c r="A107" s="113" t="s">
        <v>421</v>
      </c>
      <c r="B107" s="2" t="s">
        <v>634</v>
      </c>
      <c r="C107" s="16">
        <v>7093</v>
      </c>
      <c r="D107" s="42" t="s">
        <v>147</v>
      </c>
      <c r="E107" s="6" t="s">
        <v>13</v>
      </c>
      <c r="F107" s="16" t="s">
        <v>149</v>
      </c>
      <c r="G107" s="2" t="s">
        <v>493</v>
      </c>
      <c r="H107" s="63">
        <v>45003</v>
      </c>
    </row>
    <row r="108" spans="1:10">
      <c r="A108" s="113" t="s">
        <v>421</v>
      </c>
      <c r="B108" s="2" t="s">
        <v>635</v>
      </c>
      <c r="C108" s="16">
        <v>7095</v>
      </c>
      <c r="D108" s="42" t="s">
        <v>147</v>
      </c>
      <c r="E108" s="6" t="s">
        <v>13</v>
      </c>
      <c r="F108" s="16" t="s">
        <v>149</v>
      </c>
      <c r="G108" s="2" t="s">
        <v>493</v>
      </c>
      <c r="H108" s="63">
        <v>45003</v>
      </c>
    </row>
    <row r="109" spans="1:10">
      <c r="A109" s="113" t="s">
        <v>421</v>
      </c>
      <c r="B109" s="2" t="s">
        <v>636</v>
      </c>
      <c r="C109" s="16">
        <v>7096</v>
      </c>
      <c r="D109" s="42" t="s">
        <v>147</v>
      </c>
      <c r="E109" s="6" t="s">
        <v>13</v>
      </c>
      <c r="F109" s="16" t="s">
        <v>149</v>
      </c>
      <c r="G109" s="2" t="s">
        <v>493</v>
      </c>
      <c r="H109" s="63">
        <v>45003</v>
      </c>
    </row>
    <row r="110" spans="1:10">
      <c r="A110" s="113" t="s">
        <v>421</v>
      </c>
      <c r="B110" s="2" t="s">
        <v>637</v>
      </c>
      <c r="C110" s="16">
        <v>7097</v>
      </c>
      <c r="D110" s="42" t="s">
        <v>147</v>
      </c>
      <c r="E110" s="6" t="s">
        <v>13</v>
      </c>
      <c r="F110" s="16" t="s">
        <v>149</v>
      </c>
      <c r="G110" s="2" t="s">
        <v>493</v>
      </c>
      <c r="H110" s="63">
        <v>45003</v>
      </c>
    </row>
    <row r="111" spans="1:10">
      <c r="A111" s="113" t="s">
        <v>421</v>
      </c>
      <c r="B111" s="2" t="s">
        <v>638</v>
      </c>
      <c r="C111" s="16">
        <v>7099</v>
      </c>
      <c r="D111" s="42" t="s">
        <v>147</v>
      </c>
      <c r="E111" s="6" t="s">
        <v>13</v>
      </c>
      <c r="F111" s="16" t="s">
        <v>149</v>
      </c>
      <c r="G111" s="2" t="s">
        <v>493</v>
      </c>
      <c r="H111" s="8">
        <v>45003</v>
      </c>
    </row>
    <row r="112" spans="1:10">
      <c r="A112" s="113" t="s">
        <v>421</v>
      </c>
      <c r="B112" s="2" t="s">
        <v>639</v>
      </c>
      <c r="C112" s="16">
        <v>7100</v>
      </c>
      <c r="D112" s="42" t="s">
        <v>147</v>
      </c>
      <c r="E112" s="6" t="s">
        <v>13</v>
      </c>
      <c r="F112" s="16" t="s">
        <v>149</v>
      </c>
      <c r="G112" s="2" t="s">
        <v>493</v>
      </c>
      <c r="H112" s="8">
        <v>45003</v>
      </c>
      <c r="J112" s="64"/>
    </row>
    <row r="113" spans="1:10">
      <c r="A113" s="113" t="s">
        <v>421</v>
      </c>
      <c r="B113" s="2" t="s">
        <v>640</v>
      </c>
      <c r="C113" s="16">
        <v>7101</v>
      </c>
      <c r="D113" s="42" t="s">
        <v>147</v>
      </c>
      <c r="E113" s="6" t="s">
        <v>13</v>
      </c>
      <c r="F113" s="16" t="s">
        <v>149</v>
      </c>
      <c r="G113" s="2" t="s">
        <v>493</v>
      </c>
      <c r="H113" s="8">
        <v>45003</v>
      </c>
      <c r="J113" s="64"/>
    </row>
    <row r="114" spans="1:10">
      <c r="A114" s="7" t="s">
        <v>421</v>
      </c>
      <c r="B114" s="2" t="s">
        <v>641</v>
      </c>
      <c r="C114" s="2">
        <v>7102</v>
      </c>
      <c r="D114" s="42" t="s">
        <v>147</v>
      </c>
      <c r="E114" s="6" t="s">
        <v>13</v>
      </c>
      <c r="F114" s="2" t="s">
        <v>149</v>
      </c>
      <c r="G114" s="2" t="s">
        <v>493</v>
      </c>
      <c r="H114" s="334">
        <v>45003</v>
      </c>
      <c r="J114" s="64"/>
    </row>
    <row r="115" spans="1:10">
      <c r="A115" s="113" t="s">
        <v>421</v>
      </c>
      <c r="B115" s="2" t="s">
        <v>642</v>
      </c>
      <c r="C115" s="16">
        <v>7103</v>
      </c>
      <c r="D115" s="42" t="s">
        <v>147</v>
      </c>
      <c r="E115" s="6" t="s">
        <v>13</v>
      </c>
      <c r="F115" s="16" t="s">
        <v>149</v>
      </c>
      <c r="G115" s="2" t="s">
        <v>493</v>
      </c>
      <c r="H115" s="334">
        <v>45003</v>
      </c>
      <c r="J115" s="64"/>
    </row>
    <row r="116" spans="1:10">
      <c r="A116" s="113" t="s">
        <v>421</v>
      </c>
      <c r="B116" s="2" t="s">
        <v>643</v>
      </c>
      <c r="C116" s="16">
        <v>7104</v>
      </c>
      <c r="D116" s="42" t="s">
        <v>147</v>
      </c>
      <c r="E116" s="6" t="s">
        <v>13</v>
      </c>
      <c r="F116" s="16" t="s">
        <v>149</v>
      </c>
      <c r="G116" s="2" t="s">
        <v>493</v>
      </c>
      <c r="H116" s="342">
        <v>45003</v>
      </c>
      <c r="J116" s="64"/>
    </row>
    <row r="117" spans="1:10">
      <c r="A117" s="113" t="s">
        <v>421</v>
      </c>
      <c r="B117" s="2" t="s">
        <v>644</v>
      </c>
      <c r="C117" s="16">
        <v>7105</v>
      </c>
      <c r="D117" s="42" t="s">
        <v>147</v>
      </c>
      <c r="E117" s="6" t="s">
        <v>13</v>
      </c>
      <c r="F117" s="16" t="s">
        <v>149</v>
      </c>
      <c r="G117" s="2" t="s">
        <v>493</v>
      </c>
      <c r="H117" s="342">
        <v>45003</v>
      </c>
      <c r="J117" s="64"/>
    </row>
    <row r="118" spans="1:10">
      <c r="A118" s="113" t="s">
        <v>421</v>
      </c>
      <c r="B118" s="2" t="s">
        <v>645</v>
      </c>
      <c r="C118" s="16">
        <v>7106</v>
      </c>
      <c r="D118" s="42" t="s">
        <v>147</v>
      </c>
      <c r="E118" s="6" t="s">
        <v>13</v>
      </c>
      <c r="F118" s="16" t="s">
        <v>149</v>
      </c>
      <c r="G118" s="2" t="s">
        <v>493</v>
      </c>
      <c r="H118" s="342">
        <v>45003</v>
      </c>
      <c r="J118" s="64"/>
    </row>
    <row r="119" spans="1:10">
      <c r="A119" s="113" t="s">
        <v>421</v>
      </c>
      <c r="B119" s="2" t="s">
        <v>646</v>
      </c>
      <c r="C119" s="16">
        <v>7107</v>
      </c>
      <c r="D119" s="42" t="s">
        <v>147</v>
      </c>
      <c r="E119" s="6" t="s">
        <v>13</v>
      </c>
      <c r="F119" s="16" t="s">
        <v>149</v>
      </c>
      <c r="G119" s="2" t="s">
        <v>493</v>
      </c>
      <c r="H119" s="63">
        <v>45003</v>
      </c>
      <c r="J119" s="64"/>
    </row>
    <row r="120" spans="1:10">
      <c r="A120" s="113" t="s">
        <v>421</v>
      </c>
      <c r="B120" s="2" t="s">
        <v>647</v>
      </c>
      <c r="C120" s="16">
        <v>7109</v>
      </c>
      <c r="D120" s="42" t="s">
        <v>147</v>
      </c>
      <c r="E120" s="6" t="s">
        <v>13</v>
      </c>
      <c r="F120" s="16" t="s">
        <v>149</v>
      </c>
      <c r="G120" s="2" t="s">
        <v>493</v>
      </c>
      <c r="H120" s="63">
        <v>45003</v>
      </c>
      <c r="J120" s="64"/>
    </row>
    <row r="121" spans="1:10">
      <c r="A121" s="7" t="s">
        <v>421</v>
      </c>
      <c r="B121" s="2" t="s">
        <v>648</v>
      </c>
      <c r="C121" s="2">
        <v>7110</v>
      </c>
      <c r="D121" s="42" t="s">
        <v>147</v>
      </c>
      <c r="E121" s="6" t="s">
        <v>13</v>
      </c>
      <c r="F121" s="2" t="s">
        <v>149</v>
      </c>
      <c r="G121" s="2" t="s">
        <v>493</v>
      </c>
      <c r="H121" s="63">
        <v>45003</v>
      </c>
      <c r="J121" s="64"/>
    </row>
    <row r="122" spans="1:10">
      <c r="A122" s="113" t="s">
        <v>421</v>
      </c>
      <c r="B122" s="2" t="s">
        <v>649</v>
      </c>
      <c r="C122" s="16">
        <v>7111</v>
      </c>
      <c r="D122" s="42" t="s">
        <v>147</v>
      </c>
      <c r="E122" s="6" t="s">
        <v>13</v>
      </c>
      <c r="F122" s="16" t="s">
        <v>149</v>
      </c>
      <c r="G122" s="2" t="s">
        <v>493</v>
      </c>
      <c r="H122" s="63">
        <v>45003</v>
      </c>
    </row>
    <row r="123" spans="1:10">
      <c r="A123" s="113" t="s">
        <v>421</v>
      </c>
      <c r="B123" s="2" t="s">
        <v>650</v>
      </c>
      <c r="C123" s="16">
        <v>7112</v>
      </c>
      <c r="D123" s="42" t="s">
        <v>147</v>
      </c>
      <c r="E123" s="6" t="s">
        <v>13</v>
      </c>
      <c r="F123" s="16" t="s">
        <v>149</v>
      </c>
      <c r="G123" s="2" t="s">
        <v>493</v>
      </c>
      <c r="H123" s="63">
        <v>45003</v>
      </c>
    </row>
    <row r="124" spans="1:10">
      <c r="A124" s="113" t="s">
        <v>421</v>
      </c>
      <c r="B124" s="2" t="s">
        <v>651</v>
      </c>
      <c r="C124" s="2">
        <v>7113</v>
      </c>
      <c r="D124" s="42" t="s">
        <v>147</v>
      </c>
      <c r="E124" s="6" t="s">
        <v>13</v>
      </c>
      <c r="F124" s="16" t="s">
        <v>149</v>
      </c>
      <c r="G124" s="2" t="s">
        <v>493</v>
      </c>
      <c r="H124" s="63">
        <v>45003</v>
      </c>
    </row>
    <row r="125" spans="1:10">
      <c r="A125" s="113" t="s">
        <v>421</v>
      </c>
      <c r="B125" s="2" t="s">
        <v>652</v>
      </c>
      <c r="C125" s="2">
        <v>7114</v>
      </c>
      <c r="D125" s="42" t="s">
        <v>147</v>
      </c>
      <c r="E125" s="6" t="s">
        <v>13</v>
      </c>
      <c r="F125" s="16" t="s">
        <v>149</v>
      </c>
      <c r="G125" s="2" t="s">
        <v>493</v>
      </c>
      <c r="H125" s="63">
        <v>45003</v>
      </c>
    </row>
    <row r="126" spans="1:10">
      <c r="A126" s="113" t="s">
        <v>421</v>
      </c>
      <c r="B126" s="2" t="s">
        <v>653</v>
      </c>
      <c r="C126" s="2">
        <v>7115</v>
      </c>
      <c r="D126" s="42" t="s">
        <v>147</v>
      </c>
      <c r="E126" s="6" t="s">
        <v>13</v>
      </c>
      <c r="F126" s="16" t="s">
        <v>149</v>
      </c>
      <c r="G126" s="2" t="s">
        <v>493</v>
      </c>
      <c r="H126" s="63">
        <v>45003</v>
      </c>
    </row>
    <row r="127" spans="1:10">
      <c r="A127" s="113" t="s">
        <v>421</v>
      </c>
      <c r="B127" s="2" t="s">
        <v>654</v>
      </c>
      <c r="C127" s="2">
        <v>7116</v>
      </c>
      <c r="D127" s="42" t="s">
        <v>147</v>
      </c>
      <c r="E127" s="6" t="s">
        <v>13</v>
      </c>
      <c r="F127" s="16" t="s">
        <v>149</v>
      </c>
      <c r="G127" s="2" t="s">
        <v>493</v>
      </c>
      <c r="H127" s="63">
        <v>45003</v>
      </c>
    </row>
    <row r="128" spans="1:10">
      <c r="A128" s="113" t="s">
        <v>421</v>
      </c>
      <c r="B128" s="2" t="s">
        <v>655</v>
      </c>
      <c r="C128" s="2">
        <v>7117</v>
      </c>
      <c r="D128" s="42" t="s">
        <v>147</v>
      </c>
      <c r="E128" s="6" t="s">
        <v>13</v>
      </c>
      <c r="F128" s="16" t="s">
        <v>149</v>
      </c>
      <c r="G128" s="2" t="s">
        <v>493</v>
      </c>
      <c r="H128" s="63">
        <v>45003</v>
      </c>
    </row>
    <row r="129" spans="1:8">
      <c r="A129" s="113" t="s">
        <v>421</v>
      </c>
      <c r="B129" s="2" t="s">
        <v>656</v>
      </c>
      <c r="C129" s="2">
        <v>7118</v>
      </c>
      <c r="D129" s="42" t="s">
        <v>147</v>
      </c>
      <c r="E129" s="6" t="s">
        <v>13</v>
      </c>
      <c r="F129" s="16" t="s">
        <v>149</v>
      </c>
      <c r="G129" s="2" t="s">
        <v>493</v>
      </c>
      <c r="H129" s="63">
        <v>45003</v>
      </c>
    </row>
    <row r="130" spans="1:8">
      <c r="A130" s="326" t="s">
        <v>421</v>
      </c>
      <c r="B130" s="13" t="s">
        <v>657</v>
      </c>
      <c r="C130" s="13">
        <v>7119</v>
      </c>
      <c r="D130" s="43" t="s">
        <v>147</v>
      </c>
      <c r="E130" s="46" t="s">
        <v>13</v>
      </c>
      <c r="F130" s="38" t="s">
        <v>149</v>
      </c>
      <c r="G130" s="13" t="s">
        <v>493</v>
      </c>
      <c r="H130" s="63">
        <v>45003</v>
      </c>
    </row>
    <row r="131" spans="1:8">
      <c r="A131" s="113" t="s">
        <v>421</v>
      </c>
      <c r="B131" s="2" t="s">
        <v>658</v>
      </c>
      <c r="C131" s="2">
        <v>7120</v>
      </c>
      <c r="D131" s="43" t="s">
        <v>147</v>
      </c>
      <c r="E131" s="6" t="s">
        <v>13</v>
      </c>
      <c r="F131" s="16" t="s">
        <v>149</v>
      </c>
      <c r="G131" s="2" t="s">
        <v>493</v>
      </c>
      <c r="H131" s="63">
        <v>45003</v>
      </c>
    </row>
    <row r="132" spans="1:8">
      <c r="A132" s="113" t="s">
        <v>421</v>
      </c>
      <c r="B132" s="2" t="s">
        <v>659</v>
      </c>
      <c r="C132" s="2">
        <v>6161</v>
      </c>
      <c r="D132" s="43" t="s">
        <v>34</v>
      </c>
      <c r="E132" s="6" t="s">
        <v>25</v>
      </c>
      <c r="F132" s="2" t="s">
        <v>14</v>
      </c>
      <c r="G132" s="2" t="s">
        <v>493</v>
      </c>
      <c r="H132" s="63">
        <v>45407</v>
      </c>
    </row>
    <row r="133" spans="1:8">
      <c r="A133" s="12" t="s">
        <v>421</v>
      </c>
      <c r="B133" s="13" t="s">
        <v>660</v>
      </c>
      <c r="C133" s="13">
        <v>7197</v>
      </c>
      <c r="D133" s="43" t="s">
        <v>147</v>
      </c>
      <c r="E133" s="46" t="s">
        <v>25</v>
      </c>
      <c r="F133" s="13" t="s">
        <v>149</v>
      </c>
      <c r="G133" s="2" t="s">
        <v>493</v>
      </c>
      <c r="H133" s="63">
        <v>45695</v>
      </c>
    </row>
    <row r="134" spans="1:8">
      <c r="A134" s="12" t="s">
        <v>421</v>
      </c>
      <c r="B134" s="13" t="s">
        <v>661</v>
      </c>
      <c r="C134" s="13">
        <v>7198</v>
      </c>
      <c r="D134" s="43" t="s">
        <v>147</v>
      </c>
      <c r="E134" s="46" t="s">
        <v>13</v>
      </c>
      <c r="F134" s="13" t="s">
        <v>149</v>
      </c>
      <c r="G134" s="2" t="s">
        <v>493</v>
      </c>
      <c r="H134" s="63">
        <v>45694</v>
      </c>
    </row>
    <row r="135" spans="1:8">
      <c r="A135" s="12" t="s">
        <v>421</v>
      </c>
      <c r="B135" s="13" t="s">
        <v>662</v>
      </c>
      <c r="C135" s="13">
        <v>7199</v>
      </c>
      <c r="D135" s="43" t="s">
        <v>147</v>
      </c>
      <c r="E135" s="46" t="s">
        <v>13</v>
      </c>
      <c r="F135" s="13" t="s">
        <v>149</v>
      </c>
      <c r="G135" s="2" t="s">
        <v>493</v>
      </c>
      <c r="H135" s="63">
        <v>45695</v>
      </c>
    </row>
    <row r="136" spans="1:8">
      <c r="A136" s="7" t="s">
        <v>421</v>
      </c>
      <c r="B136" s="2" t="s">
        <v>671</v>
      </c>
      <c r="C136" s="2">
        <v>6081</v>
      </c>
      <c r="D136" s="42" t="s">
        <v>34</v>
      </c>
      <c r="E136" s="6" t="s">
        <v>13</v>
      </c>
      <c r="F136" s="2" t="s">
        <v>145</v>
      </c>
      <c r="G136" s="2" t="s">
        <v>493</v>
      </c>
      <c r="H136" s="8">
        <v>45024</v>
      </c>
    </row>
    <row r="137" spans="1:8">
      <c r="A137" s="12" t="s">
        <v>421</v>
      </c>
      <c r="B137" s="13" t="s">
        <v>672</v>
      </c>
      <c r="C137" s="13">
        <v>6085</v>
      </c>
      <c r="D137" s="43" t="s">
        <v>34</v>
      </c>
      <c r="E137" s="46" t="s">
        <v>13</v>
      </c>
      <c r="F137" s="13" t="s">
        <v>145</v>
      </c>
      <c r="G137" s="2" t="s">
        <v>493</v>
      </c>
      <c r="H137" s="14">
        <v>45024</v>
      </c>
    </row>
    <row r="138" spans="1:8">
      <c r="A138" s="335" t="s">
        <v>421</v>
      </c>
      <c r="B138" s="328" t="s">
        <v>812</v>
      </c>
      <c r="C138" s="330">
        <v>7031</v>
      </c>
      <c r="D138" s="329" t="s">
        <v>147</v>
      </c>
      <c r="E138" s="336" t="s">
        <v>13</v>
      </c>
      <c r="F138" s="330" t="s">
        <v>149</v>
      </c>
      <c r="G138" s="328" t="s">
        <v>493</v>
      </c>
      <c r="H138" s="337">
        <v>45003</v>
      </c>
    </row>
    <row r="139" spans="1:8">
      <c r="A139" s="327" t="s">
        <v>421</v>
      </c>
      <c r="B139" s="328" t="s">
        <v>813</v>
      </c>
      <c r="C139" s="328">
        <v>7041</v>
      </c>
      <c r="D139" s="329" t="s">
        <v>147</v>
      </c>
      <c r="E139" s="336" t="s">
        <v>13</v>
      </c>
      <c r="F139" s="328" t="s">
        <v>149</v>
      </c>
      <c r="G139" s="328" t="s">
        <v>493</v>
      </c>
      <c r="H139" s="337">
        <v>45003</v>
      </c>
    </row>
    <row r="140" spans="1:8">
      <c r="A140" s="327" t="s">
        <v>421</v>
      </c>
      <c r="B140" s="328" t="s">
        <v>814</v>
      </c>
      <c r="C140" s="328">
        <v>7043</v>
      </c>
      <c r="D140" s="329" t="s">
        <v>147</v>
      </c>
      <c r="E140" s="336" t="s">
        <v>13</v>
      </c>
      <c r="F140" s="328" t="s">
        <v>149</v>
      </c>
      <c r="G140" s="328" t="s">
        <v>493</v>
      </c>
      <c r="H140" s="337">
        <v>45003</v>
      </c>
    </row>
    <row r="141" spans="1:8">
      <c r="A141" s="335" t="s">
        <v>421</v>
      </c>
      <c r="B141" s="328" t="s">
        <v>815</v>
      </c>
      <c r="C141" s="330">
        <v>7044</v>
      </c>
      <c r="D141" s="329" t="s">
        <v>147</v>
      </c>
      <c r="E141" s="336" t="s">
        <v>13</v>
      </c>
      <c r="F141" s="330" t="s">
        <v>149</v>
      </c>
      <c r="G141" s="328" t="s">
        <v>493</v>
      </c>
      <c r="H141" s="337">
        <v>45003</v>
      </c>
    </row>
    <row r="142" spans="1:8">
      <c r="A142" s="331" t="s">
        <v>421</v>
      </c>
      <c r="B142" s="332" t="s">
        <v>817</v>
      </c>
      <c r="C142" s="332">
        <v>7065</v>
      </c>
      <c r="D142" s="333" t="s">
        <v>147</v>
      </c>
      <c r="E142" s="338" t="s">
        <v>13</v>
      </c>
      <c r="F142" s="332" t="s">
        <v>149</v>
      </c>
      <c r="G142" s="328" t="s">
        <v>493</v>
      </c>
      <c r="H142" s="337">
        <v>45003</v>
      </c>
    </row>
  </sheetData>
  <phoneticPr fontId="6" type="noConversion"/>
  <pageMargins left="0.7" right="0.7" top="0.75" bottom="0.75" header="0.3" footer="0.3"/>
  <pageSetup orientation="landscape" horizontalDpi="300" verticalDpi="30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294D-24CB-4B48-A09A-5BAF5D6AC42B}">
  <sheetPr codeName="Hoja7"/>
  <dimension ref="A1:K173"/>
  <sheetViews>
    <sheetView topLeftCell="A57" zoomScale="82" zoomScaleNormal="80" workbookViewId="0">
      <selection activeCell="C79" sqref="C79"/>
    </sheetView>
  </sheetViews>
  <sheetFormatPr baseColWidth="10" defaultColWidth="11.42578125" defaultRowHeight="15"/>
  <cols>
    <col min="1" max="1" width="15.140625" bestFit="1" customWidth="1"/>
    <col min="2" max="2" width="12.140625" bestFit="1" customWidth="1"/>
    <col min="3" max="3" width="14.7109375" bestFit="1" customWidth="1"/>
    <col min="4" max="4" width="15" bestFit="1" customWidth="1"/>
    <col min="5" max="5" width="16.85546875" bestFit="1" customWidth="1"/>
    <col min="6" max="6" width="20" bestFit="1" customWidth="1"/>
    <col min="7" max="7" width="18.7109375" bestFit="1" customWidth="1"/>
    <col min="8" max="8" width="20.5703125" bestFit="1" customWidth="1"/>
    <col min="9" max="9" width="13.42578125" customWidth="1"/>
    <col min="10" max="10" width="19.42578125" bestFit="1" customWidth="1"/>
    <col min="11" max="11" width="10.5703125" bestFit="1" customWidth="1"/>
    <col min="12" max="12" width="16.140625" bestFit="1" customWidth="1"/>
  </cols>
  <sheetData>
    <row r="1" spans="1:11">
      <c r="A1" s="9" t="s">
        <v>0</v>
      </c>
      <c r="B1" s="10" t="s">
        <v>87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37"/>
      <c r="J1" s="1" t="s">
        <v>8</v>
      </c>
      <c r="K1" s="1" t="s">
        <v>9</v>
      </c>
    </row>
    <row r="2" spans="1:11">
      <c r="A2" s="7" t="s">
        <v>421</v>
      </c>
      <c r="B2" s="2" t="s">
        <v>663</v>
      </c>
      <c r="C2" s="2">
        <v>6031</v>
      </c>
      <c r="D2" s="42" t="s">
        <v>34</v>
      </c>
      <c r="E2" s="6" t="s">
        <v>13</v>
      </c>
      <c r="F2" s="2" t="s">
        <v>145</v>
      </c>
      <c r="G2" s="2" t="s">
        <v>674</v>
      </c>
      <c r="H2" s="8">
        <f>_xlfn.XLOOKUP(OMJNT[[#This Row],[PLACA]],DitrbFlota[PLACA],DitrbFlota[Inicio Operación])</f>
        <v>45003</v>
      </c>
      <c r="I2" s="37"/>
      <c r="J2" s="5" t="s">
        <v>494</v>
      </c>
      <c r="K2" s="5" t="s">
        <v>675</v>
      </c>
    </row>
    <row r="3" spans="1:11">
      <c r="A3" s="7" t="s">
        <v>421</v>
      </c>
      <c r="B3" s="2" t="s">
        <v>673</v>
      </c>
      <c r="C3" s="2">
        <v>6032</v>
      </c>
      <c r="D3" s="42" t="s">
        <v>34</v>
      </c>
      <c r="E3" s="6" t="s">
        <v>13</v>
      </c>
      <c r="F3" s="16" t="s">
        <v>145</v>
      </c>
      <c r="G3" s="2" t="s">
        <v>674</v>
      </c>
      <c r="H3" s="8">
        <v>45024</v>
      </c>
      <c r="I3" s="37"/>
      <c r="J3" s="5" t="s">
        <v>19</v>
      </c>
      <c r="K3" s="5" t="s">
        <v>677</v>
      </c>
    </row>
    <row r="4" spans="1:11">
      <c r="A4" s="327" t="s">
        <v>421</v>
      </c>
      <c r="B4" s="328" t="s">
        <v>664</v>
      </c>
      <c r="C4" s="328">
        <v>6033</v>
      </c>
      <c r="D4" s="329" t="s">
        <v>34</v>
      </c>
      <c r="E4" s="336" t="s">
        <v>13</v>
      </c>
      <c r="F4" s="330" t="s">
        <v>145</v>
      </c>
      <c r="G4" s="328" t="s">
        <v>674</v>
      </c>
      <c r="H4" s="340">
        <v>45003</v>
      </c>
      <c r="I4" s="37"/>
      <c r="J4" s="5" t="s">
        <v>19</v>
      </c>
      <c r="K4" s="5" t="s">
        <v>679</v>
      </c>
    </row>
    <row r="5" spans="1:11">
      <c r="A5" s="7" t="s">
        <v>421</v>
      </c>
      <c r="B5" s="2" t="s">
        <v>676</v>
      </c>
      <c r="C5" s="2">
        <v>6034</v>
      </c>
      <c r="D5" s="42" t="s">
        <v>34</v>
      </c>
      <c r="E5" s="6" t="s">
        <v>13</v>
      </c>
      <c r="F5" s="16" t="s">
        <v>145</v>
      </c>
      <c r="G5" s="2" t="s">
        <v>674</v>
      </c>
      <c r="H5" s="8">
        <v>45003</v>
      </c>
      <c r="I5" s="37"/>
      <c r="J5" s="5" t="s">
        <v>19</v>
      </c>
      <c r="K5" s="5" t="s">
        <v>681</v>
      </c>
    </row>
    <row r="6" spans="1:11">
      <c r="A6" s="7" t="s">
        <v>421</v>
      </c>
      <c r="B6" s="2" t="s">
        <v>678</v>
      </c>
      <c r="C6" s="2">
        <v>6035</v>
      </c>
      <c r="D6" s="42" t="s">
        <v>34</v>
      </c>
      <c r="E6" s="6" t="s">
        <v>13</v>
      </c>
      <c r="F6" s="16" t="s">
        <v>145</v>
      </c>
      <c r="G6" s="2" t="s">
        <v>674</v>
      </c>
      <c r="H6" s="8">
        <v>45003</v>
      </c>
      <c r="I6" s="37"/>
    </row>
    <row r="7" spans="1:11">
      <c r="A7" s="7" t="s">
        <v>421</v>
      </c>
      <c r="B7" s="2" t="s">
        <v>680</v>
      </c>
      <c r="C7" s="2">
        <v>6036</v>
      </c>
      <c r="D7" s="42" t="s">
        <v>34</v>
      </c>
      <c r="E7" s="6" t="s">
        <v>13</v>
      </c>
      <c r="F7" s="16" t="s">
        <v>145</v>
      </c>
      <c r="G7" s="2" t="s">
        <v>674</v>
      </c>
      <c r="H7" s="8">
        <v>45003</v>
      </c>
      <c r="I7" s="37"/>
    </row>
    <row r="8" spans="1:11">
      <c r="A8" s="7" t="s">
        <v>421</v>
      </c>
      <c r="B8" s="2" t="s">
        <v>518</v>
      </c>
      <c r="C8" s="2">
        <v>6037</v>
      </c>
      <c r="D8" s="42" t="s">
        <v>34</v>
      </c>
      <c r="E8" s="6" t="s">
        <v>13</v>
      </c>
      <c r="F8" s="2" t="s">
        <v>145</v>
      </c>
      <c r="G8" s="2" t="s">
        <v>674</v>
      </c>
      <c r="H8" s="8">
        <f>_xlfn.XLOOKUP(OMJNT[[#This Row],[PLACA]],DitrbFlota[PLACA],DitrbFlota[Inicio Operación])</f>
        <v>45003</v>
      </c>
      <c r="I8" s="37"/>
      <c r="J8" s="47" t="s">
        <v>96</v>
      </c>
      <c r="K8" t="s">
        <v>97</v>
      </c>
    </row>
    <row r="9" spans="1:11">
      <c r="A9" s="2" t="s">
        <v>421</v>
      </c>
      <c r="B9" s="2" t="s">
        <v>682</v>
      </c>
      <c r="C9" s="2">
        <v>6038</v>
      </c>
      <c r="D9" s="42" t="s">
        <v>34</v>
      </c>
      <c r="E9" s="6" t="s">
        <v>13</v>
      </c>
      <c r="F9" s="16" t="s">
        <v>145</v>
      </c>
      <c r="G9" s="2" t="s">
        <v>674</v>
      </c>
      <c r="H9" s="63">
        <v>45003</v>
      </c>
      <c r="I9" s="37"/>
      <c r="J9" s="48" t="s">
        <v>34</v>
      </c>
      <c r="K9">
        <v>50</v>
      </c>
    </row>
    <row r="10" spans="1:11">
      <c r="A10" s="2" t="s">
        <v>421</v>
      </c>
      <c r="B10" s="2" t="s">
        <v>519</v>
      </c>
      <c r="C10" s="2">
        <v>6039</v>
      </c>
      <c r="D10" s="42" t="s">
        <v>34</v>
      </c>
      <c r="E10" s="6" t="s">
        <v>13</v>
      </c>
      <c r="F10" s="2" t="s">
        <v>145</v>
      </c>
      <c r="G10" s="2" t="s">
        <v>674</v>
      </c>
      <c r="H10" s="63">
        <f>_xlfn.XLOOKUP(OMJNT[[#This Row],[PLACA]],DitrbFlota[PLACA],DitrbFlota[Inicio Operación])</f>
        <v>45003</v>
      </c>
      <c r="I10" s="37"/>
      <c r="J10" s="49" t="s">
        <v>145</v>
      </c>
      <c r="K10">
        <v>50</v>
      </c>
    </row>
    <row r="11" spans="1:11">
      <c r="A11" s="2" t="s">
        <v>421</v>
      </c>
      <c r="B11" s="2" t="s">
        <v>683</v>
      </c>
      <c r="C11" s="2">
        <v>6040</v>
      </c>
      <c r="D11" s="42" t="s">
        <v>34</v>
      </c>
      <c r="E11" s="6" t="s">
        <v>13</v>
      </c>
      <c r="F11" s="16" t="s">
        <v>145</v>
      </c>
      <c r="G11" s="2" t="s">
        <v>674</v>
      </c>
      <c r="H11" s="63">
        <v>45003</v>
      </c>
      <c r="I11" s="37"/>
      <c r="J11" s="48" t="s">
        <v>147</v>
      </c>
      <c r="K11">
        <v>122</v>
      </c>
    </row>
    <row r="12" spans="1:11">
      <c r="A12" s="7" t="s">
        <v>421</v>
      </c>
      <c r="B12" s="2" t="s">
        <v>684</v>
      </c>
      <c r="C12" s="2">
        <v>6041</v>
      </c>
      <c r="D12" s="42" t="s">
        <v>34</v>
      </c>
      <c r="E12" s="6" t="s">
        <v>13</v>
      </c>
      <c r="F12" s="16" t="s">
        <v>145</v>
      </c>
      <c r="G12" s="2" t="s">
        <v>674</v>
      </c>
      <c r="H12" s="8">
        <v>45003</v>
      </c>
      <c r="I12" s="37"/>
      <c r="J12" s="49" t="s">
        <v>149</v>
      </c>
      <c r="K12">
        <v>97</v>
      </c>
    </row>
    <row r="13" spans="1:11">
      <c r="A13" s="327" t="s">
        <v>421</v>
      </c>
      <c r="B13" s="328" t="s">
        <v>665</v>
      </c>
      <c r="C13" s="328">
        <v>6042</v>
      </c>
      <c r="D13" s="329" t="s">
        <v>34</v>
      </c>
      <c r="E13" s="336" t="s">
        <v>13</v>
      </c>
      <c r="F13" s="330" t="s">
        <v>145</v>
      </c>
      <c r="G13" s="328" t="s">
        <v>674</v>
      </c>
      <c r="H13" s="340">
        <v>45003</v>
      </c>
      <c r="I13" s="37"/>
      <c r="J13" s="49" t="s">
        <v>690</v>
      </c>
      <c r="K13">
        <v>25</v>
      </c>
    </row>
    <row r="14" spans="1:11">
      <c r="A14" s="2" t="s">
        <v>421</v>
      </c>
      <c r="B14" s="2" t="s">
        <v>685</v>
      </c>
      <c r="C14" s="2">
        <v>6043</v>
      </c>
      <c r="D14" s="42" t="s">
        <v>34</v>
      </c>
      <c r="E14" s="6" t="s">
        <v>13</v>
      </c>
      <c r="F14" s="16" t="s">
        <v>145</v>
      </c>
      <c r="G14" s="2" t="s">
        <v>674</v>
      </c>
      <c r="H14" s="63">
        <v>45003</v>
      </c>
      <c r="I14" s="37"/>
      <c r="J14" s="48" t="s">
        <v>41</v>
      </c>
      <c r="K14">
        <v>172</v>
      </c>
    </row>
    <row r="15" spans="1:11">
      <c r="A15" s="2" t="s">
        <v>421</v>
      </c>
      <c r="B15" s="2" t="s">
        <v>686</v>
      </c>
      <c r="C15" s="2">
        <v>6045</v>
      </c>
      <c r="D15" s="42" t="s">
        <v>34</v>
      </c>
      <c r="E15" s="6" t="s">
        <v>13</v>
      </c>
      <c r="F15" s="16" t="s">
        <v>145</v>
      </c>
      <c r="G15" s="2" t="s">
        <v>674</v>
      </c>
      <c r="H15" s="63">
        <v>45003</v>
      </c>
      <c r="I15" s="37"/>
    </row>
    <row r="16" spans="1:11">
      <c r="A16" s="2" t="s">
        <v>421</v>
      </c>
      <c r="B16" s="2" t="s">
        <v>687</v>
      </c>
      <c r="C16" s="2">
        <v>6046</v>
      </c>
      <c r="D16" s="42" t="s">
        <v>34</v>
      </c>
      <c r="E16" s="6" t="s">
        <v>13</v>
      </c>
      <c r="F16" s="16" t="s">
        <v>145</v>
      </c>
      <c r="G16" s="2" t="s">
        <v>674</v>
      </c>
      <c r="H16" s="63">
        <v>45003</v>
      </c>
      <c r="I16" s="37"/>
    </row>
    <row r="17" spans="1:9">
      <c r="A17" s="2" t="s">
        <v>421</v>
      </c>
      <c r="B17" s="2" t="s">
        <v>688</v>
      </c>
      <c r="C17" s="2">
        <v>6047</v>
      </c>
      <c r="D17" s="42" t="s">
        <v>34</v>
      </c>
      <c r="E17" s="6" t="s">
        <v>13</v>
      </c>
      <c r="F17" s="16" t="s">
        <v>145</v>
      </c>
      <c r="G17" s="2" t="s">
        <v>674</v>
      </c>
      <c r="H17" s="63">
        <v>45003</v>
      </c>
      <c r="I17" s="37"/>
    </row>
    <row r="18" spans="1:9">
      <c r="A18" s="2" t="s">
        <v>421</v>
      </c>
      <c r="B18" s="2" t="s">
        <v>521</v>
      </c>
      <c r="C18" s="2">
        <v>6048</v>
      </c>
      <c r="D18" s="42" t="s">
        <v>34</v>
      </c>
      <c r="E18" s="6" t="s">
        <v>13</v>
      </c>
      <c r="F18" s="2" t="s">
        <v>145</v>
      </c>
      <c r="G18" s="2" t="s">
        <v>674</v>
      </c>
      <c r="H18" s="63">
        <f>_xlfn.XLOOKUP(OMJNT[[#This Row],[PLACA]],DitrbFlota[PLACA],DitrbFlota[Inicio Operación])</f>
        <v>45003</v>
      </c>
      <c r="I18" s="37"/>
    </row>
    <row r="19" spans="1:9">
      <c r="A19" s="2" t="s">
        <v>421</v>
      </c>
      <c r="B19" s="2" t="s">
        <v>523</v>
      </c>
      <c r="C19" s="2">
        <v>6049</v>
      </c>
      <c r="D19" s="42" t="s">
        <v>34</v>
      </c>
      <c r="E19" s="6" t="s">
        <v>13</v>
      </c>
      <c r="F19" s="2" t="s">
        <v>145</v>
      </c>
      <c r="G19" s="2" t="s">
        <v>674</v>
      </c>
      <c r="H19" s="63">
        <f>_xlfn.XLOOKUP(OMJNT[[#This Row],[PLACA]],DitrbFlota[PLACA],DitrbFlota[Inicio Operación])</f>
        <v>45003</v>
      </c>
      <c r="I19" s="37"/>
    </row>
    <row r="20" spans="1:9">
      <c r="A20" s="7" t="s">
        <v>421</v>
      </c>
      <c r="B20" s="2" t="s">
        <v>525</v>
      </c>
      <c r="C20" s="2">
        <v>6050</v>
      </c>
      <c r="D20" s="42" t="s">
        <v>34</v>
      </c>
      <c r="E20" s="6" t="s">
        <v>13</v>
      </c>
      <c r="F20" s="2" t="s">
        <v>145</v>
      </c>
      <c r="G20" s="2" t="s">
        <v>674</v>
      </c>
      <c r="H20" s="8">
        <f>_xlfn.XLOOKUP(OMJNT[[#This Row],[PLACA]],DitrbFlota[PLACA],DitrbFlota[Inicio Operación])</f>
        <v>45003</v>
      </c>
      <c r="I20" s="37"/>
    </row>
    <row r="21" spans="1:9">
      <c r="A21" s="7" t="s">
        <v>421</v>
      </c>
      <c r="B21" s="2" t="s">
        <v>527</v>
      </c>
      <c r="C21" s="2">
        <v>6051</v>
      </c>
      <c r="D21" s="42" t="s">
        <v>34</v>
      </c>
      <c r="E21" s="6" t="s">
        <v>13</v>
      </c>
      <c r="F21" s="2" t="s">
        <v>145</v>
      </c>
      <c r="G21" s="2" t="s">
        <v>674</v>
      </c>
      <c r="H21" s="8">
        <f>_xlfn.XLOOKUP(OMJNT[[#This Row],[PLACA]],DitrbFlota[PLACA],DitrbFlota[Inicio Operación])</f>
        <v>45003</v>
      </c>
      <c r="I21" s="37"/>
    </row>
    <row r="22" spans="1:9">
      <c r="A22" s="7" t="s">
        <v>421</v>
      </c>
      <c r="B22" s="2" t="s">
        <v>528</v>
      </c>
      <c r="C22" s="2">
        <v>6052</v>
      </c>
      <c r="D22" s="42" t="s">
        <v>34</v>
      </c>
      <c r="E22" s="6" t="s">
        <v>13</v>
      </c>
      <c r="F22" s="2" t="s">
        <v>145</v>
      </c>
      <c r="G22" s="2" t="s">
        <v>674</v>
      </c>
      <c r="H22" s="8">
        <f>_xlfn.XLOOKUP(OMJNT[[#This Row],[PLACA]],DitrbFlota[PLACA],DitrbFlota[Inicio Operación])</f>
        <v>45003</v>
      </c>
      <c r="I22" s="37"/>
    </row>
    <row r="23" spans="1:9">
      <c r="A23" s="7" t="s">
        <v>421</v>
      </c>
      <c r="B23" s="2" t="s">
        <v>529</v>
      </c>
      <c r="C23" s="2">
        <v>6053</v>
      </c>
      <c r="D23" s="42" t="s">
        <v>34</v>
      </c>
      <c r="E23" s="6" t="s">
        <v>13</v>
      </c>
      <c r="F23" s="2" t="s">
        <v>145</v>
      </c>
      <c r="G23" s="2" t="s">
        <v>674</v>
      </c>
      <c r="H23" s="8">
        <f>_xlfn.XLOOKUP(OMJNT[[#This Row],[PLACA]],DitrbFlota[PLACA],DitrbFlota[Inicio Operación])</f>
        <v>45003</v>
      </c>
      <c r="I23" s="37"/>
    </row>
    <row r="24" spans="1:9">
      <c r="A24" s="7" t="s">
        <v>421</v>
      </c>
      <c r="B24" s="2" t="s">
        <v>530</v>
      </c>
      <c r="C24" s="2">
        <v>6054</v>
      </c>
      <c r="D24" s="42" t="s">
        <v>34</v>
      </c>
      <c r="E24" s="6" t="s">
        <v>13</v>
      </c>
      <c r="F24" s="2" t="s">
        <v>145</v>
      </c>
      <c r="G24" s="2" t="s">
        <v>674</v>
      </c>
      <c r="H24" s="8">
        <f>_xlfn.XLOOKUP(OMJNT[[#This Row],[PLACA]],DitrbFlota[PLACA],DitrbFlota[Inicio Operación])</f>
        <v>45003</v>
      </c>
      <c r="I24" s="37"/>
    </row>
    <row r="25" spans="1:9">
      <c r="A25" s="2" t="s">
        <v>421</v>
      </c>
      <c r="B25" s="2" t="s">
        <v>689</v>
      </c>
      <c r="C25" s="2">
        <v>6056</v>
      </c>
      <c r="D25" s="42" t="s">
        <v>34</v>
      </c>
      <c r="E25" s="6" t="s">
        <v>25</v>
      </c>
      <c r="F25" s="2" t="s">
        <v>145</v>
      </c>
      <c r="G25" s="2" t="s">
        <v>674</v>
      </c>
      <c r="H25" s="63">
        <v>45024</v>
      </c>
      <c r="I25" s="37"/>
    </row>
    <row r="26" spans="1:9">
      <c r="A26" s="2" t="s">
        <v>421</v>
      </c>
      <c r="B26" s="2" t="s">
        <v>666</v>
      </c>
      <c r="C26" s="2">
        <v>6057</v>
      </c>
      <c r="D26" s="42" t="s">
        <v>34</v>
      </c>
      <c r="E26" s="6" t="s">
        <v>13</v>
      </c>
      <c r="F26" s="2" t="s">
        <v>145</v>
      </c>
      <c r="G26" s="2" t="s">
        <v>674</v>
      </c>
      <c r="H26" s="63">
        <f>_xlfn.XLOOKUP(OMJNT[[#This Row],[PLACA]],DitrbFlota[PLACA],DitrbFlota[Inicio Operación])</f>
        <v>45024</v>
      </c>
      <c r="I26" s="37"/>
    </row>
    <row r="27" spans="1:9">
      <c r="A27" s="2" t="s">
        <v>421</v>
      </c>
      <c r="B27" s="2" t="s">
        <v>691</v>
      </c>
      <c r="C27" s="2">
        <v>6058</v>
      </c>
      <c r="D27" s="42" t="s">
        <v>34</v>
      </c>
      <c r="E27" s="6" t="s">
        <v>13</v>
      </c>
      <c r="F27" s="2" t="s">
        <v>145</v>
      </c>
      <c r="G27" s="2" t="s">
        <v>674</v>
      </c>
      <c r="H27" s="63">
        <v>45024</v>
      </c>
      <c r="I27" s="37"/>
    </row>
    <row r="28" spans="1:9">
      <c r="A28" s="328" t="s">
        <v>421</v>
      </c>
      <c r="B28" s="328" t="s">
        <v>667</v>
      </c>
      <c r="C28" s="328">
        <v>6059</v>
      </c>
      <c r="D28" s="329" t="s">
        <v>34</v>
      </c>
      <c r="E28" s="336" t="s">
        <v>13</v>
      </c>
      <c r="F28" s="328" t="s">
        <v>145</v>
      </c>
      <c r="G28" s="328" t="s">
        <v>674</v>
      </c>
      <c r="H28" s="344">
        <v>45024</v>
      </c>
      <c r="I28" s="37"/>
    </row>
    <row r="29" spans="1:9">
      <c r="A29" s="2" t="s">
        <v>421</v>
      </c>
      <c r="B29" s="2" t="s">
        <v>532</v>
      </c>
      <c r="C29" s="2">
        <v>6060</v>
      </c>
      <c r="D29" s="42" t="s">
        <v>34</v>
      </c>
      <c r="E29" s="6" t="s">
        <v>13</v>
      </c>
      <c r="F29" s="2" t="s">
        <v>145</v>
      </c>
      <c r="G29" s="2" t="s">
        <v>674</v>
      </c>
      <c r="H29" s="63">
        <f>_xlfn.XLOOKUP(OMJNT[[#This Row],[PLACA]],DitrbFlota[PLACA],DitrbFlota[Inicio Operación])</f>
        <v>45003</v>
      </c>
      <c r="I29" s="37"/>
    </row>
    <row r="30" spans="1:9">
      <c r="A30" s="2" t="s">
        <v>421</v>
      </c>
      <c r="B30" s="2" t="s">
        <v>533</v>
      </c>
      <c r="C30" s="2">
        <v>6061</v>
      </c>
      <c r="D30" s="42" t="s">
        <v>34</v>
      </c>
      <c r="E30" s="6" t="s">
        <v>13</v>
      </c>
      <c r="F30" s="2" t="s">
        <v>145</v>
      </c>
      <c r="G30" s="2" t="s">
        <v>674</v>
      </c>
      <c r="H30" s="63">
        <f>_xlfn.XLOOKUP(OMJNT[[#This Row],[PLACA]],DitrbFlota[PLACA],DitrbFlota[Inicio Operación])</f>
        <v>45024</v>
      </c>
      <c r="I30" s="37"/>
    </row>
    <row r="31" spans="1:9">
      <c r="A31" s="2" t="s">
        <v>421</v>
      </c>
      <c r="B31" s="2" t="s">
        <v>692</v>
      </c>
      <c r="C31" s="2">
        <v>6062</v>
      </c>
      <c r="D31" s="42" t="s">
        <v>34</v>
      </c>
      <c r="E31" s="6" t="s">
        <v>13</v>
      </c>
      <c r="F31" s="2" t="s">
        <v>145</v>
      </c>
      <c r="G31" s="2" t="s">
        <v>674</v>
      </c>
      <c r="H31" s="63">
        <v>45024</v>
      </c>
      <c r="I31" s="37"/>
    </row>
    <row r="32" spans="1:9">
      <c r="A32" s="2" t="s">
        <v>421</v>
      </c>
      <c r="B32" s="2" t="s">
        <v>693</v>
      </c>
      <c r="C32" s="2">
        <v>6064</v>
      </c>
      <c r="D32" s="42" t="s">
        <v>34</v>
      </c>
      <c r="E32" s="6" t="s">
        <v>13</v>
      </c>
      <c r="F32" s="2" t="s">
        <v>145</v>
      </c>
      <c r="G32" s="2" t="s">
        <v>674</v>
      </c>
      <c r="H32" s="63">
        <v>45024</v>
      </c>
      <c r="I32" s="37"/>
    </row>
    <row r="33" spans="1:9">
      <c r="A33" s="2" t="s">
        <v>421</v>
      </c>
      <c r="B33" s="2" t="s">
        <v>694</v>
      </c>
      <c r="C33" s="2">
        <v>6065</v>
      </c>
      <c r="D33" s="42" t="s">
        <v>34</v>
      </c>
      <c r="E33" s="6" t="s">
        <v>13</v>
      </c>
      <c r="F33" s="2" t="s">
        <v>145</v>
      </c>
      <c r="G33" s="2" t="s">
        <v>674</v>
      </c>
      <c r="H33" s="63">
        <v>45024</v>
      </c>
      <c r="I33" s="37"/>
    </row>
    <row r="34" spans="1:9">
      <c r="A34" s="2" t="s">
        <v>421</v>
      </c>
      <c r="B34" s="2" t="s">
        <v>535</v>
      </c>
      <c r="C34" s="2">
        <v>6066</v>
      </c>
      <c r="D34" s="42" t="s">
        <v>34</v>
      </c>
      <c r="E34" s="6" t="s">
        <v>13</v>
      </c>
      <c r="F34" s="2" t="s">
        <v>145</v>
      </c>
      <c r="G34" s="2" t="s">
        <v>674</v>
      </c>
      <c r="H34" s="63">
        <f>_xlfn.XLOOKUP(OMJNT[[#This Row],[PLACA]],DitrbFlota[PLACA],DitrbFlota[Inicio Operación])</f>
        <v>45024</v>
      </c>
      <c r="I34" s="37"/>
    </row>
    <row r="35" spans="1:9">
      <c r="A35" s="2" t="s">
        <v>421</v>
      </c>
      <c r="B35" s="2" t="s">
        <v>695</v>
      </c>
      <c r="C35" s="2">
        <v>6067</v>
      </c>
      <c r="D35" s="42" t="s">
        <v>34</v>
      </c>
      <c r="E35" s="6" t="s">
        <v>13</v>
      </c>
      <c r="F35" s="2" t="s">
        <v>145</v>
      </c>
      <c r="G35" s="2" t="s">
        <v>674</v>
      </c>
      <c r="H35" s="63">
        <v>45024</v>
      </c>
      <c r="I35" s="37"/>
    </row>
    <row r="36" spans="1:9">
      <c r="A36" s="2" t="s">
        <v>421</v>
      </c>
      <c r="B36" s="2" t="s">
        <v>536</v>
      </c>
      <c r="C36" s="2">
        <v>6068</v>
      </c>
      <c r="D36" s="42" t="s">
        <v>34</v>
      </c>
      <c r="E36" s="6" t="s">
        <v>13</v>
      </c>
      <c r="F36" s="2" t="s">
        <v>145</v>
      </c>
      <c r="G36" s="2" t="s">
        <v>674</v>
      </c>
      <c r="H36" s="63">
        <f>_xlfn.XLOOKUP(OMJNT[[#This Row],[PLACA]],DitrbFlota[PLACA],DitrbFlota[Inicio Operación])</f>
        <v>45024</v>
      </c>
      <c r="I36" s="37"/>
    </row>
    <row r="37" spans="1:9">
      <c r="A37" s="328" t="s">
        <v>421</v>
      </c>
      <c r="B37" s="328" t="s">
        <v>668</v>
      </c>
      <c r="C37" s="328">
        <v>6070</v>
      </c>
      <c r="D37" s="329" t="s">
        <v>34</v>
      </c>
      <c r="E37" s="336" t="s">
        <v>13</v>
      </c>
      <c r="F37" s="328" t="s">
        <v>145</v>
      </c>
      <c r="G37" s="328" t="s">
        <v>674</v>
      </c>
      <c r="H37" s="344">
        <v>45024</v>
      </c>
      <c r="I37" s="37"/>
    </row>
    <row r="38" spans="1:9">
      <c r="A38" s="6" t="s">
        <v>421</v>
      </c>
      <c r="B38" s="6" t="s">
        <v>696</v>
      </c>
      <c r="C38" s="6">
        <v>6072</v>
      </c>
      <c r="D38" s="6" t="s">
        <v>34</v>
      </c>
      <c r="E38" s="6" t="s">
        <v>13</v>
      </c>
      <c r="F38" s="6" t="s">
        <v>145</v>
      </c>
      <c r="G38" s="6" t="s">
        <v>674</v>
      </c>
      <c r="H38" s="63">
        <v>45024</v>
      </c>
      <c r="I38" s="37"/>
    </row>
    <row r="39" spans="1:9">
      <c r="A39" s="2" t="s">
        <v>421</v>
      </c>
      <c r="B39" s="2" t="s">
        <v>697</v>
      </c>
      <c r="C39" s="2">
        <v>6073</v>
      </c>
      <c r="D39" s="42" t="s">
        <v>34</v>
      </c>
      <c r="E39" s="6" t="s">
        <v>13</v>
      </c>
      <c r="F39" s="2" t="s">
        <v>145</v>
      </c>
      <c r="G39" s="2" t="s">
        <v>674</v>
      </c>
      <c r="H39" s="63">
        <v>45024</v>
      </c>
      <c r="I39" s="37"/>
    </row>
    <row r="40" spans="1:9">
      <c r="A40" s="2" t="s">
        <v>421</v>
      </c>
      <c r="B40" s="2" t="s">
        <v>698</v>
      </c>
      <c r="C40" s="2">
        <v>6074</v>
      </c>
      <c r="D40" s="42" t="s">
        <v>34</v>
      </c>
      <c r="E40" s="6" t="s">
        <v>13</v>
      </c>
      <c r="F40" s="2" t="s">
        <v>145</v>
      </c>
      <c r="G40" s="2" t="s">
        <v>674</v>
      </c>
      <c r="H40" s="63">
        <v>45024</v>
      </c>
      <c r="I40" s="37"/>
    </row>
    <row r="41" spans="1:9">
      <c r="A41" s="2" t="s">
        <v>421</v>
      </c>
      <c r="B41" s="2" t="s">
        <v>699</v>
      </c>
      <c r="C41" s="2">
        <v>6075</v>
      </c>
      <c r="D41" s="42" t="s">
        <v>34</v>
      </c>
      <c r="E41" s="6" t="s">
        <v>13</v>
      </c>
      <c r="F41" s="2" t="s">
        <v>145</v>
      </c>
      <c r="G41" s="2" t="s">
        <v>674</v>
      </c>
      <c r="H41" s="63">
        <v>45024</v>
      </c>
      <c r="I41" s="37"/>
    </row>
    <row r="42" spans="1:9">
      <c r="A42" s="2" t="s">
        <v>421</v>
      </c>
      <c r="B42" s="2" t="s">
        <v>700</v>
      </c>
      <c r="C42" s="2">
        <v>6076</v>
      </c>
      <c r="D42" s="42" t="s">
        <v>34</v>
      </c>
      <c r="E42" s="6" t="s">
        <v>13</v>
      </c>
      <c r="F42" s="2" t="s">
        <v>145</v>
      </c>
      <c r="G42" s="2" t="s">
        <v>674</v>
      </c>
      <c r="H42" s="63">
        <v>45024</v>
      </c>
      <c r="I42" s="37"/>
    </row>
    <row r="43" spans="1:9">
      <c r="A43" s="2" t="s">
        <v>421</v>
      </c>
      <c r="B43" s="2" t="s">
        <v>538</v>
      </c>
      <c r="C43" s="2">
        <v>6077</v>
      </c>
      <c r="D43" s="42" t="s">
        <v>34</v>
      </c>
      <c r="E43" s="6" t="s">
        <v>13</v>
      </c>
      <c r="F43" s="2" t="s">
        <v>145</v>
      </c>
      <c r="G43" s="2" t="s">
        <v>674</v>
      </c>
      <c r="H43" s="63">
        <f>_xlfn.XLOOKUP(OMJNT[[#This Row],[PLACA]],DitrbFlota[PLACA],DitrbFlota[Inicio Operación])</f>
        <v>45024</v>
      </c>
      <c r="I43" s="37"/>
    </row>
    <row r="44" spans="1:9">
      <c r="A44" s="2" t="s">
        <v>421</v>
      </c>
      <c r="B44" s="2" t="s">
        <v>701</v>
      </c>
      <c r="C44" s="2">
        <v>6078</v>
      </c>
      <c r="D44" s="42" t="s">
        <v>34</v>
      </c>
      <c r="E44" s="6" t="s">
        <v>13</v>
      </c>
      <c r="F44" s="2" t="s">
        <v>145</v>
      </c>
      <c r="G44" s="2" t="s">
        <v>674</v>
      </c>
      <c r="H44" s="63">
        <v>45024</v>
      </c>
      <c r="I44" s="37"/>
    </row>
    <row r="45" spans="1:9">
      <c r="A45" s="328" t="s">
        <v>421</v>
      </c>
      <c r="B45" s="328" t="s">
        <v>669</v>
      </c>
      <c r="C45" s="328">
        <v>6079</v>
      </c>
      <c r="D45" s="329" t="s">
        <v>34</v>
      </c>
      <c r="E45" s="336" t="s">
        <v>13</v>
      </c>
      <c r="F45" s="328" t="s">
        <v>145</v>
      </c>
      <c r="G45" s="328" t="s">
        <v>674</v>
      </c>
      <c r="H45" s="344">
        <v>45024</v>
      </c>
      <c r="I45" s="37"/>
    </row>
    <row r="46" spans="1:9">
      <c r="A46" s="2" t="s">
        <v>421</v>
      </c>
      <c r="B46" s="2" t="s">
        <v>670</v>
      </c>
      <c r="C46" s="2">
        <v>6080</v>
      </c>
      <c r="D46" s="42" t="s">
        <v>34</v>
      </c>
      <c r="E46" s="6" t="s">
        <v>13</v>
      </c>
      <c r="F46" s="2" t="s">
        <v>145</v>
      </c>
      <c r="G46" s="2" t="s">
        <v>674</v>
      </c>
      <c r="H46" s="63">
        <f>_xlfn.XLOOKUP(OMJNT[[#This Row],[PLACA]],DitrbFlota[PLACA],DitrbFlota[Inicio Operación])</f>
        <v>45024</v>
      </c>
      <c r="I46" s="37"/>
    </row>
    <row r="47" spans="1:9">
      <c r="A47" s="2" t="s">
        <v>421</v>
      </c>
      <c r="B47" s="2" t="s">
        <v>539</v>
      </c>
      <c r="C47" s="2">
        <v>6082</v>
      </c>
      <c r="D47" s="42" t="s">
        <v>34</v>
      </c>
      <c r="E47" s="6" t="s">
        <v>13</v>
      </c>
      <c r="F47" s="2" t="s">
        <v>145</v>
      </c>
      <c r="G47" s="2" t="s">
        <v>674</v>
      </c>
      <c r="H47" s="63">
        <f>_xlfn.XLOOKUP(OMJNT[[#This Row],[PLACA]],DitrbFlota[PLACA],DitrbFlota[Inicio Operación])</f>
        <v>45024</v>
      </c>
      <c r="I47" s="37"/>
    </row>
    <row r="48" spans="1:9">
      <c r="A48" s="2" t="s">
        <v>421</v>
      </c>
      <c r="B48" s="2" t="s">
        <v>541</v>
      </c>
      <c r="C48" s="2">
        <v>6084</v>
      </c>
      <c r="D48" s="42" t="s">
        <v>34</v>
      </c>
      <c r="E48" s="6" t="s">
        <v>13</v>
      </c>
      <c r="F48" s="2" t="s">
        <v>145</v>
      </c>
      <c r="G48" s="2" t="s">
        <v>674</v>
      </c>
      <c r="H48" s="63">
        <f>_xlfn.XLOOKUP(OMJNT[[#This Row],[PLACA]],DitrbFlota[PLACA],DitrbFlota[Inicio Operación])</f>
        <v>45024</v>
      </c>
      <c r="I48" s="37"/>
    </row>
    <row r="49" spans="1:9">
      <c r="A49" s="6" t="s">
        <v>421</v>
      </c>
      <c r="B49" s="6" t="s">
        <v>702</v>
      </c>
      <c r="C49" s="6">
        <v>6086</v>
      </c>
      <c r="D49" s="6" t="s">
        <v>34</v>
      </c>
      <c r="E49" s="6" t="s">
        <v>13</v>
      </c>
      <c r="F49" s="6" t="s">
        <v>145</v>
      </c>
      <c r="G49" s="6" t="s">
        <v>674</v>
      </c>
      <c r="H49" s="63">
        <v>45024</v>
      </c>
      <c r="I49" s="37"/>
    </row>
    <row r="50" spans="1:9">
      <c r="A50" s="6" t="s">
        <v>421</v>
      </c>
      <c r="B50" s="6" t="s">
        <v>703</v>
      </c>
      <c r="C50" s="6">
        <v>6087</v>
      </c>
      <c r="D50" s="6" t="s">
        <v>34</v>
      </c>
      <c r="E50" s="6" t="s">
        <v>13</v>
      </c>
      <c r="F50" s="6" t="s">
        <v>145</v>
      </c>
      <c r="G50" s="6" t="s">
        <v>674</v>
      </c>
      <c r="H50" s="63">
        <v>45024</v>
      </c>
      <c r="I50" s="37"/>
    </row>
    <row r="51" spans="1:9">
      <c r="A51" s="6" t="s">
        <v>421</v>
      </c>
      <c r="B51" s="6" t="s">
        <v>704</v>
      </c>
      <c r="C51" s="6">
        <v>6088</v>
      </c>
      <c r="D51" s="6" t="s">
        <v>34</v>
      </c>
      <c r="E51" s="6" t="s">
        <v>13</v>
      </c>
      <c r="F51" s="6" t="s">
        <v>145</v>
      </c>
      <c r="G51" s="6" t="s">
        <v>674</v>
      </c>
      <c r="H51" s="63">
        <v>45024</v>
      </c>
      <c r="I51" s="37"/>
    </row>
    <row r="52" spans="1:9">
      <c r="A52" s="6" t="s">
        <v>421</v>
      </c>
      <c r="B52" s="6" t="s">
        <v>705</v>
      </c>
      <c r="C52" s="6">
        <v>7000</v>
      </c>
      <c r="D52" s="6" t="s">
        <v>147</v>
      </c>
      <c r="E52" s="6" t="s">
        <v>25</v>
      </c>
      <c r="F52" s="6" t="s">
        <v>690</v>
      </c>
      <c r="G52" s="6" t="s">
        <v>674</v>
      </c>
      <c r="H52" s="63">
        <v>45024</v>
      </c>
      <c r="I52" s="37"/>
    </row>
    <row r="53" spans="1:9">
      <c r="A53" s="6" t="s">
        <v>421</v>
      </c>
      <c r="B53" s="6" t="s">
        <v>706</v>
      </c>
      <c r="C53" s="6">
        <v>7001</v>
      </c>
      <c r="D53" s="6" t="s">
        <v>147</v>
      </c>
      <c r="E53" s="6" t="s">
        <v>25</v>
      </c>
      <c r="F53" s="6" t="s">
        <v>690</v>
      </c>
      <c r="G53" s="6" t="s">
        <v>674</v>
      </c>
      <c r="H53" s="63">
        <v>45024</v>
      </c>
      <c r="I53" s="37"/>
    </row>
    <row r="54" spans="1:9">
      <c r="A54" s="6" t="s">
        <v>421</v>
      </c>
      <c r="B54" s="6" t="s">
        <v>707</v>
      </c>
      <c r="C54" s="6">
        <v>7002</v>
      </c>
      <c r="D54" s="6" t="s">
        <v>147</v>
      </c>
      <c r="E54" s="6" t="s">
        <v>13</v>
      </c>
      <c r="F54" s="6" t="s">
        <v>690</v>
      </c>
      <c r="G54" s="6" t="s">
        <v>674</v>
      </c>
      <c r="H54" s="63">
        <v>45024</v>
      </c>
      <c r="I54" s="37"/>
    </row>
    <row r="55" spans="1:9">
      <c r="A55" s="6" t="s">
        <v>421</v>
      </c>
      <c r="B55" s="6" t="s">
        <v>708</v>
      </c>
      <c r="C55" s="6">
        <v>7003</v>
      </c>
      <c r="D55" s="6" t="s">
        <v>147</v>
      </c>
      <c r="E55" s="6" t="s">
        <v>13</v>
      </c>
      <c r="F55" s="6" t="s">
        <v>690</v>
      </c>
      <c r="G55" s="6" t="s">
        <v>674</v>
      </c>
      <c r="H55" s="63">
        <v>45024</v>
      </c>
      <c r="I55" s="37"/>
    </row>
    <row r="56" spans="1:9">
      <c r="A56" s="6" t="s">
        <v>421</v>
      </c>
      <c r="B56" s="6" t="s">
        <v>709</v>
      </c>
      <c r="C56" s="6">
        <v>7004</v>
      </c>
      <c r="D56" s="6" t="s">
        <v>147</v>
      </c>
      <c r="E56" s="6" t="s">
        <v>13</v>
      </c>
      <c r="F56" s="6" t="s">
        <v>690</v>
      </c>
      <c r="G56" s="6" t="s">
        <v>674</v>
      </c>
      <c r="H56" s="63">
        <v>45024</v>
      </c>
      <c r="I56" s="37"/>
    </row>
    <row r="57" spans="1:9">
      <c r="A57" s="6" t="s">
        <v>421</v>
      </c>
      <c r="B57" s="6" t="s">
        <v>710</v>
      </c>
      <c r="C57" s="6">
        <v>7005</v>
      </c>
      <c r="D57" s="6" t="s">
        <v>147</v>
      </c>
      <c r="E57" s="6" t="s">
        <v>13</v>
      </c>
      <c r="F57" s="6" t="s">
        <v>690</v>
      </c>
      <c r="G57" s="6" t="s">
        <v>674</v>
      </c>
      <c r="H57" s="63">
        <v>45024</v>
      </c>
      <c r="I57" s="37"/>
    </row>
    <row r="58" spans="1:9">
      <c r="A58" s="6" t="s">
        <v>421</v>
      </c>
      <c r="B58" s="6" t="s">
        <v>711</v>
      </c>
      <c r="C58" s="6">
        <v>7006</v>
      </c>
      <c r="D58" s="6" t="s">
        <v>147</v>
      </c>
      <c r="E58" s="6" t="s">
        <v>13</v>
      </c>
      <c r="F58" s="6" t="s">
        <v>690</v>
      </c>
      <c r="G58" s="6" t="s">
        <v>674</v>
      </c>
      <c r="H58" s="63">
        <v>45024</v>
      </c>
      <c r="I58" s="37"/>
    </row>
    <row r="59" spans="1:9">
      <c r="A59" s="6" t="s">
        <v>421</v>
      </c>
      <c r="B59" s="6" t="s">
        <v>712</v>
      </c>
      <c r="C59" s="6">
        <v>7007</v>
      </c>
      <c r="D59" s="6" t="s">
        <v>147</v>
      </c>
      <c r="E59" s="6" t="s">
        <v>13</v>
      </c>
      <c r="F59" s="6" t="s">
        <v>690</v>
      </c>
      <c r="G59" s="6" t="s">
        <v>674</v>
      </c>
      <c r="H59" s="63">
        <v>45024</v>
      </c>
      <c r="I59" s="37"/>
    </row>
    <row r="60" spans="1:9">
      <c r="A60" s="6" t="s">
        <v>421</v>
      </c>
      <c r="B60" s="6" t="s">
        <v>713</v>
      </c>
      <c r="C60" s="6">
        <v>7008</v>
      </c>
      <c r="D60" s="6" t="s">
        <v>147</v>
      </c>
      <c r="E60" s="6" t="s">
        <v>13</v>
      </c>
      <c r="F60" s="6" t="s">
        <v>690</v>
      </c>
      <c r="G60" s="6" t="s">
        <v>674</v>
      </c>
      <c r="H60" s="63">
        <v>45024</v>
      </c>
      <c r="I60" s="37"/>
    </row>
    <row r="61" spans="1:9">
      <c r="A61" s="6" t="s">
        <v>421</v>
      </c>
      <c r="B61" s="6" t="s">
        <v>714</v>
      </c>
      <c r="C61" s="6">
        <v>7009</v>
      </c>
      <c r="D61" s="6" t="s">
        <v>147</v>
      </c>
      <c r="E61" s="6" t="s">
        <v>13</v>
      </c>
      <c r="F61" s="6" t="s">
        <v>690</v>
      </c>
      <c r="G61" s="6" t="s">
        <v>674</v>
      </c>
      <c r="H61" s="63">
        <v>45024</v>
      </c>
      <c r="I61" s="37"/>
    </row>
    <row r="62" spans="1:9">
      <c r="A62" s="6" t="s">
        <v>421</v>
      </c>
      <c r="B62" s="6" t="s">
        <v>715</v>
      </c>
      <c r="C62" s="6">
        <v>7010</v>
      </c>
      <c r="D62" s="6" t="s">
        <v>147</v>
      </c>
      <c r="E62" s="6" t="s">
        <v>13</v>
      </c>
      <c r="F62" s="6" t="s">
        <v>690</v>
      </c>
      <c r="G62" s="6" t="s">
        <v>674</v>
      </c>
      <c r="H62" s="63">
        <v>45024</v>
      </c>
      <c r="I62" s="37"/>
    </row>
    <row r="63" spans="1:9">
      <c r="A63" s="6" t="s">
        <v>421</v>
      </c>
      <c r="B63" s="6" t="s">
        <v>716</v>
      </c>
      <c r="C63" s="6">
        <v>7011</v>
      </c>
      <c r="D63" s="6" t="s">
        <v>147</v>
      </c>
      <c r="E63" s="6" t="s">
        <v>13</v>
      </c>
      <c r="F63" s="6" t="s">
        <v>690</v>
      </c>
      <c r="G63" s="6" t="s">
        <v>674</v>
      </c>
      <c r="H63" s="63">
        <v>45024</v>
      </c>
      <c r="I63" s="37"/>
    </row>
    <row r="64" spans="1:9">
      <c r="A64" s="6" t="s">
        <v>421</v>
      </c>
      <c r="B64" s="6" t="s">
        <v>717</v>
      </c>
      <c r="C64" s="6">
        <v>7012</v>
      </c>
      <c r="D64" s="6" t="s">
        <v>147</v>
      </c>
      <c r="E64" s="6" t="s">
        <v>13</v>
      </c>
      <c r="F64" s="6" t="s">
        <v>690</v>
      </c>
      <c r="G64" s="6" t="s">
        <v>674</v>
      </c>
      <c r="H64" s="63">
        <v>45024</v>
      </c>
      <c r="I64" s="37"/>
    </row>
    <row r="65" spans="1:9">
      <c r="A65" s="6" t="s">
        <v>421</v>
      </c>
      <c r="B65" s="6" t="s">
        <v>718</v>
      </c>
      <c r="C65" s="6">
        <v>7013</v>
      </c>
      <c r="D65" s="6" t="s">
        <v>147</v>
      </c>
      <c r="E65" s="6" t="s">
        <v>13</v>
      </c>
      <c r="F65" s="6" t="s">
        <v>690</v>
      </c>
      <c r="G65" s="6" t="s">
        <v>674</v>
      </c>
      <c r="H65" s="63">
        <v>45024</v>
      </c>
      <c r="I65" s="37"/>
    </row>
    <row r="66" spans="1:9">
      <c r="A66" s="6" t="s">
        <v>421</v>
      </c>
      <c r="B66" s="6" t="s">
        <v>719</v>
      </c>
      <c r="C66" s="6">
        <v>7014</v>
      </c>
      <c r="D66" s="6" t="s">
        <v>147</v>
      </c>
      <c r="E66" s="6" t="s">
        <v>13</v>
      </c>
      <c r="F66" s="6" t="s">
        <v>690</v>
      </c>
      <c r="G66" s="6" t="s">
        <v>674</v>
      </c>
      <c r="H66" s="63">
        <v>45024</v>
      </c>
      <c r="I66" s="37"/>
    </row>
    <row r="67" spans="1:9">
      <c r="A67" s="6" t="s">
        <v>421</v>
      </c>
      <c r="B67" s="6" t="s">
        <v>720</v>
      </c>
      <c r="C67" s="6">
        <v>7015</v>
      </c>
      <c r="D67" s="6" t="s">
        <v>147</v>
      </c>
      <c r="E67" s="6" t="s">
        <v>13</v>
      </c>
      <c r="F67" s="6" t="s">
        <v>690</v>
      </c>
      <c r="G67" s="6" t="s">
        <v>674</v>
      </c>
      <c r="H67" s="63">
        <v>45024</v>
      </c>
      <c r="I67" s="37"/>
    </row>
    <row r="68" spans="1:9">
      <c r="A68" s="6" t="s">
        <v>421</v>
      </c>
      <c r="B68" s="6" t="s">
        <v>721</v>
      </c>
      <c r="C68" s="6">
        <v>7016</v>
      </c>
      <c r="D68" s="6" t="s">
        <v>147</v>
      </c>
      <c r="E68" s="6" t="s">
        <v>13</v>
      </c>
      <c r="F68" s="6" t="s">
        <v>690</v>
      </c>
      <c r="G68" s="6" t="s">
        <v>674</v>
      </c>
      <c r="H68" s="63">
        <v>45024</v>
      </c>
      <c r="I68" s="37"/>
    </row>
    <row r="69" spans="1:9">
      <c r="A69" s="6" t="s">
        <v>421</v>
      </c>
      <c r="B69" s="6" t="s">
        <v>722</v>
      </c>
      <c r="C69" s="6">
        <v>7017</v>
      </c>
      <c r="D69" s="6" t="s">
        <v>147</v>
      </c>
      <c r="E69" s="6" t="s">
        <v>13</v>
      </c>
      <c r="F69" s="6" t="s">
        <v>690</v>
      </c>
      <c r="G69" s="6" t="s">
        <v>674</v>
      </c>
      <c r="H69" s="63">
        <v>45024</v>
      </c>
      <c r="I69" s="37"/>
    </row>
    <row r="70" spans="1:9">
      <c r="A70" s="6" t="s">
        <v>421</v>
      </c>
      <c r="B70" s="6" t="s">
        <v>723</v>
      </c>
      <c r="C70" s="6">
        <v>7018</v>
      </c>
      <c r="D70" s="6" t="s">
        <v>147</v>
      </c>
      <c r="E70" s="6" t="s">
        <v>13</v>
      </c>
      <c r="F70" s="6" t="s">
        <v>690</v>
      </c>
      <c r="G70" s="6" t="s">
        <v>674</v>
      </c>
      <c r="H70" s="63">
        <v>45024</v>
      </c>
      <c r="I70" s="37"/>
    </row>
    <row r="71" spans="1:9">
      <c r="A71" s="6" t="s">
        <v>421</v>
      </c>
      <c r="B71" s="6" t="s">
        <v>724</v>
      </c>
      <c r="C71" s="6">
        <v>7019</v>
      </c>
      <c r="D71" s="6" t="s">
        <v>147</v>
      </c>
      <c r="E71" s="6" t="s">
        <v>13</v>
      </c>
      <c r="F71" s="6" t="s">
        <v>690</v>
      </c>
      <c r="G71" s="6" t="s">
        <v>674</v>
      </c>
      <c r="H71" s="63">
        <v>45024</v>
      </c>
      <c r="I71" s="37"/>
    </row>
    <row r="72" spans="1:9">
      <c r="A72" s="6" t="s">
        <v>421</v>
      </c>
      <c r="B72" s="6" t="s">
        <v>725</v>
      </c>
      <c r="C72" s="6">
        <v>7020</v>
      </c>
      <c r="D72" s="6" t="s">
        <v>147</v>
      </c>
      <c r="E72" s="6" t="s">
        <v>13</v>
      </c>
      <c r="F72" s="6" t="s">
        <v>690</v>
      </c>
      <c r="G72" s="6" t="s">
        <v>674</v>
      </c>
      <c r="H72" s="63">
        <v>45024</v>
      </c>
      <c r="I72" s="37"/>
    </row>
    <row r="73" spans="1:9">
      <c r="A73" s="6" t="s">
        <v>421</v>
      </c>
      <c r="B73" s="6" t="s">
        <v>726</v>
      </c>
      <c r="C73" s="6">
        <v>7021</v>
      </c>
      <c r="D73" s="6" t="s">
        <v>147</v>
      </c>
      <c r="E73" s="6" t="s">
        <v>13</v>
      </c>
      <c r="F73" s="6" t="s">
        <v>690</v>
      </c>
      <c r="G73" s="6" t="s">
        <v>674</v>
      </c>
      <c r="H73" s="63">
        <v>45024</v>
      </c>
      <c r="I73" s="37"/>
    </row>
    <row r="74" spans="1:9">
      <c r="A74" s="6" t="s">
        <v>421</v>
      </c>
      <c r="B74" s="6" t="s">
        <v>727</v>
      </c>
      <c r="C74" s="6">
        <v>7022</v>
      </c>
      <c r="D74" s="6" t="s">
        <v>147</v>
      </c>
      <c r="E74" s="6" t="s">
        <v>13</v>
      </c>
      <c r="F74" s="6" t="s">
        <v>690</v>
      </c>
      <c r="G74" s="6" t="s">
        <v>674</v>
      </c>
      <c r="H74" s="63">
        <v>45024</v>
      </c>
      <c r="I74" s="37"/>
    </row>
    <row r="75" spans="1:9">
      <c r="A75" s="6" t="s">
        <v>421</v>
      </c>
      <c r="B75" s="6" t="s">
        <v>728</v>
      </c>
      <c r="C75" s="6">
        <v>7023</v>
      </c>
      <c r="D75" s="6" t="s">
        <v>147</v>
      </c>
      <c r="E75" s="6" t="s">
        <v>13</v>
      </c>
      <c r="F75" s="6" t="s">
        <v>690</v>
      </c>
      <c r="G75" s="6" t="s">
        <v>674</v>
      </c>
      <c r="H75" s="63">
        <v>45024</v>
      </c>
      <c r="I75" s="37"/>
    </row>
    <row r="76" spans="1:9">
      <c r="A76" s="6" t="s">
        <v>421</v>
      </c>
      <c r="B76" s="6" t="s">
        <v>729</v>
      </c>
      <c r="C76" s="6">
        <v>7024</v>
      </c>
      <c r="D76" s="6" t="s">
        <v>147</v>
      </c>
      <c r="E76" s="6" t="s">
        <v>13</v>
      </c>
      <c r="F76" s="6" t="s">
        <v>690</v>
      </c>
      <c r="G76" s="6" t="s">
        <v>674</v>
      </c>
      <c r="H76" s="63">
        <v>45024</v>
      </c>
      <c r="I76" s="37"/>
    </row>
    <row r="77" spans="1:9">
      <c r="A77" s="6" t="s">
        <v>421</v>
      </c>
      <c r="B77" s="6" t="s">
        <v>730</v>
      </c>
      <c r="C77" s="6">
        <v>7025</v>
      </c>
      <c r="D77" s="6" t="s">
        <v>147</v>
      </c>
      <c r="E77" s="6" t="s">
        <v>25</v>
      </c>
      <c r="F77" s="6" t="s">
        <v>149</v>
      </c>
      <c r="G77" s="6" t="s">
        <v>674</v>
      </c>
      <c r="H77" s="63">
        <v>45003</v>
      </c>
      <c r="I77" s="37"/>
    </row>
    <row r="78" spans="1:9">
      <c r="A78" s="6" t="s">
        <v>421</v>
      </c>
      <c r="B78" s="6" t="s">
        <v>731</v>
      </c>
      <c r="C78" s="6">
        <v>7028</v>
      </c>
      <c r="D78" s="6" t="s">
        <v>147</v>
      </c>
      <c r="E78" s="6" t="s">
        <v>25</v>
      </c>
      <c r="F78" s="6" t="s">
        <v>149</v>
      </c>
      <c r="G78" s="6" t="s">
        <v>674</v>
      </c>
      <c r="H78" s="63">
        <v>45003</v>
      </c>
      <c r="I78" s="37"/>
    </row>
    <row r="79" spans="1:9">
      <c r="A79" s="2" t="s">
        <v>421</v>
      </c>
      <c r="B79" s="2" t="s">
        <v>583</v>
      </c>
      <c r="C79" s="2">
        <v>7030</v>
      </c>
      <c r="D79" s="42" t="s">
        <v>147</v>
      </c>
      <c r="E79" s="6" t="s">
        <v>13</v>
      </c>
      <c r="F79" s="2" t="s">
        <v>149</v>
      </c>
      <c r="G79" s="2" t="s">
        <v>674</v>
      </c>
      <c r="H79" s="63">
        <f>_xlfn.XLOOKUP(OMJNT[[#This Row],[PLACA]],DitrbFlota[PLACA],DitrbFlota[Inicio Operación])</f>
        <v>45003</v>
      </c>
      <c r="I79" s="37"/>
    </row>
    <row r="80" spans="1:9">
      <c r="A80" s="6" t="s">
        <v>421</v>
      </c>
      <c r="B80" s="6" t="s">
        <v>732</v>
      </c>
      <c r="C80" s="6">
        <v>7040</v>
      </c>
      <c r="D80" s="6" t="s">
        <v>147</v>
      </c>
      <c r="E80" s="6" t="s">
        <v>25</v>
      </c>
      <c r="F80" s="6" t="s">
        <v>149</v>
      </c>
      <c r="G80" s="6" t="s">
        <v>674</v>
      </c>
      <c r="H80" s="63">
        <v>45003</v>
      </c>
      <c r="I80" s="37"/>
    </row>
    <row r="81" spans="1:9">
      <c r="A81" s="2" t="s">
        <v>421</v>
      </c>
      <c r="B81" s="2" t="s">
        <v>592</v>
      </c>
      <c r="C81" s="2">
        <v>7042</v>
      </c>
      <c r="D81" s="42" t="s">
        <v>147</v>
      </c>
      <c r="E81" s="6" t="s">
        <v>13</v>
      </c>
      <c r="F81" s="2" t="s">
        <v>149</v>
      </c>
      <c r="G81" s="2" t="s">
        <v>674</v>
      </c>
      <c r="H81" s="63">
        <f>_xlfn.XLOOKUP(OMJNT[[#This Row],[PLACA]],DitrbFlota[PLACA],DitrbFlota[Inicio Operación])</f>
        <v>45003</v>
      </c>
      <c r="I81" s="37"/>
    </row>
    <row r="82" spans="1:9">
      <c r="A82" s="2" t="s">
        <v>421</v>
      </c>
      <c r="B82" s="2" t="s">
        <v>596</v>
      </c>
      <c r="C82" s="2">
        <v>7048</v>
      </c>
      <c r="D82" s="42" t="s">
        <v>147</v>
      </c>
      <c r="E82" s="6" t="s">
        <v>13</v>
      </c>
      <c r="F82" s="2" t="s">
        <v>149</v>
      </c>
      <c r="G82" s="2" t="s">
        <v>674</v>
      </c>
      <c r="H82" s="63">
        <f>_xlfn.XLOOKUP(OMJNT[[#This Row],[PLACA]],DitrbFlota[PLACA],DitrbFlota[Inicio Operación])</f>
        <v>45003</v>
      </c>
      <c r="I82" s="37"/>
    </row>
    <row r="83" spans="1:9">
      <c r="A83" s="2" t="s">
        <v>421</v>
      </c>
      <c r="B83" s="2" t="s">
        <v>599</v>
      </c>
      <c r="C83" s="2">
        <v>7051</v>
      </c>
      <c r="D83" s="42" t="s">
        <v>147</v>
      </c>
      <c r="E83" s="6" t="s">
        <v>13</v>
      </c>
      <c r="F83" s="2" t="s">
        <v>149</v>
      </c>
      <c r="G83" s="2" t="s">
        <v>674</v>
      </c>
      <c r="H83" s="63">
        <f>_xlfn.XLOOKUP(OMJNT[[#This Row],[PLACA]],DitrbFlota[PLACA],DitrbFlota[Inicio Operación])</f>
        <v>45003</v>
      </c>
      <c r="I83" s="37"/>
    </row>
    <row r="84" spans="1:9">
      <c r="A84" s="2" t="s">
        <v>421</v>
      </c>
      <c r="B84" s="2" t="s">
        <v>816</v>
      </c>
      <c r="C84" s="2">
        <v>7059</v>
      </c>
      <c r="D84" s="42" t="s">
        <v>147</v>
      </c>
      <c r="E84" s="6" t="s">
        <v>13</v>
      </c>
      <c r="F84" s="2" t="s">
        <v>149</v>
      </c>
      <c r="G84" s="2" t="s">
        <v>674</v>
      </c>
      <c r="H84" s="63">
        <v>45003</v>
      </c>
      <c r="I84" s="37"/>
    </row>
    <row r="85" spans="1:9">
      <c r="A85" s="16" t="s">
        <v>421</v>
      </c>
      <c r="B85" s="2" t="s">
        <v>818</v>
      </c>
      <c r="C85" s="16">
        <v>7066</v>
      </c>
      <c r="D85" s="42" t="s">
        <v>147</v>
      </c>
      <c r="E85" s="6" t="s">
        <v>13</v>
      </c>
      <c r="F85" s="16" t="s">
        <v>149</v>
      </c>
      <c r="G85" s="2" t="s">
        <v>674</v>
      </c>
      <c r="H85" s="63">
        <v>45003</v>
      </c>
      <c r="I85" s="37"/>
    </row>
    <row r="86" spans="1:9">
      <c r="A86" s="16" t="s">
        <v>421</v>
      </c>
      <c r="B86" s="2" t="s">
        <v>819</v>
      </c>
      <c r="C86" s="16">
        <v>7068</v>
      </c>
      <c r="D86" s="42" t="s">
        <v>147</v>
      </c>
      <c r="E86" s="6" t="s">
        <v>13</v>
      </c>
      <c r="F86" s="16" t="s">
        <v>149</v>
      </c>
      <c r="G86" s="2" t="s">
        <v>674</v>
      </c>
      <c r="H86" s="63">
        <v>45003</v>
      </c>
      <c r="I86" s="37"/>
    </row>
    <row r="87" spans="1:9">
      <c r="A87" s="2" t="s">
        <v>421</v>
      </c>
      <c r="B87" s="2" t="s">
        <v>613</v>
      </c>
      <c r="C87" s="2">
        <v>7069</v>
      </c>
      <c r="D87" s="42" t="s">
        <v>147</v>
      </c>
      <c r="E87" s="6" t="s">
        <v>13</v>
      </c>
      <c r="F87" s="2" t="s">
        <v>149</v>
      </c>
      <c r="G87" s="2" t="s">
        <v>674</v>
      </c>
      <c r="H87" s="63">
        <f>_xlfn.XLOOKUP(OMJNT[[#This Row],[PLACA]],DitrbFlota[PLACA],DitrbFlota[Inicio Operación])</f>
        <v>45003</v>
      </c>
      <c r="I87" s="37"/>
    </row>
    <row r="88" spans="1:9">
      <c r="A88" s="6" t="s">
        <v>421</v>
      </c>
      <c r="B88" s="6" t="s">
        <v>733</v>
      </c>
      <c r="C88" s="6">
        <v>7071</v>
      </c>
      <c r="D88" s="6" t="s">
        <v>147</v>
      </c>
      <c r="E88" s="6" t="s">
        <v>13</v>
      </c>
      <c r="F88" s="6" t="s">
        <v>149</v>
      </c>
      <c r="G88" s="6" t="s">
        <v>674</v>
      </c>
      <c r="H88" s="63">
        <v>45003</v>
      </c>
      <c r="I88" s="37"/>
    </row>
    <row r="89" spans="1:9">
      <c r="A89" s="2" t="s">
        <v>421</v>
      </c>
      <c r="B89" s="2" t="s">
        <v>620</v>
      </c>
      <c r="C89" s="2">
        <v>7077</v>
      </c>
      <c r="D89" s="42" t="s">
        <v>147</v>
      </c>
      <c r="E89" s="6" t="s">
        <v>13</v>
      </c>
      <c r="F89" s="2" t="s">
        <v>149</v>
      </c>
      <c r="G89" s="2" t="s">
        <v>674</v>
      </c>
      <c r="H89" s="63">
        <f>_xlfn.XLOOKUP(OMJNT[[#This Row],[PLACA]],DitrbFlota[PLACA],DitrbFlota[Inicio Operación])</f>
        <v>45003</v>
      </c>
      <c r="I89" s="37"/>
    </row>
    <row r="90" spans="1:9">
      <c r="A90" s="2" t="s">
        <v>421</v>
      </c>
      <c r="B90" s="2" t="s">
        <v>623</v>
      </c>
      <c r="C90" s="2">
        <v>7080</v>
      </c>
      <c r="D90" s="42" t="s">
        <v>147</v>
      </c>
      <c r="E90" s="6" t="s">
        <v>13</v>
      </c>
      <c r="F90" s="2" t="s">
        <v>149</v>
      </c>
      <c r="G90" s="2" t="s">
        <v>674</v>
      </c>
      <c r="H90" s="63">
        <f>_xlfn.XLOOKUP(OMJNT[[#This Row],[PLACA]],DitrbFlota[PLACA],DitrbFlota[Inicio Operación])</f>
        <v>45003</v>
      </c>
      <c r="I90" s="37"/>
    </row>
    <row r="91" spans="1:9">
      <c r="A91" s="2" t="s">
        <v>421</v>
      </c>
      <c r="B91" s="2" t="s">
        <v>625</v>
      </c>
      <c r="C91" s="2">
        <v>7082</v>
      </c>
      <c r="D91" s="42" t="s">
        <v>147</v>
      </c>
      <c r="E91" s="6" t="s">
        <v>13</v>
      </c>
      <c r="F91" s="2" t="s">
        <v>149</v>
      </c>
      <c r="G91" s="2" t="s">
        <v>674</v>
      </c>
      <c r="H91" s="63">
        <f>_xlfn.XLOOKUP(OMJNT[[#This Row],[PLACA]],DitrbFlota[PLACA],DitrbFlota[Inicio Operación])</f>
        <v>45003</v>
      </c>
      <c r="I91" s="37"/>
    </row>
    <row r="92" spans="1:9">
      <c r="A92" s="2" t="s">
        <v>421</v>
      </c>
      <c r="B92" s="2" t="s">
        <v>627</v>
      </c>
      <c r="C92" s="2">
        <v>7084</v>
      </c>
      <c r="D92" s="42" t="s">
        <v>147</v>
      </c>
      <c r="E92" s="6" t="s">
        <v>13</v>
      </c>
      <c r="F92" s="2" t="s">
        <v>149</v>
      </c>
      <c r="G92" s="2" t="s">
        <v>674</v>
      </c>
      <c r="H92" s="63">
        <f>_xlfn.XLOOKUP(OMJNT[[#This Row],[PLACA]],DitrbFlota[PLACA],DitrbFlota[Inicio Operación])</f>
        <v>45003</v>
      </c>
      <c r="I92" s="37"/>
    </row>
    <row r="93" spans="1:9">
      <c r="A93" s="16" t="s">
        <v>421</v>
      </c>
      <c r="B93" s="2" t="s">
        <v>820</v>
      </c>
      <c r="C93" s="16">
        <v>7086</v>
      </c>
      <c r="D93" s="42" t="s">
        <v>147</v>
      </c>
      <c r="E93" s="6" t="s">
        <v>13</v>
      </c>
      <c r="F93" s="16" t="s">
        <v>149</v>
      </c>
      <c r="G93" s="2" t="s">
        <v>674</v>
      </c>
      <c r="H93" s="63">
        <v>45003</v>
      </c>
      <c r="I93" s="37"/>
    </row>
    <row r="94" spans="1:9">
      <c r="A94" s="2" t="s">
        <v>421</v>
      </c>
      <c r="B94" s="2" t="s">
        <v>630</v>
      </c>
      <c r="C94" s="2">
        <v>7088</v>
      </c>
      <c r="D94" s="42" t="s">
        <v>147</v>
      </c>
      <c r="E94" s="6" t="s">
        <v>13</v>
      </c>
      <c r="F94" s="2" t="s">
        <v>149</v>
      </c>
      <c r="G94" s="2" t="s">
        <v>674</v>
      </c>
      <c r="H94" s="63">
        <f>_xlfn.XLOOKUP(OMJNT[[#This Row],[PLACA]],DitrbFlota[PLACA],DitrbFlota[Inicio Operación])</f>
        <v>45003</v>
      </c>
      <c r="I94" s="37"/>
    </row>
    <row r="95" spans="1:9">
      <c r="A95" s="16" t="s">
        <v>421</v>
      </c>
      <c r="B95" s="2" t="s">
        <v>821</v>
      </c>
      <c r="C95" s="16">
        <v>7089</v>
      </c>
      <c r="D95" s="42" t="s">
        <v>147</v>
      </c>
      <c r="E95" s="6" t="s">
        <v>13</v>
      </c>
      <c r="F95" s="16" t="s">
        <v>149</v>
      </c>
      <c r="G95" s="2" t="s">
        <v>674</v>
      </c>
      <c r="H95" s="63">
        <v>45003</v>
      </c>
      <c r="I95" s="37"/>
    </row>
    <row r="96" spans="1:9">
      <c r="A96" s="6" t="s">
        <v>421</v>
      </c>
      <c r="B96" s="6" t="s">
        <v>734</v>
      </c>
      <c r="C96" s="6">
        <v>7094</v>
      </c>
      <c r="D96" s="6" t="s">
        <v>147</v>
      </c>
      <c r="E96" s="6" t="s">
        <v>13</v>
      </c>
      <c r="F96" s="6" t="s">
        <v>149</v>
      </c>
      <c r="G96" s="6" t="s">
        <v>674</v>
      </c>
      <c r="H96" s="63">
        <v>45003</v>
      </c>
      <c r="I96" s="37"/>
    </row>
    <row r="97" spans="1:9">
      <c r="A97" s="6" t="s">
        <v>421</v>
      </c>
      <c r="B97" s="6" t="s">
        <v>735</v>
      </c>
      <c r="C97" s="6">
        <v>7108</v>
      </c>
      <c r="D97" s="6" t="s">
        <v>147</v>
      </c>
      <c r="E97" s="6" t="s">
        <v>13</v>
      </c>
      <c r="F97" s="6" t="s">
        <v>149</v>
      </c>
      <c r="G97" s="6" t="s">
        <v>674</v>
      </c>
      <c r="H97" s="63">
        <v>45003</v>
      </c>
      <c r="I97" s="37"/>
    </row>
    <row r="98" spans="1:9">
      <c r="A98" s="6" t="s">
        <v>421</v>
      </c>
      <c r="B98" s="6" t="s">
        <v>736</v>
      </c>
      <c r="C98" s="6">
        <v>7121</v>
      </c>
      <c r="D98" s="6" t="s">
        <v>147</v>
      </c>
      <c r="E98" s="6" t="s">
        <v>25</v>
      </c>
      <c r="F98" s="36" t="s">
        <v>149</v>
      </c>
      <c r="G98" s="6" t="s">
        <v>674</v>
      </c>
      <c r="H98" s="63">
        <v>45024</v>
      </c>
      <c r="I98" s="37"/>
    </row>
    <row r="99" spans="1:9">
      <c r="A99" s="6" t="s">
        <v>421</v>
      </c>
      <c r="B99" s="6" t="s">
        <v>737</v>
      </c>
      <c r="C99" s="6">
        <v>7122</v>
      </c>
      <c r="D99" s="6" t="s">
        <v>147</v>
      </c>
      <c r="E99" s="6" t="s">
        <v>25</v>
      </c>
      <c r="F99" s="36" t="s">
        <v>149</v>
      </c>
      <c r="G99" s="6" t="s">
        <v>674</v>
      </c>
      <c r="H99" s="63">
        <v>45024</v>
      </c>
      <c r="I99" s="37"/>
    </row>
    <row r="100" spans="1:9">
      <c r="A100" s="6" t="s">
        <v>421</v>
      </c>
      <c r="B100" s="6" t="s">
        <v>738</v>
      </c>
      <c r="C100" s="6">
        <v>7123</v>
      </c>
      <c r="D100" s="6" t="s">
        <v>147</v>
      </c>
      <c r="E100" s="6" t="s">
        <v>25</v>
      </c>
      <c r="F100" s="36" t="s">
        <v>149</v>
      </c>
      <c r="G100" s="6" t="s">
        <v>674</v>
      </c>
      <c r="H100" s="63">
        <v>45024</v>
      </c>
      <c r="I100" s="37"/>
    </row>
    <row r="101" spans="1:9">
      <c r="A101" s="6" t="s">
        <v>421</v>
      </c>
      <c r="B101" s="6" t="s">
        <v>739</v>
      </c>
      <c r="C101" s="6">
        <v>7124</v>
      </c>
      <c r="D101" s="6" t="s">
        <v>147</v>
      </c>
      <c r="E101" s="6" t="s">
        <v>25</v>
      </c>
      <c r="F101" s="36" t="s">
        <v>149</v>
      </c>
      <c r="G101" s="6" t="s">
        <v>674</v>
      </c>
      <c r="H101" s="63">
        <v>45024</v>
      </c>
      <c r="I101" s="37"/>
    </row>
    <row r="102" spans="1:9">
      <c r="A102" s="6" t="s">
        <v>421</v>
      </c>
      <c r="B102" s="6" t="s">
        <v>740</v>
      </c>
      <c r="C102" s="6">
        <v>7125</v>
      </c>
      <c r="D102" s="6" t="s">
        <v>147</v>
      </c>
      <c r="E102" s="6" t="s">
        <v>25</v>
      </c>
      <c r="F102" s="36" t="s">
        <v>149</v>
      </c>
      <c r="G102" s="6" t="s">
        <v>674</v>
      </c>
      <c r="H102" s="63">
        <v>45024</v>
      </c>
      <c r="I102" s="37"/>
    </row>
    <row r="103" spans="1:9">
      <c r="A103" s="6" t="s">
        <v>421</v>
      </c>
      <c r="B103" s="6" t="s">
        <v>741</v>
      </c>
      <c r="C103" s="6">
        <v>7126</v>
      </c>
      <c r="D103" s="6" t="s">
        <v>147</v>
      </c>
      <c r="E103" s="6" t="s">
        <v>13</v>
      </c>
      <c r="F103" s="36" t="s">
        <v>149</v>
      </c>
      <c r="G103" s="6" t="s">
        <v>674</v>
      </c>
      <c r="H103" s="63">
        <v>45024</v>
      </c>
      <c r="I103" s="37"/>
    </row>
    <row r="104" spans="1:9">
      <c r="A104" s="6" t="s">
        <v>421</v>
      </c>
      <c r="B104" s="6" t="s">
        <v>742</v>
      </c>
      <c r="C104" s="6">
        <v>7127</v>
      </c>
      <c r="D104" s="6" t="s">
        <v>147</v>
      </c>
      <c r="E104" s="6" t="s">
        <v>13</v>
      </c>
      <c r="F104" s="36" t="s">
        <v>149</v>
      </c>
      <c r="G104" s="6" t="s">
        <v>674</v>
      </c>
      <c r="H104" s="63">
        <v>45024</v>
      </c>
      <c r="I104" s="37"/>
    </row>
    <row r="105" spans="1:9">
      <c r="A105" s="6" t="s">
        <v>421</v>
      </c>
      <c r="B105" s="6" t="s">
        <v>743</v>
      </c>
      <c r="C105" s="6">
        <v>7128</v>
      </c>
      <c r="D105" s="6" t="s">
        <v>147</v>
      </c>
      <c r="E105" s="6" t="s">
        <v>13</v>
      </c>
      <c r="F105" s="36" t="s">
        <v>149</v>
      </c>
      <c r="G105" s="6" t="s">
        <v>674</v>
      </c>
      <c r="H105" s="63">
        <v>45024</v>
      </c>
      <c r="I105" s="37"/>
    </row>
    <row r="106" spans="1:9">
      <c r="A106" s="6" t="s">
        <v>421</v>
      </c>
      <c r="B106" s="6" t="s">
        <v>744</v>
      </c>
      <c r="C106" s="6">
        <v>7129</v>
      </c>
      <c r="D106" s="6" t="s">
        <v>147</v>
      </c>
      <c r="E106" s="6" t="s">
        <v>13</v>
      </c>
      <c r="F106" s="36" t="s">
        <v>149</v>
      </c>
      <c r="G106" s="6" t="s">
        <v>674</v>
      </c>
      <c r="H106" s="63">
        <v>45024</v>
      </c>
      <c r="I106" s="37"/>
    </row>
    <row r="107" spans="1:9">
      <c r="A107" s="6" t="s">
        <v>421</v>
      </c>
      <c r="B107" s="6" t="s">
        <v>745</v>
      </c>
      <c r="C107" s="6">
        <v>7130</v>
      </c>
      <c r="D107" s="6" t="s">
        <v>147</v>
      </c>
      <c r="E107" s="6" t="s">
        <v>13</v>
      </c>
      <c r="F107" s="36" t="s">
        <v>149</v>
      </c>
      <c r="G107" s="6" t="s">
        <v>674</v>
      </c>
      <c r="H107" s="63">
        <v>45024</v>
      </c>
      <c r="I107" s="37"/>
    </row>
    <row r="108" spans="1:9">
      <c r="A108" s="6" t="s">
        <v>421</v>
      </c>
      <c r="B108" s="6" t="s">
        <v>746</v>
      </c>
      <c r="C108" s="6">
        <v>7131</v>
      </c>
      <c r="D108" s="6" t="s">
        <v>147</v>
      </c>
      <c r="E108" s="6" t="s">
        <v>13</v>
      </c>
      <c r="F108" s="36" t="s">
        <v>149</v>
      </c>
      <c r="G108" s="6" t="s">
        <v>674</v>
      </c>
      <c r="H108" s="63">
        <v>45024</v>
      </c>
      <c r="I108" s="37"/>
    </row>
    <row r="109" spans="1:9">
      <c r="A109" s="6" t="s">
        <v>421</v>
      </c>
      <c r="B109" s="6" t="s">
        <v>747</v>
      </c>
      <c r="C109" s="6">
        <v>7132</v>
      </c>
      <c r="D109" s="6" t="s">
        <v>147</v>
      </c>
      <c r="E109" s="6" t="s">
        <v>13</v>
      </c>
      <c r="F109" s="36" t="s">
        <v>149</v>
      </c>
      <c r="G109" s="6" t="s">
        <v>674</v>
      </c>
      <c r="H109" s="63">
        <v>45024</v>
      </c>
      <c r="I109" s="37"/>
    </row>
    <row r="110" spans="1:9">
      <c r="A110" s="6" t="s">
        <v>421</v>
      </c>
      <c r="B110" s="6" t="s">
        <v>748</v>
      </c>
      <c r="C110" s="6">
        <v>7133</v>
      </c>
      <c r="D110" s="6" t="s">
        <v>147</v>
      </c>
      <c r="E110" s="6" t="s">
        <v>13</v>
      </c>
      <c r="F110" s="36" t="s">
        <v>149</v>
      </c>
      <c r="G110" s="6" t="s">
        <v>674</v>
      </c>
      <c r="H110" s="63">
        <v>45024</v>
      </c>
      <c r="I110" s="37"/>
    </row>
    <row r="111" spans="1:9">
      <c r="A111" s="6" t="s">
        <v>421</v>
      </c>
      <c r="B111" s="6" t="s">
        <v>749</v>
      </c>
      <c r="C111" s="6">
        <v>7134</v>
      </c>
      <c r="D111" s="6" t="s">
        <v>147</v>
      </c>
      <c r="E111" s="6" t="s">
        <v>13</v>
      </c>
      <c r="F111" s="36" t="s">
        <v>149</v>
      </c>
      <c r="G111" s="6" t="s">
        <v>674</v>
      </c>
      <c r="H111" s="63">
        <v>45024</v>
      </c>
      <c r="I111" s="37"/>
    </row>
    <row r="112" spans="1:9">
      <c r="A112" s="6" t="s">
        <v>421</v>
      </c>
      <c r="B112" s="6" t="s">
        <v>750</v>
      </c>
      <c r="C112" s="6">
        <v>7135</v>
      </c>
      <c r="D112" s="6" t="s">
        <v>147</v>
      </c>
      <c r="E112" s="6" t="s">
        <v>13</v>
      </c>
      <c r="F112" s="36" t="s">
        <v>149</v>
      </c>
      <c r="G112" s="6" t="s">
        <v>674</v>
      </c>
      <c r="H112" s="63">
        <v>45024</v>
      </c>
      <c r="I112" s="37"/>
    </row>
    <row r="113" spans="1:9">
      <c r="A113" s="6" t="s">
        <v>421</v>
      </c>
      <c r="B113" s="6" t="s">
        <v>751</v>
      </c>
      <c r="C113" s="6">
        <v>7136</v>
      </c>
      <c r="D113" s="6" t="s">
        <v>147</v>
      </c>
      <c r="E113" s="6" t="s">
        <v>13</v>
      </c>
      <c r="F113" s="36" t="s">
        <v>149</v>
      </c>
      <c r="G113" s="6" t="s">
        <v>674</v>
      </c>
      <c r="H113" s="63">
        <v>45024</v>
      </c>
      <c r="I113" s="37"/>
    </row>
    <row r="114" spans="1:9">
      <c r="A114" s="6" t="s">
        <v>421</v>
      </c>
      <c r="B114" s="6" t="s">
        <v>752</v>
      </c>
      <c r="C114" s="6">
        <v>7137</v>
      </c>
      <c r="D114" s="6" t="s">
        <v>147</v>
      </c>
      <c r="E114" s="6" t="s">
        <v>13</v>
      </c>
      <c r="F114" s="36" t="s">
        <v>149</v>
      </c>
      <c r="G114" s="6" t="s">
        <v>674</v>
      </c>
      <c r="H114" s="63">
        <v>45024</v>
      </c>
      <c r="I114" s="37"/>
    </row>
    <row r="115" spans="1:9">
      <c r="A115" s="50" t="s">
        <v>421</v>
      </c>
      <c r="B115" s="6" t="s">
        <v>753</v>
      </c>
      <c r="C115" s="6">
        <v>7138</v>
      </c>
      <c r="D115" s="6" t="s">
        <v>147</v>
      </c>
      <c r="E115" s="6" t="s">
        <v>13</v>
      </c>
      <c r="F115" s="36" t="s">
        <v>149</v>
      </c>
      <c r="G115" s="6" t="s">
        <v>674</v>
      </c>
      <c r="H115" s="8">
        <v>45024</v>
      </c>
      <c r="I115" s="37"/>
    </row>
    <row r="116" spans="1:9">
      <c r="A116" s="50" t="s">
        <v>421</v>
      </c>
      <c r="B116" s="6" t="s">
        <v>754</v>
      </c>
      <c r="C116" s="6">
        <v>7139</v>
      </c>
      <c r="D116" s="6" t="s">
        <v>147</v>
      </c>
      <c r="E116" s="6" t="s">
        <v>13</v>
      </c>
      <c r="F116" s="36" t="s">
        <v>149</v>
      </c>
      <c r="G116" s="6" t="s">
        <v>674</v>
      </c>
      <c r="H116" s="8">
        <v>45024</v>
      </c>
      <c r="I116" s="37"/>
    </row>
    <row r="117" spans="1:9">
      <c r="A117" s="50" t="s">
        <v>421</v>
      </c>
      <c r="B117" s="6" t="s">
        <v>755</v>
      </c>
      <c r="C117" s="6">
        <v>7140</v>
      </c>
      <c r="D117" s="6" t="s">
        <v>147</v>
      </c>
      <c r="E117" s="6" t="s">
        <v>13</v>
      </c>
      <c r="F117" s="36" t="s">
        <v>149</v>
      </c>
      <c r="G117" s="6" t="s">
        <v>674</v>
      </c>
      <c r="H117" s="8">
        <v>45024</v>
      </c>
      <c r="I117" s="37"/>
    </row>
    <row r="118" spans="1:9">
      <c r="A118" s="50" t="s">
        <v>421</v>
      </c>
      <c r="B118" s="6" t="s">
        <v>756</v>
      </c>
      <c r="C118" s="6">
        <v>7141</v>
      </c>
      <c r="D118" s="6" t="s">
        <v>147</v>
      </c>
      <c r="E118" s="6" t="s">
        <v>13</v>
      </c>
      <c r="F118" s="36" t="s">
        <v>149</v>
      </c>
      <c r="G118" s="6" t="s">
        <v>674</v>
      </c>
      <c r="H118" s="8">
        <v>45024</v>
      </c>
      <c r="I118" s="37"/>
    </row>
    <row r="119" spans="1:9">
      <c r="A119" s="50" t="s">
        <v>421</v>
      </c>
      <c r="B119" s="6" t="s">
        <v>757</v>
      </c>
      <c r="C119" s="6">
        <v>7142</v>
      </c>
      <c r="D119" s="6" t="s">
        <v>147</v>
      </c>
      <c r="E119" s="6" t="s">
        <v>13</v>
      </c>
      <c r="F119" s="36" t="s">
        <v>149</v>
      </c>
      <c r="G119" s="6" t="s">
        <v>674</v>
      </c>
      <c r="H119" s="8">
        <v>45024</v>
      </c>
      <c r="I119" s="37"/>
    </row>
    <row r="120" spans="1:9">
      <c r="A120" s="50" t="s">
        <v>421</v>
      </c>
      <c r="B120" s="6" t="s">
        <v>758</v>
      </c>
      <c r="C120" s="6">
        <v>7143</v>
      </c>
      <c r="D120" s="6" t="s">
        <v>147</v>
      </c>
      <c r="E120" s="6" t="s">
        <v>13</v>
      </c>
      <c r="F120" s="36" t="s">
        <v>149</v>
      </c>
      <c r="G120" s="6" t="s">
        <v>674</v>
      </c>
      <c r="H120" s="8">
        <v>45024</v>
      </c>
      <c r="I120" s="37"/>
    </row>
    <row r="121" spans="1:9">
      <c r="A121" s="50" t="s">
        <v>421</v>
      </c>
      <c r="B121" s="6" t="s">
        <v>759</v>
      </c>
      <c r="C121" s="6">
        <v>7144</v>
      </c>
      <c r="D121" s="6" t="s">
        <v>147</v>
      </c>
      <c r="E121" s="6" t="s">
        <v>13</v>
      </c>
      <c r="F121" s="36" t="s">
        <v>149</v>
      </c>
      <c r="G121" s="6" t="s">
        <v>674</v>
      </c>
      <c r="H121" s="8">
        <v>45024</v>
      </c>
      <c r="I121" s="37"/>
    </row>
    <row r="122" spans="1:9">
      <c r="A122" s="50" t="s">
        <v>421</v>
      </c>
      <c r="B122" s="6" t="s">
        <v>760</v>
      </c>
      <c r="C122" s="6">
        <v>7145</v>
      </c>
      <c r="D122" s="6" t="s">
        <v>147</v>
      </c>
      <c r="E122" s="6" t="s">
        <v>13</v>
      </c>
      <c r="F122" s="36" t="s">
        <v>149</v>
      </c>
      <c r="G122" s="6" t="s">
        <v>674</v>
      </c>
      <c r="H122" s="8">
        <v>45024</v>
      </c>
      <c r="I122" s="37"/>
    </row>
    <row r="123" spans="1:9">
      <c r="A123" s="50" t="s">
        <v>421</v>
      </c>
      <c r="B123" s="6" t="s">
        <v>761</v>
      </c>
      <c r="C123" s="6">
        <v>7146</v>
      </c>
      <c r="D123" s="6" t="s">
        <v>147</v>
      </c>
      <c r="E123" s="6" t="s">
        <v>13</v>
      </c>
      <c r="F123" s="36" t="s">
        <v>149</v>
      </c>
      <c r="G123" s="6" t="s">
        <v>674</v>
      </c>
      <c r="H123" s="8">
        <v>45024</v>
      </c>
      <c r="I123" s="37"/>
    </row>
    <row r="124" spans="1:9">
      <c r="A124" s="50" t="s">
        <v>421</v>
      </c>
      <c r="B124" s="6" t="s">
        <v>762</v>
      </c>
      <c r="C124" s="6">
        <v>7147</v>
      </c>
      <c r="D124" s="6" t="s">
        <v>147</v>
      </c>
      <c r="E124" s="6" t="s">
        <v>13</v>
      </c>
      <c r="F124" s="36" t="s">
        <v>149</v>
      </c>
      <c r="G124" s="6" t="s">
        <v>674</v>
      </c>
      <c r="H124" s="8">
        <v>45024</v>
      </c>
      <c r="I124" s="37"/>
    </row>
    <row r="125" spans="1:9">
      <c r="A125" s="50" t="s">
        <v>421</v>
      </c>
      <c r="B125" s="6" t="s">
        <v>763</v>
      </c>
      <c r="C125" s="6">
        <v>7148</v>
      </c>
      <c r="D125" s="6" t="s">
        <v>147</v>
      </c>
      <c r="E125" s="6" t="s">
        <v>13</v>
      </c>
      <c r="F125" s="36" t="s">
        <v>149</v>
      </c>
      <c r="G125" s="6" t="s">
        <v>674</v>
      </c>
      <c r="H125" s="8">
        <v>45024</v>
      </c>
      <c r="I125" s="37"/>
    </row>
    <row r="126" spans="1:9">
      <c r="A126" s="50" t="s">
        <v>421</v>
      </c>
      <c r="B126" s="6" t="s">
        <v>764</v>
      </c>
      <c r="C126" s="6">
        <v>7149</v>
      </c>
      <c r="D126" s="6" t="s">
        <v>147</v>
      </c>
      <c r="E126" s="6" t="s">
        <v>13</v>
      </c>
      <c r="F126" s="36" t="s">
        <v>149</v>
      </c>
      <c r="G126" s="6" t="s">
        <v>674</v>
      </c>
      <c r="H126" s="8">
        <v>45024</v>
      </c>
      <c r="I126" s="37"/>
    </row>
    <row r="127" spans="1:9">
      <c r="A127" s="50" t="s">
        <v>421</v>
      </c>
      <c r="B127" s="6" t="s">
        <v>765</v>
      </c>
      <c r="C127" s="6">
        <v>7150</v>
      </c>
      <c r="D127" s="6" t="s">
        <v>147</v>
      </c>
      <c r="E127" s="6" t="s">
        <v>13</v>
      </c>
      <c r="F127" s="36" t="s">
        <v>149</v>
      </c>
      <c r="G127" s="6" t="s">
        <v>674</v>
      </c>
      <c r="H127" s="8">
        <v>45024</v>
      </c>
      <c r="I127" s="37"/>
    </row>
    <row r="128" spans="1:9">
      <c r="A128" s="50" t="s">
        <v>421</v>
      </c>
      <c r="B128" s="6" t="s">
        <v>766</v>
      </c>
      <c r="C128" s="6">
        <v>7151</v>
      </c>
      <c r="D128" s="6" t="s">
        <v>147</v>
      </c>
      <c r="E128" s="6" t="s">
        <v>13</v>
      </c>
      <c r="F128" s="36" t="s">
        <v>149</v>
      </c>
      <c r="G128" s="6" t="s">
        <v>674</v>
      </c>
      <c r="H128" s="8">
        <v>45024</v>
      </c>
      <c r="I128" s="37"/>
    </row>
    <row r="129" spans="1:9">
      <c r="A129" s="50" t="s">
        <v>421</v>
      </c>
      <c r="B129" s="6" t="s">
        <v>767</v>
      </c>
      <c r="C129" s="6">
        <v>7152</v>
      </c>
      <c r="D129" s="6" t="s">
        <v>147</v>
      </c>
      <c r="E129" s="6" t="s">
        <v>13</v>
      </c>
      <c r="F129" s="36" t="s">
        <v>149</v>
      </c>
      <c r="G129" s="6" t="s">
        <v>674</v>
      </c>
      <c r="H129" s="8">
        <v>45024</v>
      </c>
      <c r="I129" s="339"/>
    </row>
    <row r="130" spans="1:9">
      <c r="A130" s="50" t="s">
        <v>421</v>
      </c>
      <c r="B130" s="6" t="s">
        <v>768</v>
      </c>
      <c r="C130" s="6">
        <v>7153</v>
      </c>
      <c r="D130" s="6" t="s">
        <v>147</v>
      </c>
      <c r="E130" s="6" t="s">
        <v>13</v>
      </c>
      <c r="F130" s="36" t="s">
        <v>149</v>
      </c>
      <c r="G130" s="6" t="s">
        <v>674</v>
      </c>
      <c r="H130" s="8">
        <v>45024</v>
      </c>
      <c r="I130" s="339"/>
    </row>
    <row r="131" spans="1:9">
      <c r="A131" s="50" t="s">
        <v>421</v>
      </c>
      <c r="B131" s="6" t="s">
        <v>769</v>
      </c>
      <c r="C131" s="6">
        <v>7154</v>
      </c>
      <c r="D131" s="6" t="s">
        <v>147</v>
      </c>
      <c r="E131" s="6" t="s">
        <v>13</v>
      </c>
      <c r="F131" s="36" t="s">
        <v>149</v>
      </c>
      <c r="G131" s="6" t="s">
        <v>674</v>
      </c>
      <c r="H131" s="8">
        <v>45024</v>
      </c>
      <c r="I131" s="339"/>
    </row>
    <row r="132" spans="1:9">
      <c r="A132" s="50" t="s">
        <v>421</v>
      </c>
      <c r="B132" s="6" t="s">
        <v>770</v>
      </c>
      <c r="C132" s="6">
        <v>7155</v>
      </c>
      <c r="D132" s="6" t="s">
        <v>147</v>
      </c>
      <c r="E132" s="6" t="s">
        <v>13</v>
      </c>
      <c r="F132" s="36" t="s">
        <v>149</v>
      </c>
      <c r="G132" s="6" t="s">
        <v>674</v>
      </c>
      <c r="H132" s="8">
        <v>45024</v>
      </c>
      <c r="I132" s="339"/>
    </row>
    <row r="133" spans="1:9">
      <c r="A133" s="50" t="s">
        <v>421</v>
      </c>
      <c r="B133" s="6" t="s">
        <v>771</v>
      </c>
      <c r="C133" s="6">
        <v>7156</v>
      </c>
      <c r="D133" s="6" t="s">
        <v>147</v>
      </c>
      <c r="E133" s="6" t="s">
        <v>13</v>
      </c>
      <c r="F133" s="36" t="s">
        <v>149</v>
      </c>
      <c r="G133" s="6" t="s">
        <v>674</v>
      </c>
      <c r="H133" s="8">
        <v>45024</v>
      </c>
      <c r="I133" s="339"/>
    </row>
    <row r="134" spans="1:9">
      <c r="A134" s="114" t="s">
        <v>421</v>
      </c>
      <c r="B134" s="46" t="s">
        <v>772</v>
      </c>
      <c r="C134" s="46">
        <v>7157</v>
      </c>
      <c r="D134" s="6" t="s">
        <v>147</v>
      </c>
      <c r="E134" s="46" t="s">
        <v>13</v>
      </c>
      <c r="F134" s="343" t="s">
        <v>149</v>
      </c>
      <c r="G134" s="46" t="s">
        <v>674</v>
      </c>
      <c r="H134" s="14">
        <v>45024</v>
      </c>
      <c r="I134" s="339"/>
    </row>
    <row r="135" spans="1:9">
      <c r="A135" s="50" t="s">
        <v>421</v>
      </c>
      <c r="B135" s="6" t="s">
        <v>773</v>
      </c>
      <c r="C135" s="6">
        <v>7158</v>
      </c>
      <c r="D135" s="6" t="s">
        <v>147</v>
      </c>
      <c r="E135" s="6" t="s">
        <v>13</v>
      </c>
      <c r="F135" s="36" t="s">
        <v>149</v>
      </c>
      <c r="G135" s="6" t="s">
        <v>674</v>
      </c>
      <c r="H135" s="8">
        <v>45024</v>
      </c>
      <c r="I135" s="37"/>
    </row>
    <row r="136" spans="1:9">
      <c r="A136" s="50" t="s">
        <v>421</v>
      </c>
      <c r="B136" s="6" t="s">
        <v>774</v>
      </c>
      <c r="C136" s="6">
        <v>7159</v>
      </c>
      <c r="D136" s="6" t="s">
        <v>147</v>
      </c>
      <c r="E136" s="6" t="s">
        <v>13</v>
      </c>
      <c r="F136" s="36" t="s">
        <v>149</v>
      </c>
      <c r="G136" s="6" t="s">
        <v>674</v>
      </c>
      <c r="H136" s="8">
        <v>45024</v>
      </c>
      <c r="I136" s="37"/>
    </row>
    <row r="137" spans="1:9">
      <c r="A137" s="50" t="s">
        <v>421</v>
      </c>
      <c r="B137" s="6" t="s">
        <v>775</v>
      </c>
      <c r="C137" s="6">
        <v>7160</v>
      </c>
      <c r="D137" s="6" t="s">
        <v>147</v>
      </c>
      <c r="E137" s="6" t="s">
        <v>13</v>
      </c>
      <c r="F137" s="36" t="s">
        <v>149</v>
      </c>
      <c r="G137" s="6" t="s">
        <v>674</v>
      </c>
      <c r="H137" s="8">
        <v>45024</v>
      </c>
      <c r="I137" s="37"/>
    </row>
    <row r="138" spans="1:9">
      <c r="A138" s="50" t="s">
        <v>421</v>
      </c>
      <c r="B138" s="6" t="s">
        <v>776</v>
      </c>
      <c r="C138" s="6">
        <v>7161</v>
      </c>
      <c r="D138" s="6" t="s">
        <v>147</v>
      </c>
      <c r="E138" s="6" t="s">
        <v>13</v>
      </c>
      <c r="F138" s="36" t="s">
        <v>149</v>
      </c>
      <c r="G138" s="6" t="s">
        <v>674</v>
      </c>
      <c r="H138" s="8">
        <v>45024</v>
      </c>
      <c r="I138" s="37"/>
    </row>
    <row r="139" spans="1:9">
      <c r="A139" s="114" t="s">
        <v>421</v>
      </c>
      <c r="B139" s="46" t="s">
        <v>777</v>
      </c>
      <c r="C139" s="46">
        <v>7162</v>
      </c>
      <c r="D139" s="46" t="s">
        <v>147</v>
      </c>
      <c r="E139" s="46" t="s">
        <v>13</v>
      </c>
      <c r="F139" s="343" t="s">
        <v>149</v>
      </c>
      <c r="G139" s="46" t="s">
        <v>674</v>
      </c>
      <c r="H139" s="14">
        <v>45024</v>
      </c>
      <c r="I139" s="37"/>
    </row>
    <row r="140" spans="1:9">
      <c r="A140" s="50" t="s">
        <v>421</v>
      </c>
      <c r="B140" s="6" t="s">
        <v>778</v>
      </c>
      <c r="C140" s="6">
        <v>7163</v>
      </c>
      <c r="D140" s="6" t="s">
        <v>147</v>
      </c>
      <c r="E140" s="6" t="s">
        <v>13</v>
      </c>
      <c r="F140" s="36" t="s">
        <v>149</v>
      </c>
      <c r="G140" s="6" t="s">
        <v>674</v>
      </c>
      <c r="H140" s="8">
        <v>45024</v>
      </c>
    </row>
    <row r="141" spans="1:9">
      <c r="A141" s="50" t="s">
        <v>421</v>
      </c>
      <c r="B141" s="6" t="s">
        <v>779</v>
      </c>
      <c r="C141" s="6">
        <v>7164</v>
      </c>
      <c r="D141" s="6" t="s">
        <v>147</v>
      </c>
      <c r="E141" s="6" t="s">
        <v>13</v>
      </c>
      <c r="F141" s="36" t="s">
        <v>149</v>
      </c>
      <c r="G141" s="6" t="s">
        <v>674</v>
      </c>
      <c r="H141" s="8">
        <v>45024</v>
      </c>
    </row>
    <row r="142" spans="1:9">
      <c r="A142" s="50" t="s">
        <v>421</v>
      </c>
      <c r="B142" s="6" t="s">
        <v>780</v>
      </c>
      <c r="C142" s="6">
        <v>7165</v>
      </c>
      <c r="D142" s="6" t="s">
        <v>147</v>
      </c>
      <c r="E142" s="6" t="s">
        <v>13</v>
      </c>
      <c r="F142" s="36" t="s">
        <v>149</v>
      </c>
      <c r="G142" s="6" t="s">
        <v>674</v>
      </c>
      <c r="H142" s="8">
        <v>45024</v>
      </c>
    </row>
    <row r="143" spans="1:9">
      <c r="A143" s="50" t="s">
        <v>421</v>
      </c>
      <c r="B143" s="6" t="s">
        <v>781</v>
      </c>
      <c r="C143" s="6">
        <v>7166</v>
      </c>
      <c r="D143" s="6" t="s">
        <v>147</v>
      </c>
      <c r="E143" s="6" t="s">
        <v>13</v>
      </c>
      <c r="F143" s="36" t="s">
        <v>149</v>
      </c>
      <c r="G143" s="6" t="s">
        <v>674</v>
      </c>
      <c r="H143" s="8">
        <v>45024</v>
      </c>
    </row>
    <row r="144" spans="1:9">
      <c r="A144" s="114" t="s">
        <v>421</v>
      </c>
      <c r="B144" s="46" t="s">
        <v>782</v>
      </c>
      <c r="C144" s="46">
        <v>7167</v>
      </c>
      <c r="D144" s="46" t="s">
        <v>147</v>
      </c>
      <c r="E144" s="46" t="s">
        <v>13</v>
      </c>
      <c r="F144" s="343" t="s">
        <v>149</v>
      </c>
      <c r="G144" s="46" t="s">
        <v>674</v>
      </c>
      <c r="H144" s="14">
        <v>45024</v>
      </c>
    </row>
    <row r="145" spans="1:8">
      <c r="A145" s="50" t="s">
        <v>421</v>
      </c>
      <c r="B145" s="6" t="s">
        <v>783</v>
      </c>
      <c r="C145" s="6">
        <v>7168</v>
      </c>
      <c r="D145" s="6" t="s">
        <v>147</v>
      </c>
      <c r="E145" s="6" t="s">
        <v>13</v>
      </c>
      <c r="F145" s="36" t="s">
        <v>149</v>
      </c>
      <c r="G145" s="6" t="s">
        <v>674</v>
      </c>
      <c r="H145" s="8">
        <v>45024</v>
      </c>
    </row>
    <row r="146" spans="1:8">
      <c r="A146" s="50" t="s">
        <v>421</v>
      </c>
      <c r="B146" s="6" t="s">
        <v>784</v>
      </c>
      <c r="C146" s="6">
        <v>7169</v>
      </c>
      <c r="D146" s="6" t="s">
        <v>147</v>
      </c>
      <c r="E146" s="6" t="s">
        <v>13</v>
      </c>
      <c r="F146" s="36" t="s">
        <v>149</v>
      </c>
      <c r="G146" s="6" t="s">
        <v>674</v>
      </c>
      <c r="H146" s="8">
        <v>45024</v>
      </c>
    </row>
    <row r="147" spans="1:8">
      <c r="A147" s="50" t="s">
        <v>421</v>
      </c>
      <c r="B147" s="6" t="s">
        <v>785</v>
      </c>
      <c r="C147" s="6">
        <v>7170</v>
      </c>
      <c r="D147" s="6" t="s">
        <v>147</v>
      </c>
      <c r="E147" s="6" t="s">
        <v>13</v>
      </c>
      <c r="F147" s="36" t="s">
        <v>149</v>
      </c>
      <c r="G147" s="6" t="s">
        <v>674</v>
      </c>
      <c r="H147" s="8">
        <v>45024</v>
      </c>
    </row>
    <row r="148" spans="1:8">
      <c r="A148" s="50" t="s">
        <v>421</v>
      </c>
      <c r="B148" s="6" t="s">
        <v>786</v>
      </c>
      <c r="C148" s="6">
        <v>7171</v>
      </c>
      <c r="D148" s="6" t="s">
        <v>147</v>
      </c>
      <c r="E148" s="6" t="s">
        <v>13</v>
      </c>
      <c r="F148" s="36" t="s">
        <v>149</v>
      </c>
      <c r="G148" s="6" t="s">
        <v>674</v>
      </c>
      <c r="H148" s="8">
        <v>45024</v>
      </c>
    </row>
    <row r="149" spans="1:8">
      <c r="A149" s="50" t="s">
        <v>421</v>
      </c>
      <c r="B149" s="6" t="s">
        <v>787</v>
      </c>
      <c r="C149" s="6">
        <v>7172</v>
      </c>
      <c r="D149" s="6" t="s">
        <v>147</v>
      </c>
      <c r="E149" s="6" t="s">
        <v>13</v>
      </c>
      <c r="F149" s="36" t="s">
        <v>149</v>
      </c>
      <c r="G149" s="6" t="s">
        <v>674</v>
      </c>
      <c r="H149" s="8">
        <v>45024</v>
      </c>
    </row>
    <row r="150" spans="1:8">
      <c r="A150" s="50" t="s">
        <v>421</v>
      </c>
      <c r="B150" s="6" t="s">
        <v>788</v>
      </c>
      <c r="C150" s="6">
        <v>7173</v>
      </c>
      <c r="D150" s="6" t="s">
        <v>147</v>
      </c>
      <c r="E150" s="6" t="s">
        <v>13</v>
      </c>
      <c r="F150" s="36" t="s">
        <v>149</v>
      </c>
      <c r="G150" s="6" t="s">
        <v>674</v>
      </c>
      <c r="H150" s="8">
        <v>45024</v>
      </c>
    </row>
    <row r="151" spans="1:8">
      <c r="A151" s="50" t="s">
        <v>421</v>
      </c>
      <c r="B151" s="6" t="s">
        <v>789</v>
      </c>
      <c r="C151" s="6">
        <v>7174</v>
      </c>
      <c r="D151" s="6" t="s">
        <v>147</v>
      </c>
      <c r="E151" s="6" t="s">
        <v>13</v>
      </c>
      <c r="F151" s="36" t="s">
        <v>149</v>
      </c>
      <c r="G151" s="6" t="s">
        <v>674</v>
      </c>
      <c r="H151" s="8">
        <v>45024</v>
      </c>
    </row>
    <row r="152" spans="1:8">
      <c r="A152" s="50" t="s">
        <v>421</v>
      </c>
      <c r="B152" s="6" t="s">
        <v>790</v>
      </c>
      <c r="C152" s="6">
        <v>7175</v>
      </c>
      <c r="D152" s="6" t="s">
        <v>147</v>
      </c>
      <c r="E152" s="6" t="s">
        <v>13</v>
      </c>
      <c r="F152" s="36" t="s">
        <v>149</v>
      </c>
      <c r="G152" s="6" t="s">
        <v>674</v>
      </c>
      <c r="H152" s="8">
        <v>45024</v>
      </c>
    </row>
    <row r="153" spans="1:8">
      <c r="A153" s="50" t="s">
        <v>421</v>
      </c>
      <c r="B153" s="6" t="s">
        <v>791</v>
      </c>
      <c r="C153" s="6">
        <v>7176</v>
      </c>
      <c r="D153" s="6" t="s">
        <v>147</v>
      </c>
      <c r="E153" s="6" t="s">
        <v>13</v>
      </c>
      <c r="F153" s="36" t="s">
        <v>149</v>
      </c>
      <c r="G153" s="6" t="s">
        <v>674</v>
      </c>
      <c r="H153" s="8">
        <v>45024</v>
      </c>
    </row>
    <row r="154" spans="1:8">
      <c r="A154" s="50" t="s">
        <v>421</v>
      </c>
      <c r="B154" s="6" t="s">
        <v>792</v>
      </c>
      <c r="C154" s="6">
        <v>7177</v>
      </c>
      <c r="D154" s="6" t="s">
        <v>147</v>
      </c>
      <c r="E154" s="6" t="s">
        <v>13</v>
      </c>
      <c r="F154" s="36" t="s">
        <v>149</v>
      </c>
      <c r="G154" s="6" t="s">
        <v>674</v>
      </c>
      <c r="H154" s="8">
        <v>45024</v>
      </c>
    </row>
    <row r="155" spans="1:8">
      <c r="A155" s="50" t="s">
        <v>421</v>
      </c>
      <c r="B155" s="6" t="s">
        <v>793</v>
      </c>
      <c r="C155" s="6">
        <v>7178</v>
      </c>
      <c r="D155" s="6" t="s">
        <v>147</v>
      </c>
      <c r="E155" s="6" t="s">
        <v>13</v>
      </c>
      <c r="F155" s="36" t="s">
        <v>149</v>
      </c>
      <c r="G155" s="6" t="s">
        <v>674</v>
      </c>
      <c r="H155" s="8">
        <v>45024</v>
      </c>
    </row>
    <row r="156" spans="1:8">
      <c r="A156" s="50" t="s">
        <v>421</v>
      </c>
      <c r="B156" s="6" t="s">
        <v>794</v>
      </c>
      <c r="C156" s="6">
        <v>7179</v>
      </c>
      <c r="D156" s="6" t="s">
        <v>147</v>
      </c>
      <c r="E156" s="6" t="s">
        <v>13</v>
      </c>
      <c r="F156" s="36" t="s">
        <v>149</v>
      </c>
      <c r="G156" s="6" t="s">
        <v>674</v>
      </c>
      <c r="H156" s="8">
        <v>45024</v>
      </c>
    </row>
    <row r="157" spans="1:8">
      <c r="A157" s="50" t="s">
        <v>421</v>
      </c>
      <c r="B157" s="6" t="s">
        <v>795</v>
      </c>
      <c r="C157" s="6">
        <v>7180</v>
      </c>
      <c r="D157" s="6" t="s">
        <v>147</v>
      </c>
      <c r="E157" s="6" t="s">
        <v>13</v>
      </c>
      <c r="F157" s="36" t="s">
        <v>149</v>
      </c>
      <c r="G157" s="6" t="s">
        <v>674</v>
      </c>
      <c r="H157" s="8">
        <v>45024</v>
      </c>
    </row>
    <row r="158" spans="1:8">
      <c r="A158" s="50" t="s">
        <v>421</v>
      </c>
      <c r="B158" s="6" t="s">
        <v>796</v>
      </c>
      <c r="C158" s="6">
        <v>7181</v>
      </c>
      <c r="D158" s="6" t="s">
        <v>147</v>
      </c>
      <c r="E158" s="6" t="s">
        <v>13</v>
      </c>
      <c r="F158" s="36" t="s">
        <v>149</v>
      </c>
      <c r="G158" s="6" t="s">
        <v>674</v>
      </c>
      <c r="H158" s="8">
        <v>45024</v>
      </c>
    </row>
    <row r="159" spans="1:8">
      <c r="A159" s="50" t="s">
        <v>421</v>
      </c>
      <c r="B159" s="6" t="s">
        <v>797</v>
      </c>
      <c r="C159" s="6">
        <v>7182</v>
      </c>
      <c r="D159" s="6" t="s">
        <v>147</v>
      </c>
      <c r="E159" s="6" t="s">
        <v>13</v>
      </c>
      <c r="F159" s="36" t="s">
        <v>149</v>
      </c>
      <c r="G159" s="6" t="s">
        <v>674</v>
      </c>
      <c r="H159" s="8">
        <v>45024</v>
      </c>
    </row>
    <row r="160" spans="1:8">
      <c r="A160" s="50" t="s">
        <v>421</v>
      </c>
      <c r="B160" s="6" t="s">
        <v>798</v>
      </c>
      <c r="C160" s="6">
        <v>7183</v>
      </c>
      <c r="D160" s="6" t="s">
        <v>147</v>
      </c>
      <c r="E160" s="6" t="s">
        <v>13</v>
      </c>
      <c r="F160" s="36" t="s">
        <v>149</v>
      </c>
      <c r="G160" s="6" t="s">
        <v>674</v>
      </c>
      <c r="H160" s="8">
        <v>45024</v>
      </c>
    </row>
    <row r="161" spans="1:8">
      <c r="A161" s="50" t="s">
        <v>421</v>
      </c>
      <c r="B161" s="6" t="s">
        <v>799</v>
      </c>
      <c r="C161" s="6">
        <v>7184</v>
      </c>
      <c r="D161" s="6" t="s">
        <v>147</v>
      </c>
      <c r="E161" s="6" t="s">
        <v>13</v>
      </c>
      <c r="F161" s="36" t="s">
        <v>149</v>
      </c>
      <c r="G161" s="6" t="s">
        <v>674</v>
      </c>
      <c r="H161" s="8">
        <v>45024</v>
      </c>
    </row>
    <row r="162" spans="1:8">
      <c r="A162" s="50" t="s">
        <v>421</v>
      </c>
      <c r="B162" s="6" t="s">
        <v>800</v>
      </c>
      <c r="C162" s="6">
        <v>7185</v>
      </c>
      <c r="D162" s="6" t="s">
        <v>147</v>
      </c>
      <c r="E162" s="6" t="s">
        <v>13</v>
      </c>
      <c r="F162" s="36" t="s">
        <v>149</v>
      </c>
      <c r="G162" s="6" t="s">
        <v>674</v>
      </c>
      <c r="H162" s="8">
        <v>45024</v>
      </c>
    </row>
    <row r="163" spans="1:8">
      <c r="A163" s="50" t="s">
        <v>421</v>
      </c>
      <c r="B163" s="6" t="s">
        <v>801</v>
      </c>
      <c r="C163" s="6">
        <v>7186</v>
      </c>
      <c r="D163" s="6" t="s">
        <v>147</v>
      </c>
      <c r="E163" s="6" t="s">
        <v>13</v>
      </c>
      <c r="F163" s="36" t="s">
        <v>149</v>
      </c>
      <c r="G163" s="6" t="s">
        <v>674</v>
      </c>
      <c r="H163" s="8">
        <v>45024</v>
      </c>
    </row>
    <row r="164" spans="1:8">
      <c r="A164" s="50" t="s">
        <v>421</v>
      </c>
      <c r="B164" s="6" t="s">
        <v>802</v>
      </c>
      <c r="C164" s="6">
        <v>7187</v>
      </c>
      <c r="D164" s="6" t="s">
        <v>147</v>
      </c>
      <c r="E164" s="6" t="s">
        <v>13</v>
      </c>
      <c r="F164" s="36" t="s">
        <v>149</v>
      </c>
      <c r="G164" s="6" t="s">
        <v>674</v>
      </c>
      <c r="H164" s="8">
        <v>45024</v>
      </c>
    </row>
    <row r="165" spans="1:8">
      <c r="A165" s="50" t="s">
        <v>421</v>
      </c>
      <c r="B165" s="6" t="s">
        <v>803</v>
      </c>
      <c r="C165" s="6">
        <v>7188</v>
      </c>
      <c r="D165" s="6" t="s">
        <v>147</v>
      </c>
      <c r="E165" s="6" t="s">
        <v>13</v>
      </c>
      <c r="F165" s="36" t="s">
        <v>149</v>
      </c>
      <c r="G165" s="6" t="s">
        <v>674</v>
      </c>
      <c r="H165" s="8">
        <v>45024</v>
      </c>
    </row>
    <row r="166" spans="1:8">
      <c r="A166" s="50" t="s">
        <v>421</v>
      </c>
      <c r="B166" s="6" t="s">
        <v>804</v>
      </c>
      <c r="C166" s="6">
        <v>7189</v>
      </c>
      <c r="D166" s="6" t="s">
        <v>147</v>
      </c>
      <c r="E166" s="6" t="s">
        <v>13</v>
      </c>
      <c r="F166" s="36" t="s">
        <v>149</v>
      </c>
      <c r="G166" s="6" t="s">
        <v>674</v>
      </c>
      <c r="H166" s="8">
        <v>45024</v>
      </c>
    </row>
    <row r="167" spans="1:8">
      <c r="A167" s="50" t="s">
        <v>421</v>
      </c>
      <c r="B167" s="6" t="s">
        <v>805</v>
      </c>
      <c r="C167" s="6">
        <v>7190</v>
      </c>
      <c r="D167" s="6" t="s">
        <v>147</v>
      </c>
      <c r="E167" s="6" t="s">
        <v>13</v>
      </c>
      <c r="F167" s="36" t="s">
        <v>149</v>
      </c>
      <c r="G167" s="6" t="s">
        <v>674</v>
      </c>
      <c r="H167" s="8">
        <v>45024</v>
      </c>
    </row>
    <row r="168" spans="1:8">
      <c r="A168" s="7" t="s">
        <v>421</v>
      </c>
      <c r="B168" s="2" t="s">
        <v>806</v>
      </c>
      <c r="C168" s="2">
        <v>7191</v>
      </c>
      <c r="D168" s="42" t="s">
        <v>147</v>
      </c>
      <c r="E168" s="276" t="s">
        <v>25</v>
      </c>
      <c r="F168" s="2" t="s">
        <v>149</v>
      </c>
      <c r="G168" s="277" t="s">
        <v>674</v>
      </c>
      <c r="H168" s="278">
        <v>45693</v>
      </c>
    </row>
    <row r="169" spans="1:8">
      <c r="A169" s="7" t="s">
        <v>421</v>
      </c>
      <c r="B169" s="2" t="s">
        <v>807</v>
      </c>
      <c r="C169" s="2">
        <v>7192</v>
      </c>
      <c r="D169" s="42" t="s">
        <v>147</v>
      </c>
      <c r="E169" s="276" t="s">
        <v>25</v>
      </c>
      <c r="F169" s="2" t="s">
        <v>149</v>
      </c>
      <c r="G169" s="277" t="s">
        <v>674</v>
      </c>
      <c r="H169" s="278">
        <v>45696</v>
      </c>
    </row>
    <row r="170" spans="1:8">
      <c r="A170" s="7" t="s">
        <v>421</v>
      </c>
      <c r="B170" s="2" t="s">
        <v>808</v>
      </c>
      <c r="C170" s="2">
        <v>7193</v>
      </c>
      <c r="D170" s="42" t="s">
        <v>147</v>
      </c>
      <c r="E170" s="276" t="s">
        <v>25</v>
      </c>
      <c r="F170" s="2" t="s">
        <v>149</v>
      </c>
      <c r="G170" s="277" t="s">
        <v>674</v>
      </c>
      <c r="H170" s="278">
        <v>45693</v>
      </c>
    </row>
    <row r="171" spans="1:8">
      <c r="A171" s="7" t="s">
        <v>421</v>
      </c>
      <c r="B171" s="2" t="s">
        <v>809</v>
      </c>
      <c r="C171" s="2">
        <v>7194</v>
      </c>
      <c r="D171" s="42" t="s">
        <v>147</v>
      </c>
      <c r="E171" s="276" t="s">
        <v>25</v>
      </c>
      <c r="F171" s="2" t="s">
        <v>149</v>
      </c>
      <c r="G171" s="277" t="s">
        <v>674</v>
      </c>
      <c r="H171" s="278">
        <v>45696</v>
      </c>
    </row>
    <row r="172" spans="1:8">
      <c r="A172" s="7" t="s">
        <v>421</v>
      </c>
      <c r="B172" s="2" t="s">
        <v>810</v>
      </c>
      <c r="C172" s="2">
        <v>7195</v>
      </c>
      <c r="D172" s="42" t="s">
        <v>147</v>
      </c>
      <c r="E172" s="276" t="s">
        <v>25</v>
      </c>
      <c r="F172" s="2" t="s">
        <v>149</v>
      </c>
      <c r="G172" s="277" t="s">
        <v>674</v>
      </c>
      <c r="H172" s="278">
        <v>45693</v>
      </c>
    </row>
    <row r="173" spans="1:8">
      <c r="A173" s="12" t="s">
        <v>421</v>
      </c>
      <c r="B173" s="13" t="s">
        <v>811</v>
      </c>
      <c r="C173" s="13">
        <v>7196</v>
      </c>
      <c r="D173" s="43" t="s">
        <v>147</v>
      </c>
      <c r="E173" s="279" t="s">
        <v>25</v>
      </c>
      <c r="F173" s="13" t="s">
        <v>149</v>
      </c>
      <c r="G173" s="280" t="s">
        <v>674</v>
      </c>
      <c r="H173" s="278">
        <v>45692</v>
      </c>
    </row>
  </sheetData>
  <pageMargins left="0.7" right="0.7" top="0.75" bottom="0.75" header="0.3" footer="0.3"/>
  <pageSetup orientation="landscape" horizontalDpi="300" verticalDpi="300"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7ABD-69D1-4D6C-935A-90F5D93F3908}">
  <sheetPr codeName="Hoja9"/>
  <dimension ref="A1:K28"/>
  <sheetViews>
    <sheetView zoomScale="84" zoomScaleNormal="100" workbookViewId="0">
      <selection activeCell="G13" sqref="G13"/>
    </sheetView>
  </sheetViews>
  <sheetFormatPr baseColWidth="10" defaultColWidth="11.42578125" defaultRowHeight="15"/>
  <cols>
    <col min="1" max="1" width="14" bestFit="1" customWidth="1"/>
    <col min="2" max="2" width="11.28515625" bestFit="1" customWidth="1"/>
    <col min="3" max="3" width="13.5703125" bestFit="1" customWidth="1"/>
    <col min="4" max="4" width="13.7109375" bestFit="1" customWidth="1"/>
    <col min="5" max="5" width="15.7109375" bestFit="1" customWidth="1"/>
    <col min="6" max="6" width="19" bestFit="1" customWidth="1"/>
    <col min="7" max="7" width="23.5703125" customWidth="1"/>
    <col min="8" max="8" width="20" bestFit="1" customWidth="1"/>
    <col min="9" max="9" width="35" bestFit="1" customWidth="1"/>
    <col min="10" max="10" width="15.42578125" bestFit="1" customWidth="1"/>
  </cols>
  <sheetData>
    <row r="1" spans="1:11">
      <c r="A1" s="9" t="s">
        <v>0</v>
      </c>
      <c r="B1" s="10" t="s">
        <v>87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822</v>
      </c>
      <c r="H1" s="11" t="s">
        <v>7</v>
      </c>
      <c r="I1" s="272" t="s">
        <v>823</v>
      </c>
      <c r="J1" t="s">
        <v>824</v>
      </c>
      <c r="K1" s="37">
        <v>46184</v>
      </c>
    </row>
    <row r="2" spans="1:11">
      <c r="A2" s="207" t="s">
        <v>10</v>
      </c>
      <c r="B2" s="207" t="s">
        <v>404</v>
      </c>
      <c r="C2" s="207">
        <v>2026</v>
      </c>
      <c r="D2" s="207" t="s">
        <v>285</v>
      </c>
      <c r="E2" s="207" t="s">
        <v>405</v>
      </c>
      <c r="F2" s="207" t="s">
        <v>145</v>
      </c>
      <c r="G2" s="207" t="s">
        <v>267</v>
      </c>
      <c r="H2" s="65">
        <v>45024</v>
      </c>
      <c r="I2" s="5"/>
    </row>
    <row r="3" spans="1:11">
      <c r="A3" s="270" t="s">
        <v>10</v>
      </c>
      <c r="B3" s="270" t="s">
        <v>406</v>
      </c>
      <c r="C3" s="270">
        <v>2027</v>
      </c>
      <c r="D3" s="270" t="s">
        <v>285</v>
      </c>
      <c r="E3" s="270" t="s">
        <v>405</v>
      </c>
      <c r="F3" s="270" t="s">
        <v>145</v>
      </c>
      <c r="G3" s="270" t="s">
        <v>267</v>
      </c>
      <c r="H3" s="271">
        <v>45024</v>
      </c>
      <c r="I3" s="202" t="s">
        <v>825</v>
      </c>
    </row>
    <row r="4" spans="1:11">
      <c r="A4" s="207" t="s">
        <v>10</v>
      </c>
      <c r="B4" s="207" t="s">
        <v>407</v>
      </c>
      <c r="C4" s="207">
        <v>2028</v>
      </c>
      <c r="D4" s="207" t="s">
        <v>285</v>
      </c>
      <c r="E4" s="207" t="s">
        <v>405</v>
      </c>
      <c r="F4" s="207" t="s">
        <v>145</v>
      </c>
      <c r="G4" s="207" t="s">
        <v>267</v>
      </c>
      <c r="H4" s="65">
        <v>45024</v>
      </c>
      <c r="I4" s="5"/>
    </row>
    <row r="5" spans="1:11">
      <c r="A5" s="207" t="s">
        <v>10</v>
      </c>
      <c r="B5" s="207" t="s">
        <v>408</v>
      </c>
      <c r="C5" s="207">
        <v>2029</v>
      </c>
      <c r="D5" s="207" t="s">
        <v>285</v>
      </c>
      <c r="E5" s="207" t="s">
        <v>405</v>
      </c>
      <c r="F5" s="207" t="s">
        <v>145</v>
      </c>
      <c r="G5" s="207" t="s">
        <v>267</v>
      </c>
      <c r="H5" s="65">
        <v>45024</v>
      </c>
      <c r="I5" s="5"/>
    </row>
    <row r="6" spans="1:11">
      <c r="A6" s="207" t="s">
        <v>10</v>
      </c>
      <c r="B6" s="207" t="s">
        <v>409</v>
      </c>
      <c r="C6" s="207">
        <v>2030</v>
      </c>
      <c r="D6" s="207" t="s">
        <v>285</v>
      </c>
      <c r="E6" s="207" t="s">
        <v>405</v>
      </c>
      <c r="F6" s="207" t="s">
        <v>145</v>
      </c>
      <c r="G6" s="207" t="s">
        <v>267</v>
      </c>
      <c r="H6" s="65">
        <v>45024</v>
      </c>
      <c r="I6" s="5"/>
    </row>
    <row r="7" spans="1:11">
      <c r="A7" s="207" t="s">
        <v>10</v>
      </c>
      <c r="B7" s="207" t="s">
        <v>410</v>
      </c>
      <c r="C7" s="207">
        <v>2031</v>
      </c>
      <c r="D7" s="207" t="s">
        <v>285</v>
      </c>
      <c r="E7" s="207" t="s">
        <v>405</v>
      </c>
      <c r="F7" s="207" t="s">
        <v>145</v>
      </c>
      <c r="G7" s="207" t="s">
        <v>267</v>
      </c>
      <c r="H7" s="65">
        <v>45024</v>
      </c>
      <c r="I7" s="5"/>
    </row>
    <row r="8" spans="1:11">
      <c r="A8" s="207" t="s">
        <v>10</v>
      </c>
      <c r="B8" s="207" t="s">
        <v>411</v>
      </c>
      <c r="C8" s="207">
        <v>2032</v>
      </c>
      <c r="D8" s="207" t="s">
        <v>285</v>
      </c>
      <c r="E8" s="207" t="s">
        <v>405</v>
      </c>
      <c r="F8" s="207" t="s">
        <v>145</v>
      </c>
      <c r="G8" s="207" t="s">
        <v>267</v>
      </c>
      <c r="H8" s="65">
        <v>45024</v>
      </c>
      <c r="I8" s="5"/>
    </row>
    <row r="9" spans="1:11">
      <c r="A9" s="207" t="s">
        <v>10</v>
      </c>
      <c r="B9" s="207" t="s">
        <v>412</v>
      </c>
      <c r="C9" s="207">
        <v>2033</v>
      </c>
      <c r="D9" s="207" t="s">
        <v>285</v>
      </c>
      <c r="E9" s="207" t="s">
        <v>405</v>
      </c>
      <c r="F9" s="207" t="s">
        <v>145</v>
      </c>
      <c r="G9" s="207" t="s">
        <v>267</v>
      </c>
      <c r="H9" s="65">
        <v>45024</v>
      </c>
      <c r="I9" s="5"/>
    </row>
    <row r="10" spans="1:11">
      <c r="A10" s="207" t="s">
        <v>10</v>
      </c>
      <c r="B10" s="207" t="s">
        <v>413</v>
      </c>
      <c r="C10" s="207">
        <v>2034</v>
      </c>
      <c r="D10" s="207" t="s">
        <v>285</v>
      </c>
      <c r="E10" s="207" t="s">
        <v>405</v>
      </c>
      <c r="F10" s="207" t="s">
        <v>145</v>
      </c>
      <c r="G10" s="207" t="s">
        <v>267</v>
      </c>
      <c r="H10" s="65">
        <v>45024</v>
      </c>
      <c r="I10" s="5"/>
    </row>
    <row r="11" spans="1:11">
      <c r="A11" s="207" t="s">
        <v>10</v>
      </c>
      <c r="B11" s="207" t="s">
        <v>414</v>
      </c>
      <c r="C11" s="207">
        <v>2035</v>
      </c>
      <c r="D11" s="207" t="s">
        <v>285</v>
      </c>
      <c r="E11" s="207" t="s">
        <v>405</v>
      </c>
      <c r="F11" s="207" t="s">
        <v>145</v>
      </c>
      <c r="G11" s="207" t="s">
        <v>267</v>
      </c>
      <c r="H11" s="65">
        <v>45024</v>
      </c>
      <c r="I11" s="5"/>
    </row>
    <row r="12" spans="1:11">
      <c r="A12" s="207" t="s">
        <v>10</v>
      </c>
      <c r="B12" s="207" t="s">
        <v>415</v>
      </c>
      <c r="C12" s="207">
        <v>2036</v>
      </c>
      <c r="D12" s="207" t="s">
        <v>285</v>
      </c>
      <c r="E12" s="207" t="s">
        <v>405</v>
      </c>
      <c r="F12" s="207" t="s">
        <v>145</v>
      </c>
      <c r="G12" s="207" t="s">
        <v>267</v>
      </c>
      <c r="H12" s="65">
        <v>45024</v>
      </c>
      <c r="I12" s="5"/>
    </row>
    <row r="13" spans="1:11">
      <c r="A13" s="207" t="s">
        <v>10</v>
      </c>
      <c r="B13" s="207" t="s">
        <v>416</v>
      </c>
      <c r="C13" s="207">
        <v>2037</v>
      </c>
      <c r="D13" s="207" t="s">
        <v>285</v>
      </c>
      <c r="E13" s="207" t="s">
        <v>405</v>
      </c>
      <c r="F13" s="207" t="s">
        <v>145</v>
      </c>
      <c r="G13" s="207" t="s">
        <v>267</v>
      </c>
      <c r="H13" s="65">
        <v>45024</v>
      </c>
      <c r="I13" s="5"/>
    </row>
    <row r="14" spans="1:11">
      <c r="A14" s="207" t="s">
        <v>10</v>
      </c>
      <c r="B14" s="207" t="s">
        <v>417</v>
      </c>
      <c r="C14" s="207">
        <v>2038</v>
      </c>
      <c r="D14" s="207" t="s">
        <v>285</v>
      </c>
      <c r="E14" s="207" t="s">
        <v>405</v>
      </c>
      <c r="F14" s="207" t="s">
        <v>145</v>
      </c>
      <c r="G14" s="207" t="s">
        <v>267</v>
      </c>
      <c r="H14" s="65">
        <v>45024</v>
      </c>
      <c r="I14" s="5"/>
    </row>
    <row r="15" spans="1:11">
      <c r="A15" s="207" t="s">
        <v>10</v>
      </c>
      <c r="B15" s="207" t="s">
        <v>418</v>
      </c>
      <c r="C15" s="207">
        <v>2039</v>
      </c>
      <c r="D15" s="207" t="s">
        <v>285</v>
      </c>
      <c r="E15" s="207" t="s">
        <v>405</v>
      </c>
      <c r="F15" s="207" t="s">
        <v>145</v>
      </c>
      <c r="G15" s="207" t="s">
        <v>267</v>
      </c>
      <c r="H15" s="65">
        <v>45024</v>
      </c>
      <c r="I15" s="5"/>
    </row>
    <row r="16" spans="1:11">
      <c r="A16" s="207" t="s">
        <v>10</v>
      </c>
      <c r="B16" s="207" t="s">
        <v>419</v>
      </c>
      <c r="C16" s="207">
        <v>2040</v>
      </c>
      <c r="D16" s="207" t="s">
        <v>285</v>
      </c>
      <c r="E16" s="207" t="s">
        <v>405</v>
      </c>
      <c r="F16" s="207" t="s">
        <v>145</v>
      </c>
      <c r="G16" s="207" t="s">
        <v>267</v>
      </c>
      <c r="H16" s="65">
        <v>45024</v>
      </c>
      <c r="I16" s="5"/>
    </row>
    <row r="17" spans="1:9">
      <c r="A17" s="207" t="s">
        <v>10</v>
      </c>
      <c r="B17" s="207" t="s">
        <v>420</v>
      </c>
      <c r="C17" s="207">
        <v>2041</v>
      </c>
      <c r="D17" s="207" t="s">
        <v>285</v>
      </c>
      <c r="E17" s="207" t="s">
        <v>405</v>
      </c>
      <c r="F17" s="207" t="s">
        <v>145</v>
      </c>
      <c r="G17" s="207" t="s">
        <v>267</v>
      </c>
      <c r="H17" s="65">
        <v>45024</v>
      </c>
      <c r="I17" s="6"/>
    </row>
    <row r="18" spans="1:9">
      <c r="A18" s="207" t="s">
        <v>421</v>
      </c>
      <c r="B18" s="207" t="s">
        <v>484</v>
      </c>
      <c r="C18" s="207">
        <v>6016</v>
      </c>
      <c r="D18" s="207" t="s">
        <v>285</v>
      </c>
      <c r="E18" s="207" t="s">
        <v>405</v>
      </c>
      <c r="F18" s="207" t="s">
        <v>145</v>
      </c>
      <c r="G18" s="207" t="s">
        <v>423</v>
      </c>
      <c r="H18" s="65">
        <v>45024</v>
      </c>
      <c r="I18" s="5"/>
    </row>
    <row r="19" spans="1:9">
      <c r="A19" s="207" t="s">
        <v>421</v>
      </c>
      <c r="B19" s="207" t="s">
        <v>485</v>
      </c>
      <c r="C19" s="207">
        <v>6017</v>
      </c>
      <c r="D19" s="207" t="s">
        <v>285</v>
      </c>
      <c r="E19" s="207" t="s">
        <v>405</v>
      </c>
      <c r="F19" s="207" t="s">
        <v>145</v>
      </c>
      <c r="G19" s="207" t="s">
        <v>423</v>
      </c>
      <c r="H19" s="65">
        <v>45024</v>
      </c>
      <c r="I19" s="5"/>
    </row>
    <row r="20" spans="1:9">
      <c r="A20" s="207" t="s">
        <v>421</v>
      </c>
      <c r="B20" s="207" t="s">
        <v>486</v>
      </c>
      <c r="C20" s="207">
        <v>6018</v>
      </c>
      <c r="D20" s="207" t="s">
        <v>285</v>
      </c>
      <c r="E20" s="207" t="s">
        <v>405</v>
      </c>
      <c r="F20" s="207" t="s">
        <v>145</v>
      </c>
      <c r="G20" s="207" t="s">
        <v>423</v>
      </c>
      <c r="H20" s="65">
        <v>45024</v>
      </c>
      <c r="I20" s="5"/>
    </row>
    <row r="21" spans="1:9">
      <c r="A21" s="207" t="s">
        <v>421</v>
      </c>
      <c r="B21" s="207" t="s">
        <v>487</v>
      </c>
      <c r="C21" s="207">
        <v>6019</v>
      </c>
      <c r="D21" s="207" t="s">
        <v>285</v>
      </c>
      <c r="E21" s="207" t="s">
        <v>405</v>
      </c>
      <c r="F21" s="207" t="s">
        <v>145</v>
      </c>
      <c r="G21" s="207" t="s">
        <v>423</v>
      </c>
      <c r="H21" s="65">
        <v>45024</v>
      </c>
      <c r="I21" s="5"/>
    </row>
    <row r="22" spans="1:9">
      <c r="A22" s="297" t="s">
        <v>421</v>
      </c>
      <c r="B22" s="297" t="s">
        <v>488</v>
      </c>
      <c r="C22" s="297">
        <v>6020</v>
      </c>
      <c r="D22" s="297" t="s">
        <v>285</v>
      </c>
      <c r="E22" s="297" t="s">
        <v>405</v>
      </c>
      <c r="F22" s="297" t="s">
        <v>145</v>
      </c>
      <c r="G22" s="297" t="s">
        <v>423</v>
      </c>
      <c r="H22" s="298">
        <v>45024</v>
      </c>
      <c r="I22" s="299" t="s">
        <v>826</v>
      </c>
    </row>
    <row r="23" spans="1:9">
      <c r="A23" s="297" t="s">
        <v>421</v>
      </c>
      <c r="B23" s="297" t="s">
        <v>489</v>
      </c>
      <c r="C23" s="297">
        <v>6021</v>
      </c>
      <c r="D23" s="297" t="s">
        <v>285</v>
      </c>
      <c r="E23" s="297" t="s">
        <v>405</v>
      </c>
      <c r="F23" s="297" t="s">
        <v>145</v>
      </c>
      <c r="G23" s="297" t="s">
        <v>423</v>
      </c>
      <c r="H23" s="298">
        <v>45024</v>
      </c>
      <c r="I23" s="299" t="s">
        <v>826</v>
      </c>
    </row>
    <row r="24" spans="1:9">
      <c r="A24" s="297" t="s">
        <v>421</v>
      </c>
      <c r="B24" s="297" t="s">
        <v>490</v>
      </c>
      <c r="C24" s="297">
        <v>6023</v>
      </c>
      <c r="D24" s="297" t="s">
        <v>285</v>
      </c>
      <c r="E24" s="297" t="s">
        <v>405</v>
      </c>
      <c r="F24" s="297" t="s">
        <v>145</v>
      </c>
      <c r="G24" s="297" t="s">
        <v>423</v>
      </c>
      <c r="H24" s="298">
        <v>45024</v>
      </c>
      <c r="I24" s="299" t="s">
        <v>826</v>
      </c>
    </row>
    <row r="25" spans="1:9">
      <c r="A25" s="297" t="s">
        <v>421</v>
      </c>
      <c r="B25" s="297" t="s">
        <v>491</v>
      </c>
      <c r="C25" s="297">
        <v>6026</v>
      </c>
      <c r="D25" s="297" t="s">
        <v>285</v>
      </c>
      <c r="E25" s="297" t="s">
        <v>405</v>
      </c>
      <c r="F25" s="297" t="s">
        <v>145</v>
      </c>
      <c r="G25" s="297" t="s">
        <v>423</v>
      </c>
      <c r="H25" s="298">
        <v>45024</v>
      </c>
      <c r="I25" s="299" t="s">
        <v>826</v>
      </c>
    </row>
    <row r="26" spans="1:9">
      <c r="A26" s="297" t="s">
        <v>421</v>
      </c>
      <c r="B26" s="297" t="s">
        <v>544</v>
      </c>
      <c r="C26" s="297">
        <v>6022</v>
      </c>
      <c r="D26" s="297" t="s">
        <v>285</v>
      </c>
      <c r="E26" s="297" t="s">
        <v>405</v>
      </c>
      <c r="F26" s="297" t="s">
        <v>145</v>
      </c>
      <c r="G26" s="297" t="s">
        <v>423</v>
      </c>
      <c r="H26" s="298">
        <v>45024</v>
      </c>
      <c r="I26" s="299" t="s">
        <v>826</v>
      </c>
    </row>
    <row r="27" spans="1:9">
      <c r="A27" s="297" t="s">
        <v>421</v>
      </c>
      <c r="B27" s="297" t="s">
        <v>545</v>
      </c>
      <c r="C27" s="297">
        <v>6024</v>
      </c>
      <c r="D27" s="297" t="s">
        <v>285</v>
      </c>
      <c r="E27" s="297" t="s">
        <v>405</v>
      </c>
      <c r="F27" s="297" t="s">
        <v>145</v>
      </c>
      <c r="G27" s="297" t="s">
        <v>423</v>
      </c>
      <c r="H27" s="298">
        <v>45024</v>
      </c>
      <c r="I27" s="299" t="s">
        <v>826</v>
      </c>
    </row>
    <row r="28" spans="1:9">
      <c r="A28" s="297" t="s">
        <v>421</v>
      </c>
      <c r="B28" s="297" t="s">
        <v>546</v>
      </c>
      <c r="C28" s="297">
        <v>6025</v>
      </c>
      <c r="D28" s="297" t="s">
        <v>285</v>
      </c>
      <c r="E28" s="297" t="s">
        <v>405</v>
      </c>
      <c r="F28" s="297" t="s">
        <v>145</v>
      </c>
      <c r="G28" s="297" t="s">
        <v>423</v>
      </c>
      <c r="H28" s="298">
        <v>45024</v>
      </c>
      <c r="I28" s="299" t="s">
        <v>826</v>
      </c>
    </row>
  </sheetData>
  <pageMargins left="0.7" right="0.7" top="0.75" bottom="0.75" header="0.3" footer="0.3"/>
  <pageSetup orientation="landscape" horizontalDpi="300" verticalDpi="300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6D39C-3284-463A-A13A-60EC09DBDC5F}">
  <sheetPr codeName="Hoja21"/>
  <dimension ref="A1:L3"/>
  <sheetViews>
    <sheetView zoomScale="80" zoomScaleNormal="80" workbookViewId="0">
      <selection activeCell="L2" sqref="L2"/>
    </sheetView>
  </sheetViews>
  <sheetFormatPr baseColWidth="10" defaultColWidth="11.42578125" defaultRowHeight="15"/>
  <cols>
    <col min="1" max="1" width="14" bestFit="1" customWidth="1"/>
    <col min="2" max="2" width="11.28515625" bestFit="1" customWidth="1"/>
    <col min="3" max="3" width="13.5703125" bestFit="1" customWidth="1"/>
    <col min="4" max="4" width="13.7109375" bestFit="1" customWidth="1"/>
    <col min="5" max="5" width="15.7109375" bestFit="1" customWidth="1"/>
    <col min="6" max="6" width="19" bestFit="1" customWidth="1"/>
    <col min="7" max="7" width="23.5703125" customWidth="1"/>
    <col min="8" max="8" width="20" bestFit="1" customWidth="1"/>
    <col min="9" max="9" width="20" customWidth="1"/>
    <col min="10" max="10" width="19.140625" bestFit="1" customWidth="1"/>
    <col min="11" max="11" width="15.42578125" bestFit="1" customWidth="1"/>
  </cols>
  <sheetData>
    <row r="1" spans="1:12">
      <c r="A1" s="9" t="s">
        <v>0</v>
      </c>
      <c r="B1" s="10" t="s">
        <v>87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822</v>
      </c>
      <c r="H1" s="11" t="s">
        <v>7</v>
      </c>
      <c r="I1" s="273" t="s">
        <v>827</v>
      </c>
      <c r="J1" s="272" t="s">
        <v>823</v>
      </c>
      <c r="K1" t="s">
        <v>824</v>
      </c>
      <c r="L1" s="37">
        <v>46184</v>
      </c>
    </row>
    <row r="2" spans="1:12">
      <c r="A2" s="207" t="s">
        <v>10</v>
      </c>
      <c r="B2" s="207" t="s">
        <v>828</v>
      </c>
      <c r="C2" s="207">
        <v>2017</v>
      </c>
      <c r="D2" s="207" t="s">
        <v>285</v>
      </c>
      <c r="E2" s="207" t="s">
        <v>829</v>
      </c>
      <c r="F2" s="207" t="s">
        <v>145</v>
      </c>
      <c r="G2" s="207" t="s">
        <v>267</v>
      </c>
      <c r="H2" s="65">
        <v>45038</v>
      </c>
      <c r="I2" s="65" t="s">
        <v>830</v>
      </c>
      <c r="J2" s="126">
        <v>45694</v>
      </c>
    </row>
    <row r="3" spans="1:12">
      <c r="A3" s="207" t="s">
        <v>10</v>
      </c>
      <c r="B3" s="207" t="s">
        <v>831</v>
      </c>
      <c r="C3" s="207">
        <v>2019</v>
      </c>
      <c r="D3" s="207" t="s">
        <v>285</v>
      </c>
      <c r="E3" s="207" t="s">
        <v>829</v>
      </c>
      <c r="F3" s="207" t="s">
        <v>145</v>
      </c>
      <c r="G3" s="207" t="s">
        <v>267</v>
      </c>
      <c r="H3" s="65">
        <v>45038</v>
      </c>
      <c r="I3" s="65" t="s">
        <v>830</v>
      </c>
      <c r="J3" s="126">
        <v>45694</v>
      </c>
    </row>
  </sheetData>
  <pageMargins left="0.7" right="0.7" top="0.75" bottom="0.75" header="0.3" footer="0.3"/>
  <pageSetup orientation="landscape" horizontalDpi="300" verticalDpi="300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089F-A15C-43A6-8353-E511312752B0}">
  <dimension ref="A3:N52"/>
  <sheetViews>
    <sheetView workbookViewId="0">
      <selection activeCell="E9" sqref="E9"/>
    </sheetView>
  </sheetViews>
  <sheetFormatPr baseColWidth="10" defaultColWidth="11.42578125" defaultRowHeight="15"/>
  <cols>
    <col min="1" max="1" width="20.42578125" bestFit="1" customWidth="1"/>
    <col min="2" max="2" width="17.28515625" bestFit="1" customWidth="1"/>
    <col min="3" max="3" width="11.28515625" bestFit="1" customWidth="1"/>
    <col min="4" max="4" width="18.5703125" bestFit="1" customWidth="1"/>
    <col min="5" max="5" width="18.5703125" customWidth="1"/>
    <col min="6" max="6" width="12.85546875" customWidth="1"/>
    <col min="7" max="7" width="22.7109375" bestFit="1" customWidth="1"/>
    <col min="8" max="8" width="22.42578125" bestFit="1" customWidth="1"/>
    <col min="9" max="10" width="4" bestFit="1" customWidth="1"/>
    <col min="11" max="11" width="5.42578125" bestFit="1" customWidth="1"/>
    <col min="12" max="12" width="3.140625" bestFit="1" customWidth="1"/>
    <col min="13" max="13" width="12.5703125" bestFit="1" customWidth="1"/>
  </cols>
  <sheetData>
    <row r="3" spans="1:13">
      <c r="A3" s="47" t="s">
        <v>6</v>
      </c>
      <c r="B3" s="47" t="s">
        <v>5</v>
      </c>
      <c r="C3" s="47" t="s">
        <v>3</v>
      </c>
      <c r="D3" t="s">
        <v>832</v>
      </c>
      <c r="G3" s="47" t="s">
        <v>833</v>
      </c>
      <c r="H3" s="47" t="s">
        <v>834</v>
      </c>
    </row>
    <row r="4" spans="1:13">
      <c r="A4" t="s">
        <v>423</v>
      </c>
      <c r="B4" t="s">
        <v>145</v>
      </c>
      <c r="C4" t="s">
        <v>285</v>
      </c>
      <c r="D4">
        <v>25</v>
      </c>
      <c r="G4" s="47" t="s">
        <v>506</v>
      </c>
      <c r="H4" t="s">
        <v>12</v>
      </c>
      <c r="I4" t="s">
        <v>34</v>
      </c>
      <c r="J4" t="s">
        <v>147</v>
      </c>
      <c r="K4" t="s">
        <v>285</v>
      </c>
      <c r="L4" t="s">
        <v>38</v>
      </c>
      <c r="M4" t="s">
        <v>41</v>
      </c>
    </row>
    <row r="5" spans="1:13">
      <c r="A5" t="s">
        <v>423</v>
      </c>
      <c r="B5" t="s">
        <v>14</v>
      </c>
      <c r="C5" t="s">
        <v>12</v>
      </c>
      <c r="D5">
        <v>6</v>
      </c>
      <c r="G5" s="48" t="s">
        <v>10</v>
      </c>
      <c r="H5">
        <v>37</v>
      </c>
      <c r="I5">
        <v>71</v>
      </c>
      <c r="J5">
        <v>141</v>
      </c>
      <c r="K5">
        <v>45</v>
      </c>
      <c r="L5">
        <v>69</v>
      </c>
      <c r="M5">
        <v>363</v>
      </c>
    </row>
    <row r="6" spans="1:13">
      <c r="A6" t="s">
        <v>423</v>
      </c>
      <c r="B6" t="s">
        <v>14</v>
      </c>
      <c r="C6" t="s">
        <v>34</v>
      </c>
      <c r="D6">
        <v>33</v>
      </c>
      <c r="G6" s="49" t="s">
        <v>130</v>
      </c>
      <c r="H6">
        <v>10</v>
      </c>
      <c r="I6">
        <v>12</v>
      </c>
      <c r="J6">
        <v>75</v>
      </c>
      <c r="L6">
        <v>31</v>
      </c>
      <c r="M6">
        <v>128</v>
      </c>
    </row>
    <row r="7" spans="1:13">
      <c r="A7" t="s">
        <v>130</v>
      </c>
      <c r="B7" t="s">
        <v>149</v>
      </c>
      <c r="C7" t="s">
        <v>147</v>
      </c>
      <c r="D7">
        <v>75</v>
      </c>
      <c r="G7" s="49" t="s">
        <v>15</v>
      </c>
      <c r="H7">
        <v>11</v>
      </c>
      <c r="I7">
        <v>28</v>
      </c>
      <c r="L7">
        <v>19</v>
      </c>
      <c r="M7">
        <v>58</v>
      </c>
    </row>
    <row r="8" spans="1:13">
      <c r="A8" t="s">
        <v>130</v>
      </c>
      <c r="B8" t="s">
        <v>145</v>
      </c>
      <c r="C8" t="s">
        <v>34</v>
      </c>
      <c r="D8">
        <v>12</v>
      </c>
      <c r="G8" s="49" t="s">
        <v>89</v>
      </c>
      <c r="I8">
        <v>9</v>
      </c>
      <c r="L8">
        <v>19</v>
      </c>
      <c r="M8">
        <v>28</v>
      </c>
    </row>
    <row r="9" spans="1:13">
      <c r="A9" t="s">
        <v>130</v>
      </c>
      <c r="B9" t="s">
        <v>145</v>
      </c>
      <c r="C9" t="s">
        <v>38</v>
      </c>
      <c r="D9">
        <v>24</v>
      </c>
      <c r="G9" s="49" t="s">
        <v>267</v>
      </c>
      <c r="H9">
        <v>16</v>
      </c>
      <c r="I9">
        <v>22</v>
      </c>
      <c r="J9">
        <v>66</v>
      </c>
      <c r="K9">
        <v>45</v>
      </c>
      <c r="M9">
        <v>149</v>
      </c>
    </row>
    <row r="10" spans="1:13">
      <c r="A10" t="s">
        <v>130</v>
      </c>
      <c r="B10" t="s">
        <v>14</v>
      </c>
      <c r="C10" t="s">
        <v>12</v>
      </c>
      <c r="D10">
        <v>10</v>
      </c>
      <c r="G10" s="48" t="s">
        <v>421</v>
      </c>
      <c r="H10">
        <v>21</v>
      </c>
      <c r="I10">
        <v>132</v>
      </c>
      <c r="J10">
        <v>199</v>
      </c>
      <c r="K10">
        <v>25</v>
      </c>
      <c r="M10">
        <v>377</v>
      </c>
    </row>
    <row r="11" spans="1:13">
      <c r="A11" t="s">
        <v>130</v>
      </c>
      <c r="B11" t="s">
        <v>14</v>
      </c>
      <c r="C11" t="s">
        <v>38</v>
      </c>
      <c r="D11">
        <v>7</v>
      </c>
      <c r="G11" s="49" t="s">
        <v>423</v>
      </c>
      <c r="H11">
        <v>6</v>
      </c>
      <c r="I11">
        <v>33</v>
      </c>
      <c r="K11">
        <v>25</v>
      </c>
      <c r="M11">
        <v>64</v>
      </c>
    </row>
    <row r="12" spans="1:13">
      <c r="A12" t="s">
        <v>15</v>
      </c>
      <c r="B12" t="s">
        <v>36</v>
      </c>
      <c r="C12" t="s">
        <v>34</v>
      </c>
      <c r="D12">
        <v>28</v>
      </c>
      <c r="G12" s="49" t="s">
        <v>493</v>
      </c>
      <c r="H12">
        <v>15</v>
      </c>
      <c r="I12">
        <v>39</v>
      </c>
      <c r="J12">
        <v>77</v>
      </c>
      <c r="M12">
        <v>131</v>
      </c>
    </row>
    <row r="13" spans="1:13">
      <c r="A13" t="s">
        <v>15</v>
      </c>
      <c r="B13" t="s">
        <v>14</v>
      </c>
      <c r="C13" t="s">
        <v>12</v>
      </c>
      <c r="D13">
        <v>11</v>
      </c>
      <c r="G13" s="49" t="s">
        <v>674</v>
      </c>
      <c r="I13">
        <v>60</v>
      </c>
      <c r="J13">
        <v>122</v>
      </c>
      <c r="M13">
        <v>182</v>
      </c>
    </row>
    <row r="14" spans="1:13">
      <c r="A14" t="s">
        <v>15</v>
      </c>
      <c r="B14" t="s">
        <v>14</v>
      </c>
      <c r="C14" t="s">
        <v>38</v>
      </c>
      <c r="D14">
        <v>19</v>
      </c>
      <c r="G14" s="48" t="s">
        <v>41</v>
      </c>
      <c r="H14">
        <v>58</v>
      </c>
      <c r="I14">
        <v>203</v>
      </c>
      <c r="J14">
        <v>340</v>
      </c>
      <c r="K14">
        <v>70</v>
      </c>
      <c r="L14">
        <v>69</v>
      </c>
      <c r="M14">
        <v>740</v>
      </c>
    </row>
    <row r="15" spans="1:13">
      <c r="A15" t="s">
        <v>674</v>
      </c>
      <c r="B15" t="s">
        <v>149</v>
      </c>
      <c r="C15" t="s">
        <v>147</v>
      </c>
      <c r="D15">
        <v>97</v>
      </c>
    </row>
    <row r="16" spans="1:13">
      <c r="A16" t="s">
        <v>674</v>
      </c>
      <c r="B16" t="s">
        <v>145</v>
      </c>
      <c r="C16" t="s">
        <v>34</v>
      </c>
      <c r="D16">
        <v>60</v>
      </c>
    </row>
    <row r="17" spans="1:13">
      <c r="A17" t="s">
        <v>674</v>
      </c>
      <c r="B17" t="s">
        <v>690</v>
      </c>
      <c r="C17" t="s">
        <v>147</v>
      </c>
      <c r="D17">
        <v>25</v>
      </c>
    </row>
    <row r="18" spans="1:13">
      <c r="A18" t="s">
        <v>493</v>
      </c>
      <c r="B18" t="s">
        <v>149</v>
      </c>
      <c r="C18" t="s">
        <v>147</v>
      </c>
      <c r="D18">
        <v>77</v>
      </c>
    </row>
    <row r="19" spans="1:13">
      <c r="A19" t="s">
        <v>493</v>
      </c>
      <c r="B19" t="s">
        <v>145</v>
      </c>
      <c r="C19" t="s">
        <v>34</v>
      </c>
      <c r="D19">
        <v>2</v>
      </c>
      <c r="G19" s="47" t="s">
        <v>835</v>
      </c>
      <c r="H19" s="47" t="s">
        <v>834</v>
      </c>
    </row>
    <row r="20" spans="1:13">
      <c r="A20" t="s">
        <v>493</v>
      </c>
      <c r="B20" t="s">
        <v>14</v>
      </c>
      <c r="C20" t="s">
        <v>12</v>
      </c>
      <c r="D20">
        <v>15</v>
      </c>
      <c r="G20" s="47" t="s">
        <v>506</v>
      </c>
      <c r="H20" t="s">
        <v>149</v>
      </c>
      <c r="I20" t="s">
        <v>145</v>
      </c>
      <c r="J20" t="s">
        <v>36</v>
      </c>
      <c r="K20" t="s">
        <v>14</v>
      </c>
      <c r="L20" t="s">
        <v>690</v>
      </c>
      <c r="M20" t="s">
        <v>41</v>
      </c>
    </row>
    <row r="21" spans="1:13">
      <c r="A21" t="s">
        <v>493</v>
      </c>
      <c r="B21" t="s">
        <v>14</v>
      </c>
      <c r="C21" t="s">
        <v>34</v>
      </c>
      <c r="D21">
        <v>37</v>
      </c>
      <c r="G21" s="48" t="s">
        <v>10</v>
      </c>
      <c r="H21">
        <v>141</v>
      </c>
      <c r="I21">
        <v>100</v>
      </c>
      <c r="J21">
        <v>40</v>
      </c>
      <c r="K21">
        <v>82</v>
      </c>
      <c r="M21">
        <v>363</v>
      </c>
    </row>
    <row r="22" spans="1:13">
      <c r="A22" t="s">
        <v>89</v>
      </c>
      <c r="B22" t="s">
        <v>36</v>
      </c>
      <c r="C22" t="s">
        <v>34</v>
      </c>
      <c r="D22">
        <v>9</v>
      </c>
      <c r="G22" s="49" t="s">
        <v>836</v>
      </c>
      <c r="H22">
        <v>75</v>
      </c>
      <c r="I22">
        <v>36</v>
      </c>
      <c r="K22">
        <v>17</v>
      </c>
      <c r="M22">
        <v>128</v>
      </c>
    </row>
    <row r="23" spans="1:13">
      <c r="A23" t="s">
        <v>89</v>
      </c>
      <c r="B23" t="s">
        <v>14</v>
      </c>
      <c r="C23" t="s">
        <v>38</v>
      </c>
      <c r="D23">
        <v>19</v>
      </c>
      <c r="G23" s="49" t="s">
        <v>837</v>
      </c>
      <c r="J23">
        <v>37</v>
      </c>
      <c r="K23">
        <v>49</v>
      </c>
      <c r="M23">
        <v>86</v>
      </c>
    </row>
    <row r="24" spans="1:13">
      <c r="A24" t="s">
        <v>267</v>
      </c>
      <c r="B24" t="s">
        <v>149</v>
      </c>
      <c r="C24" t="s">
        <v>147</v>
      </c>
      <c r="D24">
        <v>66</v>
      </c>
      <c r="G24" s="49" t="s">
        <v>838</v>
      </c>
      <c r="H24">
        <v>66</v>
      </c>
      <c r="I24">
        <v>64</v>
      </c>
      <c r="J24">
        <v>3</v>
      </c>
      <c r="K24">
        <v>16</v>
      </c>
      <c r="M24">
        <v>149</v>
      </c>
    </row>
    <row r="25" spans="1:13">
      <c r="A25" t="s">
        <v>267</v>
      </c>
      <c r="B25" t="s">
        <v>145</v>
      </c>
      <c r="C25" t="s">
        <v>34</v>
      </c>
      <c r="D25">
        <v>22</v>
      </c>
      <c r="G25" s="48" t="s">
        <v>421</v>
      </c>
      <c r="H25">
        <v>174</v>
      </c>
      <c r="I25">
        <v>87</v>
      </c>
      <c r="K25">
        <v>91</v>
      </c>
      <c r="L25">
        <v>25</v>
      </c>
      <c r="M25">
        <v>377</v>
      </c>
    </row>
    <row r="26" spans="1:13">
      <c r="A26" t="s">
        <v>267</v>
      </c>
      <c r="B26" t="s">
        <v>145</v>
      </c>
      <c r="C26" t="s">
        <v>285</v>
      </c>
      <c r="D26">
        <v>42</v>
      </c>
      <c r="G26" s="49" t="s">
        <v>839</v>
      </c>
      <c r="I26">
        <v>25</v>
      </c>
      <c r="K26">
        <v>39</v>
      </c>
      <c r="M26">
        <v>64</v>
      </c>
    </row>
    <row r="27" spans="1:13">
      <c r="A27" t="s">
        <v>267</v>
      </c>
      <c r="B27" t="s">
        <v>36</v>
      </c>
      <c r="C27" t="s">
        <v>285</v>
      </c>
      <c r="D27">
        <v>3</v>
      </c>
      <c r="G27" s="49" t="s">
        <v>840</v>
      </c>
      <c r="H27">
        <v>97</v>
      </c>
      <c r="I27">
        <v>50</v>
      </c>
      <c r="L27">
        <v>25</v>
      </c>
      <c r="M27">
        <v>172</v>
      </c>
    </row>
    <row r="28" spans="1:13">
      <c r="A28" t="s">
        <v>267</v>
      </c>
      <c r="B28" t="s">
        <v>14</v>
      </c>
      <c r="C28" t="s">
        <v>12</v>
      </c>
      <c r="D28">
        <v>16</v>
      </c>
      <c r="G28" s="49" t="s">
        <v>841</v>
      </c>
      <c r="H28">
        <v>77</v>
      </c>
      <c r="I28">
        <v>12</v>
      </c>
      <c r="K28">
        <v>52</v>
      </c>
      <c r="M28">
        <v>141</v>
      </c>
    </row>
    <row r="29" spans="1:13">
      <c r="A29" t="s">
        <v>41</v>
      </c>
      <c r="D29">
        <v>740</v>
      </c>
      <c r="G29" s="48" t="s">
        <v>41</v>
      </c>
      <c r="H29">
        <v>315</v>
      </c>
      <c r="I29">
        <v>187</v>
      </c>
      <c r="J29">
        <v>40</v>
      </c>
      <c r="K29">
        <v>173</v>
      </c>
      <c r="L29">
        <v>25</v>
      </c>
      <c r="M29">
        <v>740</v>
      </c>
    </row>
    <row r="41" spans="7:14">
      <c r="G41" s="47" t="s">
        <v>842</v>
      </c>
      <c r="H41" s="47" t="s">
        <v>834</v>
      </c>
    </row>
    <row r="42" spans="7:14">
      <c r="G42" s="47" t="s">
        <v>506</v>
      </c>
      <c r="H42" t="s">
        <v>13</v>
      </c>
      <c r="I42" t="s">
        <v>25</v>
      </c>
      <c r="J42" t="s">
        <v>405</v>
      </c>
      <c r="K42" t="s">
        <v>829</v>
      </c>
      <c r="L42" t="s">
        <v>41</v>
      </c>
      <c r="M42" t="s">
        <v>10</v>
      </c>
    </row>
    <row r="43" spans="7:14">
      <c r="G43" s="48" t="s">
        <v>10</v>
      </c>
      <c r="H43">
        <v>308</v>
      </c>
      <c r="I43">
        <v>37</v>
      </c>
      <c r="J43">
        <v>16</v>
      </c>
      <c r="K43">
        <v>2</v>
      </c>
      <c r="L43">
        <v>363</v>
      </c>
      <c r="M43" t="s">
        <v>13</v>
      </c>
      <c r="N43" s="296">
        <f>GETPIVOTDATA("ORIGEN",$G$41,"EMPRESA","US1","TIPO FLOTA","FOB")/GETPIVOTDATA("ORIGEN",$G$41,"EMPRESA","US1")</f>
        <v>0.84848484848484851</v>
      </c>
    </row>
    <row r="44" spans="7:14">
      <c r="G44" s="49" t="s">
        <v>130</v>
      </c>
      <c r="H44">
        <v>84</v>
      </c>
      <c r="I44">
        <v>21</v>
      </c>
      <c r="L44">
        <v>105</v>
      </c>
      <c r="M44" t="s">
        <v>25</v>
      </c>
      <c r="N44" s="296">
        <f>I43/H43</f>
        <v>0.12012987012987013</v>
      </c>
    </row>
    <row r="45" spans="7:14">
      <c r="G45" s="49" t="s">
        <v>15</v>
      </c>
      <c r="H45">
        <v>78</v>
      </c>
      <c r="I45">
        <v>3</v>
      </c>
      <c r="L45">
        <v>81</v>
      </c>
      <c r="M45" t="s">
        <v>405</v>
      </c>
      <c r="N45" s="296">
        <f>GETPIVOTDATA("ORIGEN",$G$41,"EMPRESA","US1","TIPO FLOTA","FS")/GETPIVOTDATA("ORIGEN",$G$41,"EMPRESA","US1")</f>
        <v>4.4077134986225897E-2</v>
      </c>
    </row>
    <row r="46" spans="7:14">
      <c r="G46" s="49" t="s">
        <v>89</v>
      </c>
      <c r="H46">
        <v>28</v>
      </c>
      <c r="L46">
        <v>28</v>
      </c>
    </row>
    <row r="47" spans="7:14">
      <c r="G47" s="49" t="s">
        <v>267</v>
      </c>
      <c r="H47">
        <v>118</v>
      </c>
      <c r="I47">
        <v>13</v>
      </c>
      <c r="J47">
        <v>16</v>
      </c>
      <c r="K47">
        <v>2</v>
      </c>
      <c r="L47">
        <v>149</v>
      </c>
      <c r="M47" t="s">
        <v>421</v>
      </c>
    </row>
    <row r="48" spans="7:14">
      <c r="G48" s="48" t="s">
        <v>421</v>
      </c>
      <c r="H48">
        <v>336</v>
      </c>
      <c r="I48">
        <v>30</v>
      </c>
      <c r="J48">
        <v>11</v>
      </c>
      <c r="L48">
        <v>377</v>
      </c>
      <c r="M48" t="s">
        <v>13</v>
      </c>
      <c r="N48" s="296">
        <f>GETPIVOTDATA("ORIGEN",$G$41,"EMPRESA","US2","TIPO FLOTA","FOB")/GETPIVOTDATA("ORIGEN",$G$41,"EMPRESA","US2")</f>
        <v>0.89124668435013266</v>
      </c>
    </row>
    <row r="49" spans="7:14">
      <c r="G49" s="49" t="s">
        <v>423</v>
      </c>
      <c r="H49">
        <v>51</v>
      </c>
      <c r="I49">
        <v>2</v>
      </c>
      <c r="J49">
        <v>11</v>
      </c>
      <c r="L49">
        <v>64</v>
      </c>
      <c r="M49" t="s">
        <v>25</v>
      </c>
      <c r="N49" s="296">
        <f>I48/H48</f>
        <v>8.9285714285714288E-2</v>
      </c>
    </row>
    <row r="50" spans="7:14">
      <c r="G50" s="49" t="s">
        <v>674</v>
      </c>
      <c r="H50">
        <v>164</v>
      </c>
      <c r="I50">
        <v>20</v>
      </c>
      <c r="L50">
        <v>184</v>
      </c>
      <c r="M50" t="s">
        <v>405</v>
      </c>
      <c r="N50" s="296">
        <f>GETPIVOTDATA("ORIGEN",$G$41,"EMPRESA","US2","TIPO FLOTA","FS")/GETPIVOTDATA("ORIGEN",$G$41,"EMPRESA","US2")</f>
        <v>2.9177718832891247E-2</v>
      </c>
    </row>
    <row r="51" spans="7:14">
      <c r="G51" s="49" t="s">
        <v>493</v>
      </c>
      <c r="H51">
        <v>121</v>
      </c>
      <c r="I51">
        <v>8</v>
      </c>
      <c r="L51">
        <v>129</v>
      </c>
    </row>
    <row r="52" spans="7:14">
      <c r="G52" s="48" t="s">
        <v>41</v>
      </c>
      <c r="H52">
        <v>644</v>
      </c>
      <c r="I52">
        <v>67</v>
      </c>
      <c r="J52">
        <v>27</v>
      </c>
      <c r="K52">
        <v>2</v>
      </c>
      <c r="L52">
        <v>740</v>
      </c>
    </row>
  </sheetData>
  <pageMargins left="0.7" right="0.7" top="0.75" bottom="0.75" header="0.3" footer="0.3"/>
  <pageSetup orientation="landscape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8FB10-F857-4330-86CE-6C75A8C846A1}">
  <sheetPr codeName="Hoja10"/>
  <dimension ref="B2:P37"/>
  <sheetViews>
    <sheetView showGridLines="0" zoomScaleNormal="100" workbookViewId="0">
      <selection activeCell="M12" sqref="M12"/>
    </sheetView>
  </sheetViews>
  <sheetFormatPr baseColWidth="10" defaultColWidth="11.42578125" defaultRowHeight="15"/>
  <cols>
    <col min="1" max="1" width="3.140625" customWidth="1"/>
    <col min="2" max="2" width="5.5703125" customWidth="1"/>
    <col min="3" max="3" width="19.28515625" bestFit="1" customWidth="1"/>
    <col min="4" max="4" width="8.85546875" bestFit="1" customWidth="1"/>
    <col min="6" max="6" width="19.28515625" bestFit="1" customWidth="1"/>
    <col min="7" max="7" width="8.85546875" bestFit="1" customWidth="1"/>
    <col min="8" max="8" width="5.85546875" customWidth="1"/>
    <col min="10" max="10" width="5.85546875" customWidth="1"/>
    <col min="11" max="11" width="19.28515625" bestFit="1" customWidth="1"/>
    <col min="12" max="12" width="8.85546875" bestFit="1" customWidth="1"/>
    <col min="13" max="13" width="11.28515625" customWidth="1"/>
    <col min="14" max="14" width="19.28515625" bestFit="1" customWidth="1"/>
    <col min="15" max="15" width="8.85546875" bestFit="1" customWidth="1"/>
    <col min="16" max="16" width="5.85546875" customWidth="1"/>
    <col min="19" max="19" width="11.7109375" bestFit="1" customWidth="1"/>
    <col min="20" max="20" width="8.42578125" bestFit="1" customWidth="1"/>
    <col min="21" max="22" width="12.85546875" bestFit="1" customWidth="1"/>
    <col min="23" max="23" width="8.42578125" bestFit="1" customWidth="1"/>
  </cols>
  <sheetData>
    <row r="2" spans="2:16">
      <c r="B2" s="301"/>
      <c r="C2" s="361" t="s">
        <v>843</v>
      </c>
      <c r="D2" s="361"/>
      <c r="E2" s="361"/>
      <c r="F2" s="361"/>
      <c r="G2" s="361"/>
      <c r="H2" s="302"/>
      <c r="J2" s="301"/>
      <c r="K2" s="362" t="s">
        <v>844</v>
      </c>
      <c r="L2" s="362"/>
      <c r="M2" s="362"/>
      <c r="N2" s="362"/>
      <c r="O2" s="362"/>
      <c r="P2" s="302"/>
    </row>
    <row r="3" spans="2:16">
      <c r="B3" s="303"/>
      <c r="H3" s="304"/>
      <c r="J3" s="303"/>
      <c r="P3" s="304"/>
    </row>
    <row r="4" spans="2:16">
      <c r="B4" s="303"/>
      <c r="C4" s="310" t="s">
        <v>845</v>
      </c>
      <c r="D4" s="5" t="s">
        <v>846</v>
      </c>
      <c r="F4" s="310" t="s">
        <v>847</v>
      </c>
      <c r="G4" s="5" t="s">
        <v>846</v>
      </c>
      <c r="H4" s="304"/>
      <c r="J4" s="303"/>
      <c r="K4" s="310" t="s">
        <v>848</v>
      </c>
      <c r="L4" s="5" t="s">
        <v>846</v>
      </c>
      <c r="N4" s="310" t="s">
        <v>849</v>
      </c>
      <c r="O4" s="360" t="s">
        <v>846</v>
      </c>
      <c r="P4" s="304"/>
    </row>
    <row r="5" spans="2:16">
      <c r="B5" s="303"/>
      <c r="C5" s="311" t="s">
        <v>12</v>
      </c>
      <c r="D5" s="358">
        <v>11</v>
      </c>
      <c r="F5" s="311" t="s">
        <v>34</v>
      </c>
      <c r="G5" s="358">
        <v>9</v>
      </c>
      <c r="H5" s="304"/>
      <c r="J5" s="303"/>
      <c r="K5" s="311" t="s">
        <v>12</v>
      </c>
      <c r="L5" s="358">
        <v>6</v>
      </c>
      <c r="N5" s="311" t="s">
        <v>12</v>
      </c>
      <c r="O5" s="358">
        <v>15</v>
      </c>
      <c r="P5" s="304"/>
    </row>
    <row r="6" spans="2:16">
      <c r="B6" s="303"/>
      <c r="C6" s="317" t="s">
        <v>14</v>
      </c>
      <c r="D6" s="309">
        <v>11</v>
      </c>
      <c r="F6" s="317" t="s">
        <v>36</v>
      </c>
      <c r="G6" s="309">
        <v>9</v>
      </c>
      <c r="H6" s="304"/>
      <c r="J6" s="303"/>
      <c r="K6" s="317" t="s">
        <v>14</v>
      </c>
      <c r="L6" s="309">
        <v>6</v>
      </c>
      <c r="N6" s="317" t="s">
        <v>14</v>
      </c>
      <c r="O6" s="309">
        <v>15</v>
      </c>
      <c r="P6" s="304"/>
    </row>
    <row r="7" spans="2:16">
      <c r="B7" s="303"/>
      <c r="C7" s="311" t="s">
        <v>34</v>
      </c>
      <c r="D7" s="309">
        <v>28</v>
      </c>
      <c r="F7" s="311" t="s">
        <v>38</v>
      </c>
      <c r="G7" s="309">
        <v>19</v>
      </c>
      <c r="H7" s="304"/>
      <c r="J7" s="303"/>
      <c r="K7" s="318" t="s">
        <v>13</v>
      </c>
      <c r="L7" s="309">
        <v>6</v>
      </c>
      <c r="N7" s="318" t="s">
        <v>13</v>
      </c>
      <c r="O7" s="309">
        <v>15</v>
      </c>
      <c r="P7" s="304"/>
    </row>
    <row r="8" spans="2:16">
      <c r="B8" s="303"/>
      <c r="C8" s="317" t="s">
        <v>36</v>
      </c>
      <c r="D8" s="309">
        <v>28</v>
      </c>
      <c r="F8" s="317" t="s">
        <v>14</v>
      </c>
      <c r="G8" s="309">
        <v>19</v>
      </c>
      <c r="H8" s="304"/>
      <c r="J8" s="303"/>
      <c r="K8" s="311" t="s">
        <v>34</v>
      </c>
      <c r="L8" s="309">
        <v>33</v>
      </c>
      <c r="N8" s="311" t="s">
        <v>34</v>
      </c>
      <c r="O8" s="309">
        <v>49</v>
      </c>
      <c r="P8" s="304"/>
    </row>
    <row r="9" spans="2:16">
      <c r="B9" s="303"/>
      <c r="C9" s="311" t="s">
        <v>38</v>
      </c>
      <c r="D9" s="309">
        <v>19</v>
      </c>
      <c r="F9" s="311" t="s">
        <v>41</v>
      </c>
      <c r="G9" s="359">
        <v>28</v>
      </c>
      <c r="H9" s="304"/>
      <c r="J9" s="303"/>
      <c r="K9" s="317" t="s">
        <v>14</v>
      </c>
      <c r="L9" s="309">
        <v>33</v>
      </c>
      <c r="N9" s="313" t="s">
        <v>145</v>
      </c>
      <c r="O9" s="309">
        <v>12</v>
      </c>
      <c r="P9" s="304"/>
    </row>
    <row r="10" spans="2:16">
      <c r="B10" s="303"/>
      <c r="C10" s="317" t="s">
        <v>14</v>
      </c>
      <c r="D10" s="309">
        <v>19</v>
      </c>
      <c r="H10" s="304"/>
      <c r="J10" s="303"/>
      <c r="K10" s="315" t="s">
        <v>13</v>
      </c>
      <c r="L10" s="309">
        <v>32</v>
      </c>
      <c r="N10" s="314" t="s">
        <v>14</v>
      </c>
      <c r="O10" s="309">
        <v>37</v>
      </c>
      <c r="P10" s="304"/>
    </row>
    <row r="11" spans="2:16" ht="15.75" thickBot="1">
      <c r="B11" s="303"/>
      <c r="C11" s="311" t="s">
        <v>41</v>
      </c>
      <c r="D11" s="359">
        <v>58</v>
      </c>
      <c r="F11" s="47" t="s">
        <v>850</v>
      </c>
      <c r="G11" t="s">
        <v>846</v>
      </c>
      <c r="H11" s="304"/>
      <c r="J11" s="303"/>
      <c r="K11" s="316" t="s">
        <v>25</v>
      </c>
      <c r="L11" s="309">
        <v>1</v>
      </c>
      <c r="N11" s="315" t="s">
        <v>13</v>
      </c>
      <c r="O11" s="309">
        <v>34</v>
      </c>
      <c r="P11" s="304"/>
    </row>
    <row r="12" spans="2:16">
      <c r="B12" s="303"/>
      <c r="F12" s="48" t="s">
        <v>128</v>
      </c>
      <c r="H12" s="304"/>
      <c r="J12" s="303"/>
      <c r="K12" s="311" t="s">
        <v>285</v>
      </c>
      <c r="L12" s="309">
        <v>24</v>
      </c>
      <c r="N12" s="316" t="s">
        <v>25</v>
      </c>
      <c r="O12" s="309">
        <v>3</v>
      </c>
      <c r="P12" s="304"/>
    </row>
    <row r="13" spans="2:16">
      <c r="B13" s="303"/>
      <c r="F13" s="49" t="s">
        <v>128</v>
      </c>
      <c r="H13" s="304"/>
      <c r="J13" s="303"/>
      <c r="K13" s="317" t="s">
        <v>145</v>
      </c>
      <c r="L13" s="309">
        <v>24</v>
      </c>
      <c r="N13" s="311" t="s">
        <v>147</v>
      </c>
      <c r="O13" s="309">
        <v>77</v>
      </c>
      <c r="P13" s="304"/>
    </row>
    <row r="14" spans="2:16">
      <c r="B14" s="303"/>
      <c r="F14" s="300" t="s">
        <v>128</v>
      </c>
      <c r="H14" s="304"/>
      <c r="J14" s="303"/>
      <c r="K14" s="315" t="s">
        <v>13</v>
      </c>
      <c r="L14" s="309">
        <v>12</v>
      </c>
      <c r="N14" s="317" t="s">
        <v>149</v>
      </c>
      <c r="O14" s="309">
        <v>77</v>
      </c>
      <c r="P14" s="304"/>
    </row>
    <row r="15" spans="2:16" ht="15.75" thickBot="1">
      <c r="B15" s="303"/>
      <c r="C15" s="310" t="s">
        <v>851</v>
      </c>
      <c r="D15" s="5" t="s">
        <v>846</v>
      </c>
      <c r="F15" s="48" t="s">
        <v>41</v>
      </c>
      <c r="H15" s="305"/>
      <c r="J15" s="303"/>
      <c r="K15" s="325" t="s">
        <v>25</v>
      </c>
      <c r="L15" s="309">
        <v>1</v>
      </c>
      <c r="N15" s="311" t="s">
        <v>41</v>
      </c>
      <c r="O15" s="359">
        <v>141</v>
      </c>
      <c r="P15" s="304"/>
    </row>
    <row r="16" spans="2:16" ht="15.75" thickBot="1">
      <c r="B16" s="303"/>
      <c r="C16" s="311" t="s">
        <v>12</v>
      </c>
      <c r="D16" s="358">
        <v>10</v>
      </c>
      <c r="H16" s="304"/>
      <c r="J16" s="303"/>
      <c r="K16" s="316" t="s">
        <v>405</v>
      </c>
      <c r="L16" s="309">
        <v>11</v>
      </c>
      <c r="P16" s="304"/>
    </row>
    <row r="17" spans="2:16" ht="15.75" thickBot="1">
      <c r="B17" s="303"/>
      <c r="C17" s="317" t="s">
        <v>14</v>
      </c>
      <c r="D17" s="309">
        <v>10</v>
      </c>
      <c r="F17" s="310" t="s">
        <v>852</v>
      </c>
      <c r="G17" s="5" t="s">
        <v>846</v>
      </c>
      <c r="H17" s="304"/>
      <c r="I17" s="62"/>
      <c r="J17" s="303"/>
      <c r="K17" s="311" t="s">
        <v>41</v>
      </c>
      <c r="L17" s="359">
        <v>63</v>
      </c>
      <c r="P17" s="304"/>
    </row>
    <row r="18" spans="2:16" ht="15.75" thickBot="1">
      <c r="B18" s="303"/>
      <c r="C18" s="311" t="s">
        <v>34</v>
      </c>
      <c r="D18" s="309">
        <v>12</v>
      </c>
      <c r="F18" s="311" t="s">
        <v>34</v>
      </c>
      <c r="G18" s="358">
        <v>22</v>
      </c>
      <c r="H18" s="304"/>
      <c r="J18" s="303"/>
      <c r="P18" s="304"/>
    </row>
    <row r="19" spans="2:16" ht="15.75" thickBot="1">
      <c r="B19" s="303"/>
      <c r="C19" s="317" t="s">
        <v>145</v>
      </c>
      <c r="D19" s="309">
        <v>12</v>
      </c>
      <c r="F19" s="317" t="s">
        <v>145</v>
      </c>
      <c r="G19" s="309">
        <v>22</v>
      </c>
      <c r="H19" s="304"/>
      <c r="J19" s="303"/>
      <c r="P19" s="304"/>
    </row>
    <row r="20" spans="2:16" ht="15.75" thickBot="1">
      <c r="B20" s="303"/>
      <c r="C20" s="311" t="s">
        <v>147</v>
      </c>
      <c r="D20" s="309">
        <v>75</v>
      </c>
      <c r="F20" s="315" t="s">
        <v>13</v>
      </c>
      <c r="G20" s="309">
        <v>18</v>
      </c>
      <c r="H20" s="304"/>
      <c r="J20" s="303"/>
      <c r="P20" s="304"/>
    </row>
    <row r="21" spans="2:16" ht="15.75" thickBot="1">
      <c r="B21" s="303"/>
      <c r="C21" s="317" t="s">
        <v>149</v>
      </c>
      <c r="D21" s="309">
        <v>75</v>
      </c>
      <c r="F21" s="316" t="s">
        <v>25</v>
      </c>
      <c r="G21" s="309">
        <v>4</v>
      </c>
      <c r="H21" s="304"/>
      <c r="J21" s="303"/>
      <c r="P21" s="304"/>
    </row>
    <row r="22" spans="2:16" ht="15.75" thickBot="1">
      <c r="B22" s="303"/>
      <c r="C22" s="315" t="s">
        <v>13</v>
      </c>
      <c r="D22" s="309">
        <v>57</v>
      </c>
      <c r="F22" s="311" t="s">
        <v>285</v>
      </c>
      <c r="G22" s="309">
        <v>43</v>
      </c>
      <c r="H22" s="304"/>
      <c r="J22" s="303"/>
      <c r="K22" s="310" t="s">
        <v>853</v>
      </c>
      <c r="L22" s="5" t="s">
        <v>846</v>
      </c>
      <c r="P22" s="304"/>
    </row>
    <row r="23" spans="2:16" ht="15.75" thickBot="1">
      <c r="B23" s="303"/>
      <c r="C23" s="316" t="s">
        <v>25</v>
      </c>
      <c r="D23" s="309">
        <v>18</v>
      </c>
      <c r="F23" s="317" t="s">
        <v>36</v>
      </c>
      <c r="G23" s="309">
        <v>3</v>
      </c>
      <c r="H23" s="304"/>
      <c r="J23" s="303"/>
      <c r="K23" s="311" t="s">
        <v>34</v>
      </c>
      <c r="L23" s="358">
        <v>50</v>
      </c>
      <c r="P23" s="304"/>
    </row>
    <row r="24" spans="2:16" ht="15.75" thickBot="1">
      <c r="B24" s="303"/>
      <c r="C24" s="311" t="s">
        <v>38</v>
      </c>
      <c r="D24" s="309">
        <v>31</v>
      </c>
      <c r="F24" s="315" t="s">
        <v>13</v>
      </c>
      <c r="G24" s="309">
        <v>2</v>
      </c>
      <c r="H24" s="304"/>
      <c r="J24" s="303"/>
      <c r="K24" s="312" t="s">
        <v>145</v>
      </c>
      <c r="L24" s="309">
        <v>50</v>
      </c>
      <c r="P24" s="304"/>
    </row>
    <row r="25" spans="2:16">
      <c r="B25" s="303"/>
      <c r="C25" s="313" t="s">
        <v>145</v>
      </c>
      <c r="D25" s="309">
        <v>24</v>
      </c>
      <c r="F25" s="316" t="s">
        <v>25</v>
      </c>
      <c r="G25" s="309">
        <v>1</v>
      </c>
      <c r="H25" s="304"/>
      <c r="J25" s="303"/>
      <c r="K25" s="315" t="s">
        <v>13</v>
      </c>
      <c r="L25" s="309">
        <v>49</v>
      </c>
      <c r="P25" s="304"/>
    </row>
    <row r="26" spans="2:16" ht="15.75" thickBot="1">
      <c r="B26" s="303"/>
      <c r="C26" s="314" t="s">
        <v>14</v>
      </c>
      <c r="D26" s="309">
        <v>7</v>
      </c>
      <c r="F26" s="317" t="s">
        <v>145</v>
      </c>
      <c r="G26" s="309">
        <v>40</v>
      </c>
      <c r="H26" s="304"/>
      <c r="J26" s="303"/>
      <c r="K26" s="316" t="s">
        <v>25</v>
      </c>
      <c r="L26" s="309">
        <v>1</v>
      </c>
      <c r="P26" s="304"/>
    </row>
    <row r="27" spans="2:16" ht="15.75" thickBot="1">
      <c r="B27" s="303"/>
      <c r="C27" s="311" t="s">
        <v>41</v>
      </c>
      <c r="D27" s="359">
        <v>128</v>
      </c>
      <c r="F27" s="315" t="s">
        <v>13</v>
      </c>
      <c r="G27" s="309">
        <v>22</v>
      </c>
      <c r="H27" s="304"/>
      <c r="J27" s="303"/>
      <c r="K27" s="311" t="s">
        <v>147</v>
      </c>
      <c r="L27" s="309">
        <v>122</v>
      </c>
      <c r="P27" s="304"/>
    </row>
    <row r="28" spans="2:16" ht="15.75" thickBot="1">
      <c r="B28" s="303"/>
      <c r="F28" s="325" t="s">
        <v>25</v>
      </c>
      <c r="G28" s="309">
        <v>2</v>
      </c>
      <c r="H28" s="304"/>
      <c r="J28" s="303"/>
      <c r="K28" s="313" t="s">
        <v>149</v>
      </c>
      <c r="L28" s="309">
        <v>97</v>
      </c>
      <c r="P28" s="304"/>
    </row>
    <row r="29" spans="2:16" ht="15.75" thickBot="1">
      <c r="B29" s="303"/>
      <c r="F29" s="316" t="s">
        <v>405</v>
      </c>
      <c r="G29" s="309">
        <v>16</v>
      </c>
      <c r="H29" s="304"/>
      <c r="J29" s="309"/>
      <c r="K29" s="49" t="s">
        <v>690</v>
      </c>
      <c r="L29">
        <v>25</v>
      </c>
      <c r="P29" s="304"/>
    </row>
    <row r="30" spans="2:16">
      <c r="B30" s="303"/>
      <c r="F30" s="311" t="s">
        <v>12</v>
      </c>
      <c r="G30" s="309">
        <v>16</v>
      </c>
      <c r="H30" s="304"/>
      <c r="J30" s="303"/>
      <c r="K30" s="311" t="s">
        <v>41</v>
      </c>
      <c r="L30" s="359">
        <v>172</v>
      </c>
      <c r="M30" s="49"/>
      <c r="P30" s="304"/>
    </row>
    <row r="31" spans="2:16">
      <c r="B31" s="303"/>
      <c r="F31" s="317" t="s">
        <v>14</v>
      </c>
      <c r="G31" s="309">
        <v>16</v>
      </c>
      <c r="H31" s="304"/>
      <c r="J31" s="303"/>
      <c r="P31" s="304"/>
    </row>
    <row r="32" spans="2:16" ht="15.75" thickBot="1">
      <c r="B32" s="303"/>
      <c r="F32" s="318" t="s">
        <v>13</v>
      </c>
      <c r="G32" s="309">
        <v>16</v>
      </c>
      <c r="H32" s="304"/>
      <c r="J32" s="303"/>
      <c r="P32" s="304"/>
    </row>
    <row r="33" spans="2:16">
      <c r="B33" s="303"/>
      <c r="F33" s="311" t="s">
        <v>147</v>
      </c>
      <c r="G33" s="309">
        <v>66</v>
      </c>
      <c r="H33" s="304"/>
      <c r="J33" s="306"/>
      <c r="K33" s="307"/>
      <c r="L33" s="307"/>
      <c r="M33" s="307"/>
      <c r="N33" s="307"/>
      <c r="O33" s="307"/>
      <c r="P33" s="308"/>
    </row>
    <row r="34" spans="2:16">
      <c r="B34" s="303"/>
      <c r="F34" s="317" t="s">
        <v>149</v>
      </c>
      <c r="G34" s="309">
        <v>66</v>
      </c>
      <c r="H34" s="304"/>
    </row>
    <row r="35" spans="2:16">
      <c r="B35" s="303"/>
      <c r="F35" s="315" t="s">
        <v>13</v>
      </c>
      <c r="G35" s="309">
        <v>60</v>
      </c>
      <c r="H35" s="304"/>
    </row>
    <row r="36" spans="2:16" ht="15.75" thickBot="1">
      <c r="B36" s="303"/>
      <c r="F36" s="316" t="s">
        <v>25</v>
      </c>
      <c r="G36" s="309">
        <v>6</v>
      </c>
      <c r="H36" s="304"/>
    </row>
    <row r="37" spans="2:16">
      <c r="B37" s="306"/>
      <c r="C37" s="307"/>
      <c r="D37" s="307"/>
      <c r="E37" s="307"/>
      <c r="F37" s="311" t="s">
        <v>41</v>
      </c>
      <c r="G37" s="359">
        <v>147</v>
      </c>
      <c r="H37" s="308"/>
    </row>
  </sheetData>
  <mergeCells count="2">
    <mergeCell ref="C2:G2"/>
    <mergeCell ref="K2:O2"/>
  </mergeCells>
  <pageMargins left="0.7" right="0.7" top="0.75" bottom="0.75" header="0.3" footer="0.3"/>
  <pageSetup orientation="portrait" r:id="rId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1DCA6-C41D-4B47-867E-879BA6E6E219}">
  <sheetPr codeName="Hoja11">
    <pageSetUpPr fitToPage="1"/>
  </sheetPr>
  <dimension ref="A1:W74"/>
  <sheetViews>
    <sheetView showZeros="0" zoomScale="78" zoomScaleNormal="90" workbookViewId="0">
      <selection activeCell="H9" sqref="H9"/>
    </sheetView>
  </sheetViews>
  <sheetFormatPr baseColWidth="10" defaultColWidth="10.7109375" defaultRowHeight="19.5" customHeight="1"/>
  <cols>
    <col min="1" max="1" width="17.140625" style="33" bestFit="1" customWidth="1"/>
    <col min="2" max="2" width="15.42578125" bestFit="1" customWidth="1"/>
    <col min="3" max="3" width="17" bestFit="1" customWidth="1"/>
    <col min="4" max="4" width="10.140625" bestFit="1" customWidth="1"/>
    <col min="5" max="5" width="10.28515625" bestFit="1" customWidth="1"/>
    <col min="6" max="7" width="10.140625" bestFit="1" customWidth="1"/>
    <col min="8" max="8" width="18.28515625" bestFit="1" customWidth="1"/>
    <col min="9" max="9" width="20.5703125" bestFit="1" customWidth="1"/>
    <col min="10" max="10" width="18.28515625" bestFit="1" customWidth="1"/>
    <col min="11" max="11" width="10.5703125" bestFit="1" customWidth="1"/>
    <col min="12" max="12" width="12.85546875" bestFit="1" customWidth="1"/>
    <col min="13" max="13" width="11.28515625" bestFit="1" customWidth="1"/>
    <col min="14" max="14" width="5.5703125" bestFit="1" customWidth="1"/>
    <col min="15" max="15" width="19.7109375" bestFit="1" customWidth="1"/>
    <col min="16" max="16" width="15.85546875" customWidth="1"/>
    <col min="17" max="17" width="13.28515625" bestFit="1" customWidth="1"/>
    <col min="19" max="19" width="13.85546875" bestFit="1" customWidth="1"/>
    <col min="20" max="20" width="16" customWidth="1"/>
    <col min="21" max="21" width="17.140625" bestFit="1" customWidth="1"/>
    <col min="22" max="22" width="18.85546875" bestFit="1" customWidth="1"/>
    <col min="23" max="23" width="64.42578125" customWidth="1"/>
  </cols>
  <sheetData>
    <row r="1" spans="1:23" ht="19.5" customHeight="1" thickBot="1">
      <c r="D1" s="48" t="s">
        <v>854</v>
      </c>
      <c r="E1" s="48" t="s">
        <v>855</v>
      </c>
      <c r="F1" s="48" t="s">
        <v>856</v>
      </c>
      <c r="G1" s="48" t="s">
        <v>857</v>
      </c>
      <c r="H1" s="48" t="s">
        <v>858</v>
      </c>
      <c r="I1" s="48" t="s">
        <v>859</v>
      </c>
      <c r="J1" s="48" t="s">
        <v>860</v>
      </c>
      <c r="K1" s="48" t="s">
        <v>861</v>
      </c>
      <c r="L1" s="48" t="s">
        <v>862</v>
      </c>
      <c r="M1" s="48" t="s">
        <v>863</v>
      </c>
    </row>
    <row r="2" spans="1:23" ht="19.5" customHeight="1">
      <c r="B2" s="369" t="s">
        <v>864</v>
      </c>
      <c r="C2" s="369" t="s">
        <v>865</v>
      </c>
      <c r="D2" s="87" t="s">
        <v>866</v>
      </c>
      <c r="E2" s="371" t="s">
        <v>867</v>
      </c>
      <c r="F2" s="372"/>
      <c r="G2" s="373"/>
      <c r="H2" s="374" t="s">
        <v>868</v>
      </c>
      <c r="I2" s="372"/>
      <c r="J2" s="375"/>
      <c r="K2" s="376" t="s">
        <v>869</v>
      </c>
      <c r="L2" s="377"/>
      <c r="M2" s="91" t="s">
        <v>870</v>
      </c>
      <c r="N2" s="363" t="s">
        <v>871</v>
      </c>
      <c r="S2" s="108" t="s">
        <v>865</v>
      </c>
      <c r="T2" s="108" t="s">
        <v>872</v>
      </c>
      <c r="U2" s="108" t="s">
        <v>873</v>
      </c>
      <c r="V2" s="108" t="s">
        <v>874</v>
      </c>
      <c r="W2" s="108" t="s">
        <v>875</v>
      </c>
    </row>
    <row r="3" spans="1:23" ht="19.5" customHeight="1" thickBot="1">
      <c r="B3" s="370"/>
      <c r="C3" s="370"/>
      <c r="D3" s="88" t="s">
        <v>147</v>
      </c>
      <c r="E3" s="84" t="s">
        <v>12</v>
      </c>
      <c r="F3" s="85" t="s">
        <v>34</v>
      </c>
      <c r="G3" s="86" t="s">
        <v>38</v>
      </c>
      <c r="H3" s="89" t="s">
        <v>34</v>
      </c>
      <c r="I3" s="85" t="s">
        <v>285</v>
      </c>
      <c r="J3" s="90" t="s">
        <v>38</v>
      </c>
      <c r="K3" s="84" t="s">
        <v>34</v>
      </c>
      <c r="L3" s="92" t="s">
        <v>285</v>
      </c>
      <c r="M3" s="92" t="s">
        <v>147</v>
      </c>
      <c r="N3" s="364"/>
      <c r="S3" s="109" t="s">
        <v>876</v>
      </c>
      <c r="T3" s="107" t="s">
        <v>831</v>
      </c>
      <c r="U3" s="107" t="s">
        <v>877</v>
      </c>
      <c r="V3" s="107" t="s">
        <v>878</v>
      </c>
      <c r="W3" s="107" t="s">
        <v>879</v>
      </c>
    </row>
    <row r="4" spans="1:23" ht="15">
      <c r="A4" s="27" t="s">
        <v>15</v>
      </c>
      <c r="B4" s="365" t="s">
        <v>880</v>
      </c>
      <c r="C4" s="69" t="s">
        <v>845</v>
      </c>
      <c r="D4" s="93">
        <f>COUNTIFS(DitrbFlota[TERMINAL OP],'Resumen Distribución'!$A4,DitrbFlota[Busqueda],'Resumen Distribución'!D$1)</f>
        <v>0</v>
      </c>
      <c r="E4" s="100">
        <f>COUNTIFS(DitrbFlota[TERMINAL OP],'Resumen Distribución'!$A4,DitrbFlota[Busqueda],'Resumen Distribución'!E$1)</f>
        <v>11</v>
      </c>
      <c r="F4" s="82">
        <f>COUNTIFS(DitrbFlota[TERMINAL OP],'Resumen Distribución'!$A4,DitrbFlota[Busqueda],'Resumen Distribución'!F$1)</f>
        <v>0</v>
      </c>
      <c r="G4" s="101">
        <f>COUNTIFS(DitrbFlota[TERMINAL OP],'Resumen Distribución'!$A4,DitrbFlota[Busqueda],'Resumen Distribución'!G$1)</f>
        <v>19</v>
      </c>
      <c r="H4" s="81">
        <f>COUNTIFS(DitrbFlota[TERMINAL OP],'Resumen Distribución'!$A4,DitrbFlota[Busqueda],'Resumen Distribución'!H$1)</f>
        <v>0</v>
      </c>
      <c r="I4" s="82">
        <f>COUNTIFS(DitrbFlota[TERMINAL OP],'Resumen Distribución'!$A4,DitrbFlota[Busqueda],'Resumen Distribución'!I$1)</f>
        <v>0</v>
      </c>
      <c r="J4" s="83">
        <f>COUNTIFS(DitrbFlota[TERMINAL OP],'Resumen Distribución'!$A4,DitrbFlota[Busqueda],'Resumen Distribución'!J$1)</f>
        <v>0</v>
      </c>
      <c r="K4" s="274">
        <f>COUNTIFS(DitrbFlota[TERMINAL OP],'Resumen Distribución'!$A4,DitrbFlota[Busqueda],'Resumen Distribución'!K$1)</f>
        <v>28</v>
      </c>
      <c r="L4" s="281">
        <f>COUNTIFS(DitrbFlota[TERMINAL OP],'Resumen Distribución'!$A4,DitrbFlota[Busqueda],'Resumen Distribución'!L$1)</f>
        <v>0</v>
      </c>
      <c r="M4" s="93">
        <f>COUNTIFS(DitrbFlota[TERMINAL OP],'Resumen Distribución'!$A4,DitrbFlota[Busqueda],'Resumen Distribución'!M$1)</f>
        <v>0</v>
      </c>
      <c r="N4" s="97">
        <f>SUM(D4:M4)</f>
        <v>58</v>
      </c>
      <c r="S4" s="109" t="s">
        <v>876</v>
      </c>
      <c r="T4" s="107" t="s">
        <v>828</v>
      </c>
      <c r="U4" s="107" t="s">
        <v>877</v>
      </c>
      <c r="V4" s="107" t="s">
        <v>878</v>
      </c>
      <c r="W4" s="107" t="s">
        <v>879</v>
      </c>
    </row>
    <row r="5" spans="1:23" ht="19.5" customHeight="1">
      <c r="A5" s="27" t="s">
        <v>130</v>
      </c>
      <c r="B5" s="365"/>
      <c r="C5" s="69" t="s">
        <v>851</v>
      </c>
      <c r="D5" s="94">
        <f>COUNTIFS(DitrbFlota[TERMINAL OP],'Resumen Distribución'!$A5,DitrbFlota[Busqueda],'Resumen Distribución'!D$1)</f>
        <v>75</v>
      </c>
      <c r="E5" s="102">
        <f>COUNTIFS(DitrbFlota[TERMINAL OP],'Resumen Distribución'!$A5,DitrbFlota[Busqueda],'Resumen Distribución'!E$1)</f>
        <v>10</v>
      </c>
      <c r="F5" s="67">
        <f>COUNTIFS(DitrbFlota[TERMINAL OP],'Resumen Distribución'!$A5,DitrbFlota[Busqueda],'Resumen Distribución'!F$1)</f>
        <v>0</v>
      </c>
      <c r="G5" s="103">
        <f>COUNTIFS(DitrbFlota[TERMINAL OP],'Resumen Distribución'!$A5,DitrbFlota[Busqueda],'Resumen Distribución'!G$1)</f>
        <v>7</v>
      </c>
      <c r="H5" s="68">
        <f>COUNTIFS(DitrbFlota[TERMINAL OP],'Resumen Distribución'!$A5,DitrbFlota[Busqueda],'Resumen Distribución'!H$1)</f>
        <v>12</v>
      </c>
      <c r="I5" s="67">
        <f>COUNTIFS(DitrbFlota[TERMINAL OP],'Resumen Distribución'!$A5,DitrbFlota[Busqueda],'Resumen Distribución'!I$1)</f>
        <v>0</v>
      </c>
      <c r="J5" s="76">
        <f>COUNTIFS(DitrbFlota[TERMINAL OP],'Resumen Distribución'!$A5,DitrbFlota[Busqueda],'Resumen Distribución'!J$1)</f>
        <v>24</v>
      </c>
      <c r="K5" s="102">
        <f>COUNTIFS(DitrbFlota[TERMINAL OP],'Resumen Distribución'!$A5,DitrbFlota[Busqueda],'Resumen Distribución'!K$1)</f>
        <v>0</v>
      </c>
      <c r="L5" s="282">
        <f>COUNTIFS(DitrbFlota[TERMINAL OP],'Resumen Distribución'!$A5,DitrbFlota[Busqueda],'Resumen Distribución'!L$1)</f>
        <v>0</v>
      </c>
      <c r="M5" s="94">
        <f>COUNTIFS(DitrbFlota[TERMINAL OP],'Resumen Distribución'!$A5,DitrbFlota[Busqueda],'Resumen Distribución'!M$1)</f>
        <v>0</v>
      </c>
      <c r="N5" s="79">
        <f>SUM(D5:M5)</f>
        <v>128</v>
      </c>
      <c r="S5" s="109" t="s">
        <v>851</v>
      </c>
      <c r="T5" s="107" t="s">
        <v>881</v>
      </c>
      <c r="U5" s="107" t="s">
        <v>882</v>
      </c>
      <c r="V5" s="107" t="s">
        <v>883</v>
      </c>
      <c r="W5" s="107" t="s">
        <v>884</v>
      </c>
    </row>
    <row r="6" spans="1:23" ht="19.5" customHeight="1">
      <c r="A6" s="33" t="s">
        <v>267</v>
      </c>
      <c r="B6" s="365"/>
      <c r="C6" s="69" t="s">
        <v>876</v>
      </c>
      <c r="D6" s="94">
        <f>COUNTIFS(DitrbFlota[TERMINAL OP],'Resumen Distribución'!$A6,DitrbFlota[Busqueda],'Resumen Distribución'!D$1)</f>
        <v>66</v>
      </c>
      <c r="E6" s="102">
        <f>COUNTIFS(DitrbFlota[TERMINAL OP],'Resumen Distribución'!$A6,DitrbFlota[Busqueda],'Resumen Distribución'!E$1)</f>
        <v>16</v>
      </c>
      <c r="F6" s="67">
        <f>COUNTIFS(DitrbFlota[TERMINAL OP],'Resumen Distribución'!$A6,DitrbFlota[Busqueda],'Resumen Distribución'!F$1)</f>
        <v>0</v>
      </c>
      <c r="G6" s="103">
        <f>COUNTIFS(DitrbFlota[TERMINAL OP],'Resumen Distribución'!$A6,DitrbFlota[Busqueda],'Resumen Distribución'!G$1)</f>
        <v>0</v>
      </c>
      <c r="H6" s="68">
        <f>COUNTIFS(DitrbFlota[TERMINAL OP],'Resumen Distribución'!$A6,DitrbFlota[Busqueda],'Resumen Distribución'!H$1)</f>
        <v>22</v>
      </c>
      <c r="I6" s="67">
        <f>COUNTIFS(DitrbFlota[TERMINAL OP],'Resumen Distribución'!$A6,DitrbFlota[Busqueda],'Resumen Distribución'!I$1)</f>
        <v>42</v>
      </c>
      <c r="J6" s="76">
        <f>COUNTIFS(DitrbFlota[TERMINAL OP],'Resumen Distribución'!$A6,DitrbFlota[Busqueda],'Resumen Distribución'!J$1)</f>
        <v>0</v>
      </c>
      <c r="K6" s="102">
        <f>COUNTIFS(DitrbFlota[TERMINAL OP],'Resumen Distribución'!$A6,DitrbFlota[Busqueda],'Resumen Distribución'!K$1)</f>
        <v>0</v>
      </c>
      <c r="L6" s="282">
        <f>COUNTIFS(DitrbFlota[TERMINAL OP],'Resumen Distribución'!$A6,DitrbFlota[Busqueda],'Resumen Distribución'!L$1)</f>
        <v>3</v>
      </c>
      <c r="M6" s="94">
        <f>COUNTIFS(DitrbFlota[TERMINAL OP],'Resumen Distribución'!$A6,DitrbFlota[Busqueda],'Resumen Distribución'!M$1)</f>
        <v>0</v>
      </c>
      <c r="N6" s="79">
        <f t="shared" ref="N6:N10" si="0">SUM(D6:M6)</f>
        <v>149</v>
      </c>
      <c r="S6" s="110" t="s">
        <v>885</v>
      </c>
      <c r="T6" s="107" t="s">
        <v>440</v>
      </c>
      <c r="U6" s="107" t="s">
        <v>886</v>
      </c>
      <c r="V6" s="107" t="s">
        <v>887</v>
      </c>
      <c r="W6" s="107" t="s">
        <v>888</v>
      </c>
    </row>
    <row r="7" spans="1:23" ht="19.5" customHeight="1">
      <c r="A7" s="27" t="s">
        <v>89</v>
      </c>
      <c r="B7" s="365"/>
      <c r="C7" s="69" t="s">
        <v>889</v>
      </c>
      <c r="D7" s="94">
        <f>COUNTIFS(DitrbFlota[TERMINAL OP],'Resumen Distribución'!$A7,DitrbFlota[Busqueda],'Resumen Distribución'!D$1)</f>
        <v>0</v>
      </c>
      <c r="E7" s="102">
        <f>COUNTIFS(DitrbFlota[TERMINAL OP],'Resumen Distribución'!$A7,DitrbFlota[Busqueda],'Resumen Distribución'!E$1)</f>
        <v>0</v>
      </c>
      <c r="F7" s="67">
        <f>COUNTIFS(DitrbFlota[TERMINAL OP],'Resumen Distribución'!$A7,DitrbFlota[Busqueda],'Resumen Distribución'!F$1)</f>
        <v>0</v>
      </c>
      <c r="G7" s="103">
        <f>COUNTIFS(DitrbFlota[TERMINAL OP],'Resumen Distribución'!$A7,DitrbFlota[Busqueda],'Resumen Distribución'!G$1)</f>
        <v>19</v>
      </c>
      <c r="H7" s="68">
        <f>COUNTIFS(DitrbFlota[TERMINAL OP],'Resumen Distribución'!$A7,DitrbFlota[Busqueda],'Resumen Distribución'!H$1)</f>
        <v>0</v>
      </c>
      <c r="I7" s="67">
        <f>COUNTIFS(DitrbFlota[TERMINAL OP],'Resumen Distribución'!$A7,DitrbFlota[Busqueda],'Resumen Distribución'!I$1)</f>
        <v>0</v>
      </c>
      <c r="J7" s="76">
        <f>COUNTIFS(DitrbFlota[TERMINAL OP],'Resumen Distribución'!$A7,DitrbFlota[Busqueda],'Resumen Distribución'!J$1)</f>
        <v>0</v>
      </c>
      <c r="K7" s="102">
        <f>COUNTIFS(DitrbFlota[TERMINAL OP],'Resumen Distribución'!$A7,DitrbFlota[Busqueda],'Resumen Distribución'!K$1)</f>
        <v>9</v>
      </c>
      <c r="L7" s="282">
        <f>COUNTIFS(DitrbFlota[TERMINAL OP],'Resumen Distribución'!$A7,DitrbFlota[Busqueda],'Resumen Distribución'!L$1)</f>
        <v>0</v>
      </c>
      <c r="M7" s="94">
        <f>COUNTIFS(DitrbFlota[TERMINAL OP],'Resumen Distribución'!$A7,DitrbFlota[Busqueda],'Resumen Distribución'!M$1)</f>
        <v>0</v>
      </c>
      <c r="N7" s="79">
        <f t="shared" si="0"/>
        <v>28</v>
      </c>
      <c r="S7" s="110" t="s">
        <v>885</v>
      </c>
      <c r="T7" s="107" t="s">
        <v>438</v>
      </c>
      <c r="U7" s="107" t="s">
        <v>890</v>
      </c>
      <c r="V7" s="107" t="s">
        <v>887</v>
      </c>
      <c r="W7" s="107" t="s">
        <v>888</v>
      </c>
    </row>
    <row r="8" spans="1:23" ht="19.5" customHeight="1">
      <c r="A8" s="27" t="s">
        <v>423</v>
      </c>
      <c r="B8" s="366" t="s">
        <v>891</v>
      </c>
      <c r="C8" s="70" t="s">
        <v>885</v>
      </c>
      <c r="D8" s="94">
        <f>COUNTIFS(DitrbFlota[TERMINAL OP],'Resumen Distribución'!$A8,DitrbFlota[Busqueda],'Resumen Distribución'!D$1)</f>
        <v>0</v>
      </c>
      <c r="E8" s="102">
        <f>COUNTIFS(DitrbFlota[TERMINAL OP],'Resumen Distribución'!$A8,DitrbFlota[Busqueda],'Resumen Distribución'!E$1)</f>
        <v>6</v>
      </c>
      <c r="F8" s="67">
        <f>COUNTIFS(DitrbFlota[TERMINAL OP],'Resumen Distribución'!$A8,DitrbFlota[Busqueda],'Resumen Distribución'!F$1)</f>
        <v>33</v>
      </c>
      <c r="G8" s="103">
        <f>COUNTIFS(DitrbFlota[TERMINAL OP],'Resumen Distribución'!$A8,DitrbFlota[Busqueda],'Resumen Distribución'!G$1)</f>
        <v>0</v>
      </c>
      <c r="H8" s="68">
        <f>COUNTIFS(DitrbFlota[TERMINAL OP],'Resumen Distribución'!$A8,DitrbFlota[Busqueda],'Resumen Distribución'!H$1)</f>
        <v>0</v>
      </c>
      <c r="I8" s="67">
        <f>COUNTIFS(DitrbFlota[TERMINAL OP],'Resumen Distribución'!$A8,DitrbFlota[Busqueda],'Resumen Distribución'!I$1)</f>
        <v>25</v>
      </c>
      <c r="J8" s="76">
        <f>COUNTIFS(DitrbFlota[TERMINAL OP],'Resumen Distribución'!$A8,DitrbFlota[Busqueda],'Resumen Distribución'!J$1)</f>
        <v>0</v>
      </c>
      <c r="K8" s="102">
        <f>COUNTIFS(DitrbFlota[TERMINAL OP],'Resumen Distribución'!$A8,DitrbFlota[Busqueda],'Resumen Distribución'!K$1)</f>
        <v>0</v>
      </c>
      <c r="L8" s="282">
        <f>COUNTIFS(DitrbFlota[TERMINAL OP],'Resumen Distribución'!$A8,DitrbFlota[Busqueda],'Resumen Distribución'!L$1)</f>
        <v>0</v>
      </c>
      <c r="M8" s="94">
        <f>COUNTIFS(DitrbFlota[TERMINAL OP],'Resumen Distribución'!$A8,DitrbFlota[Busqueda],'Resumen Distribución'!M$1)</f>
        <v>0</v>
      </c>
      <c r="N8" s="79">
        <f t="shared" si="0"/>
        <v>64</v>
      </c>
      <c r="S8" s="110" t="s">
        <v>849</v>
      </c>
      <c r="T8" s="107" t="s">
        <v>520</v>
      </c>
      <c r="U8" s="107" t="s">
        <v>890</v>
      </c>
      <c r="V8" s="107" t="s">
        <v>887</v>
      </c>
      <c r="W8" s="107" t="s">
        <v>888</v>
      </c>
    </row>
    <row r="9" spans="1:23" ht="19.5" customHeight="1">
      <c r="A9" s="27" t="s">
        <v>493</v>
      </c>
      <c r="B9" s="366"/>
      <c r="C9" s="70" t="s">
        <v>849</v>
      </c>
      <c r="D9" s="94">
        <f>COUNTIFS(DitrbFlota[TERMINAL OP],'Resumen Distribución'!$A9,DitrbFlota[Busqueda],'Resumen Distribución'!D$1)</f>
        <v>75</v>
      </c>
      <c r="E9" s="102">
        <f>COUNTIFS(DitrbFlota[TERMINAL OP],'Resumen Distribución'!$A9,DitrbFlota[Busqueda],'Resumen Distribución'!E$1)</f>
        <v>15</v>
      </c>
      <c r="F9" s="67">
        <f>COUNTIFS(DitrbFlota[TERMINAL OP],'Resumen Distribución'!$A9,DitrbFlota[Busqueda],'Resumen Distribución'!F$1)</f>
        <v>37</v>
      </c>
      <c r="G9" s="103">
        <f>COUNTIFS(DitrbFlota[TERMINAL OP],'Resumen Distribución'!$A9,DitrbFlota[Busqueda],'Resumen Distribución'!G$1)</f>
        <v>0</v>
      </c>
      <c r="H9" s="68">
        <f>COUNTIFS(DitrbFlota[TERMINAL OP],'Resumen Distribución'!$A9,DitrbFlota[Busqueda],'Resumen Distribución'!H$1)</f>
        <v>2</v>
      </c>
      <c r="I9" s="67">
        <f>COUNTIFS(DitrbFlota[TERMINAL OP],'Resumen Distribución'!$A9,DitrbFlota[Busqueda],'Resumen Distribución'!I$1)</f>
        <v>0</v>
      </c>
      <c r="J9" s="76">
        <f>COUNTIFS(DitrbFlota[TERMINAL OP],'Resumen Distribución'!$A9,DitrbFlota[Busqueda],'Resumen Distribución'!J$1)</f>
        <v>0</v>
      </c>
      <c r="K9" s="102">
        <f>COUNTIFS(DitrbFlota[TERMINAL OP],'Resumen Distribución'!$A9,DitrbFlota[Busqueda],'Resumen Distribución'!K$1)</f>
        <v>0</v>
      </c>
      <c r="L9" s="282">
        <f>COUNTIFS(DitrbFlota[TERMINAL OP],'Resumen Distribución'!$A9,DitrbFlota[Busqueda],'Resumen Distribución'!L$1)</f>
        <v>0</v>
      </c>
      <c r="M9" s="94">
        <f>COUNTIFS(DitrbFlota[TERMINAL OP],'Resumen Distribución'!$A9,DitrbFlota[Busqueda],'Resumen Distribución'!M$1)</f>
        <v>0</v>
      </c>
      <c r="N9" s="79">
        <f t="shared" si="0"/>
        <v>129</v>
      </c>
      <c r="S9" s="110" t="s">
        <v>853</v>
      </c>
      <c r="T9" s="107" t="s">
        <v>892</v>
      </c>
      <c r="U9" s="107" t="s">
        <v>893</v>
      </c>
      <c r="V9" s="107" t="s">
        <v>894</v>
      </c>
      <c r="W9" s="107" t="s">
        <v>884</v>
      </c>
    </row>
    <row r="10" spans="1:23" ht="19.5" customHeight="1" thickBot="1">
      <c r="A10" s="27" t="s">
        <v>674</v>
      </c>
      <c r="B10" s="366"/>
      <c r="C10" s="70" t="s">
        <v>853</v>
      </c>
      <c r="D10" s="95">
        <f>COUNTIFS(DitrbFlota[TERMINAL OP],'Resumen Distribución'!$A10,DitrbFlota[Busqueda],'Resumen Distribución'!D$1)</f>
        <v>99</v>
      </c>
      <c r="E10" s="104">
        <f>COUNTIFS(DitrbFlota[TERMINAL OP],'Resumen Distribución'!$A10,DitrbFlota[Busqueda],'Resumen Distribución'!E$1)</f>
        <v>0</v>
      </c>
      <c r="F10" s="72">
        <f>COUNTIFS(DitrbFlota[TERMINAL OP],'Resumen Distribución'!$A10,DitrbFlota[Busqueda],'Resumen Distribución'!F$1)</f>
        <v>0</v>
      </c>
      <c r="G10" s="105">
        <f>COUNTIFS(DitrbFlota[TERMINAL OP],'Resumen Distribución'!$A10,DitrbFlota[Busqueda],'Resumen Distribución'!G$1)</f>
        <v>0</v>
      </c>
      <c r="H10" s="71">
        <f>COUNTIFS(DitrbFlota[TERMINAL OP],'Resumen Distribución'!$A10,DitrbFlota[Busqueda],'Resumen Distribución'!H$1)</f>
        <v>60</v>
      </c>
      <c r="I10" s="72">
        <f>COUNTIFS(DitrbFlota[TERMINAL OP],'Resumen Distribución'!$A10,DitrbFlota[Busqueda],'Resumen Distribución'!I$1)</f>
        <v>0</v>
      </c>
      <c r="J10" s="77">
        <f>COUNTIFS(DitrbFlota[TERMINAL OP],'Resumen Distribución'!$A10,DitrbFlota[Busqueda],'Resumen Distribución'!J$1)</f>
        <v>0</v>
      </c>
      <c r="K10" s="104">
        <f>COUNTIFS(DitrbFlota[TERMINAL OP],'Resumen Distribución'!$A10,DitrbFlota[Busqueda],'Resumen Distribución'!K$1)</f>
        <v>0</v>
      </c>
      <c r="L10" s="283">
        <f>COUNTIFS(DitrbFlota[TERMINAL OP],'Resumen Distribución'!$A10,DitrbFlota[Busqueda],'Resumen Distribución'!L$1)</f>
        <v>0</v>
      </c>
      <c r="M10" s="95">
        <f>COUNTIFS(DitrbFlota[TERMINAL OP],'Resumen Distribución'!$A10,DitrbFlota[Busqueda],'Resumen Distribución'!M$1)</f>
        <v>25</v>
      </c>
      <c r="N10" s="80">
        <f t="shared" si="0"/>
        <v>184</v>
      </c>
    </row>
    <row r="11" spans="1:23" ht="19.5" customHeight="1" thickBot="1">
      <c r="A11" s="27"/>
      <c r="B11" s="367" t="s">
        <v>871</v>
      </c>
      <c r="C11" s="368"/>
      <c r="D11" s="98">
        <f>SUM(D4:D10)</f>
        <v>315</v>
      </c>
      <c r="E11" s="73">
        <f t="shared" ref="E11:M11" si="1">SUM(E4:E10)</f>
        <v>58</v>
      </c>
      <c r="F11" s="74">
        <f t="shared" si="1"/>
        <v>70</v>
      </c>
      <c r="G11" s="75">
        <f t="shared" si="1"/>
        <v>45</v>
      </c>
      <c r="H11" s="99">
        <f t="shared" si="1"/>
        <v>96</v>
      </c>
      <c r="I11" s="74">
        <f t="shared" si="1"/>
        <v>67</v>
      </c>
      <c r="J11" s="78">
        <f t="shared" si="1"/>
        <v>24</v>
      </c>
      <c r="K11" s="73">
        <f t="shared" si="1"/>
        <v>37</v>
      </c>
      <c r="L11" s="284">
        <f t="shared" ref="L11" si="2">SUM(L4:L10)</f>
        <v>3</v>
      </c>
      <c r="M11" s="96">
        <f t="shared" si="1"/>
        <v>25</v>
      </c>
      <c r="N11" s="106">
        <f>SUM(D11:M11)</f>
        <v>740</v>
      </c>
      <c r="P11" s="241"/>
    </row>
    <row r="12" spans="1:23" ht="19.5" customHeight="1">
      <c r="A12" s="27"/>
    </row>
    <row r="13" spans="1:23" ht="19.5" customHeight="1">
      <c r="A13" s="27" t="s">
        <v>895</v>
      </c>
    </row>
    <row r="14" spans="1:23" ht="19.5" customHeight="1">
      <c r="B14" t="s">
        <v>7</v>
      </c>
      <c r="C14" t="s">
        <v>865</v>
      </c>
      <c r="G14" s="32"/>
    </row>
    <row r="15" spans="1:23" ht="19.5" customHeight="1">
      <c r="B15" s="37">
        <v>44912</v>
      </c>
      <c r="C15" t="s">
        <v>15</v>
      </c>
      <c r="G15" s="32"/>
    </row>
    <row r="16" spans="1:23" ht="19.5" customHeight="1">
      <c r="B16" s="37">
        <v>44928</v>
      </c>
      <c r="C16" t="s">
        <v>896</v>
      </c>
      <c r="G16" s="32"/>
    </row>
    <row r="17" spans="2:7" ht="19.5" customHeight="1">
      <c r="B17" s="37">
        <v>44933</v>
      </c>
      <c r="C17" t="s">
        <v>130</v>
      </c>
      <c r="G17" s="32"/>
    </row>
    <row r="18" spans="2:7" ht="19.5" customHeight="1">
      <c r="B18" s="37">
        <v>44982</v>
      </c>
      <c r="C18" t="s">
        <v>423</v>
      </c>
      <c r="G18" s="32"/>
    </row>
    <row r="19" spans="2:7" ht="19.5" customHeight="1">
      <c r="B19" s="37">
        <v>44991</v>
      </c>
      <c r="C19" t="s">
        <v>130</v>
      </c>
    </row>
    <row r="20" spans="2:7" ht="19.5" customHeight="1">
      <c r="B20" s="37">
        <v>45003</v>
      </c>
      <c r="C20" t="s">
        <v>493</v>
      </c>
    </row>
    <row r="21" spans="2:7" ht="19.5" customHeight="1">
      <c r="B21" s="37">
        <v>45007</v>
      </c>
      <c r="C21" t="s">
        <v>130</v>
      </c>
    </row>
    <row r="22" spans="2:7" ht="19.5" customHeight="1">
      <c r="B22" s="37">
        <v>45024</v>
      </c>
      <c r="C22" t="s">
        <v>674</v>
      </c>
    </row>
    <row r="23" spans="2:7" ht="19.5" customHeight="1">
      <c r="B23" s="37">
        <v>45038</v>
      </c>
      <c r="C23" t="s">
        <v>897</v>
      </c>
    </row>
    <row r="33" spans="2:13" ht="19.5" customHeight="1" thickBot="1"/>
    <row r="34" spans="2:13" ht="19.5" customHeight="1">
      <c r="B34" s="369" t="s">
        <v>864</v>
      </c>
      <c r="C34" s="369" t="s">
        <v>865</v>
      </c>
      <c r="D34" s="87" t="s">
        <v>866</v>
      </c>
      <c r="E34" s="371" t="s">
        <v>867</v>
      </c>
      <c r="F34" s="372"/>
      <c r="G34" s="373"/>
      <c r="H34" s="374" t="s">
        <v>868</v>
      </c>
      <c r="I34" s="372"/>
      <c r="J34" s="375"/>
      <c r="K34" s="376" t="s">
        <v>869</v>
      </c>
      <c r="L34" s="377"/>
      <c r="M34" s="91" t="s">
        <v>870</v>
      </c>
    </row>
    <row r="35" spans="2:13" ht="19.5" customHeight="1" thickBot="1">
      <c r="B35" s="370"/>
      <c r="C35" s="370"/>
      <c r="D35" s="88" t="s">
        <v>147</v>
      </c>
      <c r="E35" s="84" t="s">
        <v>12</v>
      </c>
      <c r="F35" s="85" t="s">
        <v>34</v>
      </c>
      <c r="G35" s="86" t="s">
        <v>38</v>
      </c>
      <c r="H35" s="89" t="s">
        <v>34</v>
      </c>
      <c r="I35" s="85" t="s">
        <v>285</v>
      </c>
      <c r="J35" s="90" t="s">
        <v>38</v>
      </c>
      <c r="K35" s="84" t="s">
        <v>34</v>
      </c>
      <c r="L35" s="92" t="s">
        <v>285</v>
      </c>
      <c r="M35" s="92" t="s">
        <v>147</v>
      </c>
    </row>
    <row r="36" spans="2:13" ht="19.5" customHeight="1">
      <c r="B36" s="365" t="s">
        <v>880</v>
      </c>
      <c r="C36" s="69" t="s">
        <v>845</v>
      </c>
      <c r="D36" s="285">
        <f t="shared" ref="D36:M36" si="3">+IFERROR(D4/D$11,0)</f>
        <v>0</v>
      </c>
      <c r="E36" s="285">
        <f t="shared" si="3"/>
        <v>0.18965517241379309</v>
      </c>
      <c r="F36" s="285">
        <f t="shared" si="3"/>
        <v>0</v>
      </c>
      <c r="G36" s="285">
        <f t="shared" si="3"/>
        <v>0.42222222222222222</v>
      </c>
      <c r="H36" s="285">
        <f t="shared" si="3"/>
        <v>0</v>
      </c>
      <c r="I36" s="285">
        <f t="shared" si="3"/>
        <v>0</v>
      </c>
      <c r="J36" s="285">
        <f t="shared" si="3"/>
        <v>0</v>
      </c>
      <c r="K36" s="285">
        <f t="shared" si="3"/>
        <v>0.7567567567567568</v>
      </c>
      <c r="L36" s="285">
        <f t="shared" si="3"/>
        <v>0</v>
      </c>
      <c r="M36" s="285">
        <f t="shared" si="3"/>
        <v>0</v>
      </c>
    </row>
    <row r="37" spans="2:13" ht="19.5" customHeight="1">
      <c r="B37" s="365"/>
      <c r="C37" s="69" t="s">
        <v>851</v>
      </c>
      <c r="D37" s="285">
        <f t="shared" ref="D37:M37" si="4">+IFERROR(D5/D$11,0)</f>
        <v>0.23809523809523808</v>
      </c>
      <c r="E37" s="285">
        <f t="shared" si="4"/>
        <v>0.17241379310344829</v>
      </c>
      <c r="F37" s="285">
        <f t="shared" si="4"/>
        <v>0</v>
      </c>
      <c r="G37" s="285">
        <f t="shared" si="4"/>
        <v>0.15555555555555556</v>
      </c>
      <c r="H37" s="285">
        <f t="shared" si="4"/>
        <v>0.125</v>
      </c>
      <c r="I37" s="285">
        <f t="shared" si="4"/>
        <v>0</v>
      </c>
      <c r="J37" s="285">
        <f t="shared" si="4"/>
        <v>1</v>
      </c>
      <c r="K37" s="285">
        <f t="shared" si="4"/>
        <v>0</v>
      </c>
      <c r="L37" s="285">
        <f t="shared" si="4"/>
        <v>0</v>
      </c>
      <c r="M37" s="285">
        <f t="shared" si="4"/>
        <v>0</v>
      </c>
    </row>
    <row r="38" spans="2:13" ht="19.5" customHeight="1">
      <c r="B38" s="365"/>
      <c r="C38" s="69" t="s">
        <v>876</v>
      </c>
      <c r="D38" s="285">
        <f t="shared" ref="D38:M38" si="5">+IFERROR(D6/D$11,0)</f>
        <v>0.20952380952380953</v>
      </c>
      <c r="E38" s="285">
        <f t="shared" si="5"/>
        <v>0.27586206896551724</v>
      </c>
      <c r="F38" s="285">
        <f t="shared" si="5"/>
        <v>0</v>
      </c>
      <c r="G38" s="285">
        <f t="shared" si="5"/>
        <v>0</v>
      </c>
      <c r="H38" s="285">
        <f t="shared" si="5"/>
        <v>0.22916666666666666</v>
      </c>
      <c r="I38" s="285">
        <f t="shared" si="5"/>
        <v>0.62686567164179108</v>
      </c>
      <c r="J38" s="285">
        <f t="shared" si="5"/>
        <v>0</v>
      </c>
      <c r="K38" s="285">
        <f t="shared" si="5"/>
        <v>0</v>
      </c>
      <c r="L38" s="285">
        <f t="shared" si="5"/>
        <v>1</v>
      </c>
      <c r="M38" s="285">
        <f t="shared" si="5"/>
        <v>0</v>
      </c>
    </row>
    <row r="39" spans="2:13" ht="19.5" customHeight="1">
      <c r="B39" s="365"/>
      <c r="C39" s="69" t="s">
        <v>889</v>
      </c>
      <c r="D39" s="285">
        <f t="shared" ref="D39:M39" si="6">+IFERROR(D7/D$11,0)</f>
        <v>0</v>
      </c>
      <c r="E39" s="285">
        <f t="shared" si="6"/>
        <v>0</v>
      </c>
      <c r="F39" s="285">
        <f t="shared" si="6"/>
        <v>0</v>
      </c>
      <c r="G39" s="285">
        <f t="shared" si="6"/>
        <v>0.42222222222222222</v>
      </c>
      <c r="H39" s="285">
        <f t="shared" si="6"/>
        <v>0</v>
      </c>
      <c r="I39" s="285">
        <f t="shared" si="6"/>
        <v>0</v>
      </c>
      <c r="J39" s="285">
        <f t="shared" si="6"/>
        <v>0</v>
      </c>
      <c r="K39" s="285">
        <f t="shared" si="6"/>
        <v>0.24324324324324326</v>
      </c>
      <c r="L39" s="285">
        <f t="shared" si="6"/>
        <v>0</v>
      </c>
      <c r="M39" s="285">
        <f t="shared" si="6"/>
        <v>0</v>
      </c>
    </row>
    <row r="40" spans="2:13" ht="19.5" customHeight="1">
      <c r="B40" s="366" t="s">
        <v>891</v>
      </c>
      <c r="C40" s="70" t="s">
        <v>885</v>
      </c>
      <c r="D40" s="285">
        <f t="shared" ref="D40:M40" si="7">+IFERROR(D8/D$11,0)</f>
        <v>0</v>
      </c>
      <c r="E40" s="285">
        <f t="shared" si="7"/>
        <v>0.10344827586206896</v>
      </c>
      <c r="F40" s="285">
        <f t="shared" si="7"/>
        <v>0.47142857142857142</v>
      </c>
      <c r="G40" s="285">
        <f t="shared" si="7"/>
        <v>0</v>
      </c>
      <c r="H40" s="285">
        <f t="shared" si="7"/>
        <v>0</v>
      </c>
      <c r="I40" s="285">
        <f t="shared" si="7"/>
        <v>0.37313432835820898</v>
      </c>
      <c r="J40" s="285">
        <f t="shared" si="7"/>
        <v>0</v>
      </c>
      <c r="K40" s="285">
        <f t="shared" si="7"/>
        <v>0</v>
      </c>
      <c r="L40" s="285">
        <f t="shared" si="7"/>
        <v>0</v>
      </c>
      <c r="M40" s="285">
        <f t="shared" si="7"/>
        <v>0</v>
      </c>
    </row>
    <row r="41" spans="2:13" ht="19.5" customHeight="1">
      <c r="B41" s="366"/>
      <c r="C41" s="70" t="s">
        <v>849</v>
      </c>
      <c r="D41" s="285">
        <f t="shared" ref="D41:M41" si="8">+IFERROR(D9/D$11,0)</f>
        <v>0.23809523809523808</v>
      </c>
      <c r="E41" s="285">
        <f t="shared" si="8"/>
        <v>0.25862068965517243</v>
      </c>
      <c r="F41" s="285">
        <f t="shared" si="8"/>
        <v>0.52857142857142858</v>
      </c>
      <c r="G41" s="285">
        <f t="shared" si="8"/>
        <v>0</v>
      </c>
      <c r="H41" s="285">
        <f t="shared" si="8"/>
        <v>2.0833333333333332E-2</v>
      </c>
      <c r="I41" s="285">
        <f t="shared" si="8"/>
        <v>0</v>
      </c>
      <c r="J41" s="285">
        <f t="shared" si="8"/>
        <v>0</v>
      </c>
      <c r="K41" s="285">
        <f t="shared" si="8"/>
        <v>0</v>
      </c>
      <c r="L41" s="285">
        <f t="shared" si="8"/>
        <v>0</v>
      </c>
      <c r="M41" s="285">
        <f t="shared" si="8"/>
        <v>0</v>
      </c>
    </row>
    <row r="42" spans="2:13" ht="19.5" customHeight="1" thickBot="1">
      <c r="B42" s="366"/>
      <c r="C42" s="70" t="s">
        <v>853</v>
      </c>
      <c r="D42" s="285">
        <f t="shared" ref="D42:M42" si="9">+IFERROR(D10/D$11,0)</f>
        <v>0.31428571428571428</v>
      </c>
      <c r="E42" s="285">
        <f t="shared" si="9"/>
        <v>0</v>
      </c>
      <c r="F42" s="285">
        <f t="shared" si="9"/>
        <v>0</v>
      </c>
      <c r="G42" s="285">
        <f t="shared" si="9"/>
        <v>0</v>
      </c>
      <c r="H42" s="285">
        <f t="shared" si="9"/>
        <v>0.625</v>
      </c>
      <c r="I42" s="285">
        <f t="shared" si="9"/>
        <v>0</v>
      </c>
      <c r="J42" s="285">
        <f t="shared" si="9"/>
        <v>0</v>
      </c>
      <c r="K42" s="285">
        <f t="shared" si="9"/>
        <v>0</v>
      </c>
      <c r="L42" s="285">
        <f t="shared" si="9"/>
        <v>0</v>
      </c>
      <c r="M42" s="285">
        <f t="shared" si="9"/>
        <v>1</v>
      </c>
    </row>
    <row r="43" spans="2:13" ht="19.5" customHeight="1" thickBot="1">
      <c r="B43" s="367" t="s">
        <v>871</v>
      </c>
      <c r="C43" s="368"/>
      <c r="D43" s="286">
        <f t="shared" ref="D43:M43" si="10">SUM(D36:D42)</f>
        <v>1</v>
      </c>
      <c r="E43" s="286">
        <f t="shared" si="10"/>
        <v>1</v>
      </c>
      <c r="F43" s="286">
        <f t="shared" si="10"/>
        <v>1</v>
      </c>
      <c r="G43" s="286">
        <f t="shared" si="10"/>
        <v>1</v>
      </c>
      <c r="H43" s="286">
        <f t="shared" si="10"/>
        <v>1</v>
      </c>
      <c r="I43" s="286">
        <f t="shared" si="10"/>
        <v>1</v>
      </c>
      <c r="J43" s="286">
        <f t="shared" si="10"/>
        <v>1</v>
      </c>
      <c r="K43" s="286">
        <f t="shared" si="10"/>
        <v>1</v>
      </c>
      <c r="L43" s="286">
        <f t="shared" si="10"/>
        <v>1</v>
      </c>
      <c r="M43" s="286">
        <f t="shared" si="10"/>
        <v>1</v>
      </c>
    </row>
    <row r="46" spans="2:13" ht="19.5" customHeight="1" thickBot="1"/>
    <row r="47" spans="2:13" ht="19.5" customHeight="1">
      <c r="B47" s="369" t="s">
        <v>864</v>
      </c>
      <c r="C47" s="369" t="s">
        <v>865</v>
      </c>
      <c r="D47" s="87" t="s">
        <v>866</v>
      </c>
      <c r="E47" s="371" t="s">
        <v>867</v>
      </c>
      <c r="F47" s="372"/>
      <c r="G47" s="373"/>
      <c r="H47" s="374" t="s">
        <v>868</v>
      </c>
      <c r="I47" s="372"/>
      <c r="J47" s="375"/>
      <c r="K47" s="376" t="s">
        <v>869</v>
      </c>
      <c r="L47" s="377"/>
      <c r="M47" s="91" t="s">
        <v>870</v>
      </c>
    </row>
    <row r="48" spans="2:13" ht="19.5" customHeight="1" thickBot="1">
      <c r="B48" s="370"/>
      <c r="C48" s="370"/>
      <c r="D48" s="88" t="s">
        <v>147</v>
      </c>
      <c r="E48" s="84" t="s">
        <v>12</v>
      </c>
      <c r="F48" s="85" t="s">
        <v>34</v>
      </c>
      <c r="G48" s="86" t="s">
        <v>38</v>
      </c>
      <c r="H48" s="89" t="s">
        <v>34</v>
      </c>
      <c r="I48" s="85" t="s">
        <v>285</v>
      </c>
      <c r="J48" s="90" t="s">
        <v>38</v>
      </c>
      <c r="K48" s="84" t="s">
        <v>34</v>
      </c>
      <c r="L48" s="92" t="s">
        <v>285</v>
      </c>
      <c r="M48" s="92" t="s">
        <v>147</v>
      </c>
    </row>
    <row r="49" spans="2:14" ht="19.5" customHeight="1">
      <c r="B49" s="365" t="s">
        <v>880</v>
      </c>
      <c r="C49" s="69" t="s">
        <v>845</v>
      </c>
      <c r="D49" s="285">
        <f t="shared" ref="D49:M49" si="11">+IFERROR(D4/$N4,0)</f>
        <v>0</v>
      </c>
      <c r="E49" s="285">
        <f t="shared" si="11"/>
        <v>0.18965517241379309</v>
      </c>
      <c r="F49" s="285">
        <f t="shared" si="11"/>
        <v>0</v>
      </c>
      <c r="G49" s="285">
        <f t="shared" si="11"/>
        <v>0.32758620689655171</v>
      </c>
      <c r="H49" s="285">
        <f t="shared" si="11"/>
        <v>0</v>
      </c>
      <c r="I49" s="285">
        <f t="shared" si="11"/>
        <v>0</v>
      </c>
      <c r="J49" s="285">
        <f t="shared" si="11"/>
        <v>0</v>
      </c>
      <c r="K49" s="285">
        <f t="shared" si="11"/>
        <v>0.48275862068965519</v>
      </c>
      <c r="L49" s="285">
        <f t="shared" si="11"/>
        <v>0</v>
      </c>
      <c r="M49" s="285">
        <f t="shared" si="11"/>
        <v>0</v>
      </c>
      <c r="N49" s="287">
        <f t="shared" ref="N49:N55" si="12">+SUM(D49:M49)</f>
        <v>1</v>
      </c>
    </row>
    <row r="50" spans="2:14" ht="19.5" customHeight="1">
      <c r="B50" s="365"/>
      <c r="C50" s="69" t="s">
        <v>851</v>
      </c>
      <c r="D50" s="285">
        <f t="shared" ref="D50:M50" si="13">+IFERROR(D5/$N5,0)</f>
        <v>0.5859375</v>
      </c>
      <c r="E50" s="285">
        <f t="shared" si="13"/>
        <v>7.8125E-2</v>
      </c>
      <c r="F50" s="285">
        <f t="shared" si="13"/>
        <v>0</v>
      </c>
      <c r="G50" s="285">
        <f t="shared" si="13"/>
        <v>5.46875E-2</v>
      </c>
      <c r="H50" s="285">
        <f t="shared" si="13"/>
        <v>9.375E-2</v>
      </c>
      <c r="I50" s="285">
        <f t="shared" si="13"/>
        <v>0</v>
      </c>
      <c r="J50" s="285">
        <f t="shared" si="13"/>
        <v>0.1875</v>
      </c>
      <c r="K50" s="285">
        <f t="shared" si="13"/>
        <v>0</v>
      </c>
      <c r="L50" s="285">
        <f t="shared" si="13"/>
        <v>0</v>
      </c>
      <c r="M50" s="285">
        <f t="shared" si="13"/>
        <v>0</v>
      </c>
      <c r="N50" s="287">
        <f t="shared" si="12"/>
        <v>1</v>
      </c>
    </row>
    <row r="51" spans="2:14" ht="19.5" customHeight="1">
      <c r="B51" s="365"/>
      <c r="C51" s="69" t="s">
        <v>876</v>
      </c>
      <c r="D51" s="285">
        <f t="shared" ref="D51:M51" si="14">+IFERROR(D6/$N6,0)</f>
        <v>0.44295302013422821</v>
      </c>
      <c r="E51" s="285">
        <f t="shared" si="14"/>
        <v>0.10738255033557047</v>
      </c>
      <c r="F51" s="285">
        <f t="shared" si="14"/>
        <v>0</v>
      </c>
      <c r="G51" s="285">
        <f t="shared" si="14"/>
        <v>0</v>
      </c>
      <c r="H51" s="285">
        <f t="shared" si="14"/>
        <v>0.1476510067114094</v>
      </c>
      <c r="I51" s="285">
        <f t="shared" si="14"/>
        <v>0.28187919463087246</v>
      </c>
      <c r="J51" s="285">
        <f t="shared" si="14"/>
        <v>0</v>
      </c>
      <c r="K51" s="285">
        <f t="shared" si="14"/>
        <v>0</v>
      </c>
      <c r="L51" s="285">
        <f t="shared" si="14"/>
        <v>2.0134228187919462E-2</v>
      </c>
      <c r="M51" s="285">
        <f t="shared" si="14"/>
        <v>0</v>
      </c>
      <c r="N51" s="287">
        <f t="shared" si="12"/>
        <v>0.99999999999999989</v>
      </c>
    </row>
    <row r="52" spans="2:14" ht="19.5" customHeight="1">
      <c r="B52" s="365"/>
      <c r="C52" s="69" t="s">
        <v>889</v>
      </c>
      <c r="D52" s="285">
        <f t="shared" ref="D52:M52" si="15">+IFERROR(D7/$N7,0)</f>
        <v>0</v>
      </c>
      <c r="E52" s="285">
        <f t="shared" si="15"/>
        <v>0</v>
      </c>
      <c r="F52" s="285">
        <f t="shared" si="15"/>
        <v>0</v>
      </c>
      <c r="G52" s="285">
        <f t="shared" si="15"/>
        <v>0.6785714285714286</v>
      </c>
      <c r="H52" s="285">
        <f t="shared" si="15"/>
        <v>0</v>
      </c>
      <c r="I52" s="285">
        <f t="shared" si="15"/>
        <v>0</v>
      </c>
      <c r="J52" s="285">
        <f t="shared" si="15"/>
        <v>0</v>
      </c>
      <c r="K52" s="285">
        <f t="shared" si="15"/>
        <v>0.32142857142857145</v>
      </c>
      <c r="L52" s="285">
        <f t="shared" si="15"/>
        <v>0</v>
      </c>
      <c r="M52" s="285">
        <f t="shared" si="15"/>
        <v>0</v>
      </c>
      <c r="N52" s="287">
        <f t="shared" si="12"/>
        <v>1</v>
      </c>
    </row>
    <row r="53" spans="2:14" ht="19.5" customHeight="1">
      <c r="B53" s="366" t="s">
        <v>891</v>
      </c>
      <c r="C53" s="70" t="s">
        <v>885</v>
      </c>
      <c r="D53" s="285">
        <f t="shared" ref="D53:M53" si="16">+IFERROR(D8/$N8,0)</f>
        <v>0</v>
      </c>
      <c r="E53" s="285">
        <f t="shared" si="16"/>
        <v>9.375E-2</v>
      </c>
      <c r="F53" s="285">
        <f t="shared" si="16"/>
        <v>0.515625</v>
      </c>
      <c r="G53" s="285">
        <f t="shared" si="16"/>
        <v>0</v>
      </c>
      <c r="H53" s="285">
        <f t="shared" si="16"/>
        <v>0</v>
      </c>
      <c r="I53" s="285">
        <f t="shared" si="16"/>
        <v>0.390625</v>
      </c>
      <c r="J53" s="285">
        <f t="shared" si="16"/>
        <v>0</v>
      </c>
      <c r="K53" s="285">
        <f t="shared" si="16"/>
        <v>0</v>
      </c>
      <c r="L53" s="285">
        <f t="shared" si="16"/>
        <v>0</v>
      </c>
      <c r="M53" s="285">
        <f t="shared" si="16"/>
        <v>0</v>
      </c>
      <c r="N53" s="287">
        <f t="shared" si="12"/>
        <v>1</v>
      </c>
    </row>
    <row r="54" spans="2:14" ht="19.5" customHeight="1">
      <c r="B54" s="366"/>
      <c r="C54" s="70" t="s">
        <v>849</v>
      </c>
      <c r="D54" s="285">
        <f t="shared" ref="D54:M54" si="17">+IFERROR(D9/$N9,0)</f>
        <v>0.58139534883720934</v>
      </c>
      <c r="E54" s="285">
        <f t="shared" si="17"/>
        <v>0.11627906976744186</v>
      </c>
      <c r="F54" s="285">
        <f t="shared" si="17"/>
        <v>0.2868217054263566</v>
      </c>
      <c r="G54" s="285">
        <f t="shared" si="17"/>
        <v>0</v>
      </c>
      <c r="H54" s="285">
        <f t="shared" si="17"/>
        <v>1.5503875968992248E-2</v>
      </c>
      <c r="I54" s="285">
        <f t="shared" si="17"/>
        <v>0</v>
      </c>
      <c r="J54" s="285">
        <f t="shared" si="17"/>
        <v>0</v>
      </c>
      <c r="K54" s="285">
        <f t="shared" si="17"/>
        <v>0</v>
      </c>
      <c r="L54" s="285">
        <f t="shared" si="17"/>
        <v>0</v>
      </c>
      <c r="M54" s="285">
        <f t="shared" si="17"/>
        <v>0</v>
      </c>
      <c r="N54" s="287">
        <f t="shared" si="12"/>
        <v>1</v>
      </c>
    </row>
    <row r="55" spans="2:14" ht="19.5" customHeight="1">
      <c r="B55" s="366"/>
      <c r="C55" s="70" t="s">
        <v>853</v>
      </c>
      <c r="D55" s="285">
        <f t="shared" ref="D55:M55" si="18">+IFERROR(D10/$N10,0)</f>
        <v>0.53804347826086951</v>
      </c>
      <c r="E55" s="285">
        <f t="shared" si="18"/>
        <v>0</v>
      </c>
      <c r="F55" s="285">
        <f t="shared" si="18"/>
        <v>0</v>
      </c>
      <c r="G55" s="285">
        <f t="shared" si="18"/>
        <v>0</v>
      </c>
      <c r="H55" s="285">
        <f t="shared" si="18"/>
        <v>0.32608695652173914</v>
      </c>
      <c r="I55" s="285">
        <f t="shared" si="18"/>
        <v>0</v>
      </c>
      <c r="J55" s="285">
        <f t="shared" si="18"/>
        <v>0</v>
      </c>
      <c r="K55" s="285">
        <f t="shared" si="18"/>
        <v>0</v>
      </c>
      <c r="L55" s="285">
        <f t="shared" si="18"/>
        <v>0</v>
      </c>
      <c r="M55" s="285">
        <f t="shared" si="18"/>
        <v>0.1358695652173913</v>
      </c>
      <c r="N55" s="287">
        <f t="shared" si="12"/>
        <v>1</v>
      </c>
    </row>
    <row r="64" spans="2:14" ht="19.5" customHeight="1" thickBot="1"/>
    <row r="65" spans="2:14" ht="19.5" customHeight="1">
      <c r="B65" s="369" t="s">
        <v>864</v>
      </c>
      <c r="C65" s="369" t="s">
        <v>865</v>
      </c>
      <c r="D65" s="87" t="s">
        <v>866</v>
      </c>
      <c r="E65" s="371" t="s">
        <v>867</v>
      </c>
      <c r="F65" s="372"/>
      <c r="G65" s="373"/>
      <c r="H65" s="374" t="s">
        <v>868</v>
      </c>
      <c r="I65" s="372"/>
      <c r="J65" s="375"/>
      <c r="K65" s="376" t="s">
        <v>869</v>
      </c>
      <c r="L65" s="377"/>
      <c r="M65" s="91" t="s">
        <v>870</v>
      </c>
      <c r="N65" s="363" t="s">
        <v>871</v>
      </c>
    </row>
    <row r="66" spans="2:14" ht="19.5" customHeight="1" thickBot="1">
      <c r="B66" s="370"/>
      <c r="C66" s="370"/>
      <c r="D66" s="88" t="s">
        <v>147</v>
      </c>
      <c r="E66" s="84" t="s">
        <v>12</v>
      </c>
      <c r="F66" s="85" t="s">
        <v>34</v>
      </c>
      <c r="G66" s="86" t="s">
        <v>38</v>
      </c>
      <c r="H66" s="89" t="s">
        <v>34</v>
      </c>
      <c r="I66" s="85" t="s">
        <v>285</v>
      </c>
      <c r="J66" s="90" t="s">
        <v>38</v>
      </c>
      <c r="K66" s="84" t="s">
        <v>34</v>
      </c>
      <c r="L66" s="92" t="s">
        <v>285</v>
      </c>
      <c r="M66" s="92" t="s">
        <v>147</v>
      </c>
      <c r="N66" s="364"/>
    </row>
    <row r="67" spans="2:14" ht="19.5" customHeight="1">
      <c r="B67" s="365" t="s">
        <v>880</v>
      </c>
      <c r="C67" s="69" t="s">
        <v>845</v>
      </c>
      <c r="D67" s="93">
        <v>0</v>
      </c>
      <c r="E67" s="100">
        <v>11</v>
      </c>
      <c r="F67" s="82">
        <v>0</v>
      </c>
      <c r="G67" s="101">
        <v>19</v>
      </c>
      <c r="H67" s="81">
        <v>0</v>
      </c>
      <c r="I67" s="82">
        <v>0</v>
      </c>
      <c r="J67" s="83">
        <v>0</v>
      </c>
      <c r="K67" s="274">
        <v>28</v>
      </c>
      <c r="L67" s="281">
        <v>0</v>
      </c>
      <c r="M67" s="93">
        <v>0</v>
      </c>
      <c r="N67" s="97">
        <f>SUM(D67:M67)</f>
        <v>58</v>
      </c>
    </row>
    <row r="68" spans="2:14" ht="19.5" customHeight="1">
      <c r="B68" s="365"/>
      <c r="C68" s="69" t="s">
        <v>851</v>
      </c>
      <c r="D68" s="94">
        <v>75</v>
      </c>
      <c r="E68" s="102">
        <v>10</v>
      </c>
      <c r="F68" s="67">
        <v>0</v>
      </c>
      <c r="G68" s="103">
        <v>7</v>
      </c>
      <c r="H68" s="68">
        <v>12</v>
      </c>
      <c r="I68" s="67">
        <v>0</v>
      </c>
      <c r="J68" s="76">
        <v>24</v>
      </c>
      <c r="K68" s="102">
        <v>0</v>
      </c>
      <c r="L68" s="282">
        <v>0</v>
      </c>
      <c r="M68" s="94">
        <v>0</v>
      </c>
      <c r="N68" s="97">
        <f t="shared" ref="N68:N73" si="19">SUM(D68:M68)</f>
        <v>128</v>
      </c>
    </row>
    <row r="69" spans="2:14" ht="19.5" customHeight="1">
      <c r="B69" s="365"/>
      <c r="C69" s="69" t="s">
        <v>876</v>
      </c>
      <c r="D69" s="94">
        <v>66</v>
      </c>
      <c r="E69" s="102">
        <v>16</v>
      </c>
      <c r="F69" s="67">
        <v>0</v>
      </c>
      <c r="G69" s="103">
        <v>0</v>
      </c>
      <c r="H69" s="68">
        <v>22</v>
      </c>
      <c r="I69" s="67">
        <v>42</v>
      </c>
      <c r="J69" s="76">
        <v>0</v>
      </c>
      <c r="K69" s="102">
        <v>0</v>
      </c>
      <c r="L69" s="282">
        <v>3</v>
      </c>
      <c r="M69" s="94">
        <v>0</v>
      </c>
      <c r="N69" s="97">
        <f t="shared" si="19"/>
        <v>149</v>
      </c>
    </row>
    <row r="70" spans="2:14" ht="19.5" customHeight="1">
      <c r="B70" s="365"/>
      <c r="C70" s="69" t="s">
        <v>889</v>
      </c>
      <c r="D70" s="94">
        <v>0</v>
      </c>
      <c r="E70" s="102">
        <v>0</v>
      </c>
      <c r="F70" s="67">
        <v>0</v>
      </c>
      <c r="G70" s="103">
        <v>19</v>
      </c>
      <c r="H70" s="68">
        <v>0</v>
      </c>
      <c r="I70" s="67">
        <v>0</v>
      </c>
      <c r="J70" s="76">
        <v>0</v>
      </c>
      <c r="K70" s="102">
        <v>9</v>
      </c>
      <c r="L70" s="282">
        <v>0</v>
      </c>
      <c r="M70" s="94">
        <v>0</v>
      </c>
      <c r="N70" s="97">
        <f t="shared" si="19"/>
        <v>28</v>
      </c>
    </row>
    <row r="71" spans="2:14" ht="19.5" customHeight="1">
      <c r="B71" s="366" t="s">
        <v>891</v>
      </c>
      <c r="C71" s="70" t="s">
        <v>885</v>
      </c>
      <c r="D71" s="94">
        <v>0</v>
      </c>
      <c r="E71" s="102">
        <v>6</v>
      </c>
      <c r="F71" s="67">
        <v>33</v>
      </c>
      <c r="G71" s="103">
        <v>0</v>
      </c>
      <c r="H71" s="68">
        <v>0</v>
      </c>
      <c r="I71" s="67">
        <v>25</v>
      </c>
      <c r="J71" s="76">
        <v>0</v>
      </c>
      <c r="K71" s="102">
        <v>0</v>
      </c>
      <c r="L71" s="282">
        <v>0</v>
      </c>
      <c r="M71" s="94">
        <v>0</v>
      </c>
      <c r="N71" s="97">
        <f t="shared" si="19"/>
        <v>64</v>
      </c>
    </row>
    <row r="72" spans="2:14" ht="19.5" customHeight="1">
      <c r="B72" s="366"/>
      <c r="C72" s="70" t="s">
        <v>849</v>
      </c>
      <c r="D72" s="94">
        <v>87</v>
      </c>
      <c r="E72" s="102">
        <v>15</v>
      </c>
      <c r="F72" s="67">
        <v>37</v>
      </c>
      <c r="G72" s="103">
        <v>0</v>
      </c>
      <c r="H72" s="68">
        <v>31</v>
      </c>
      <c r="I72" s="67">
        <v>0</v>
      </c>
      <c r="J72" s="76">
        <v>0</v>
      </c>
      <c r="K72" s="102">
        <v>0</v>
      </c>
      <c r="L72" s="282">
        <v>0</v>
      </c>
      <c r="M72" s="94">
        <v>0</v>
      </c>
      <c r="N72" s="97">
        <f t="shared" si="19"/>
        <v>170</v>
      </c>
    </row>
    <row r="73" spans="2:14" ht="19.5" customHeight="1" thickBot="1">
      <c r="B73" s="366"/>
      <c r="C73" s="70" t="s">
        <v>853</v>
      </c>
      <c r="D73" s="95">
        <v>87</v>
      </c>
      <c r="E73" s="104">
        <v>0</v>
      </c>
      <c r="F73" s="72">
        <v>0</v>
      </c>
      <c r="G73" s="105">
        <v>0</v>
      </c>
      <c r="H73" s="71">
        <v>31</v>
      </c>
      <c r="I73" s="72">
        <v>0</v>
      </c>
      <c r="J73" s="77">
        <v>0</v>
      </c>
      <c r="K73" s="104">
        <v>0</v>
      </c>
      <c r="L73" s="283">
        <v>0</v>
      </c>
      <c r="M73" s="95">
        <v>25</v>
      </c>
      <c r="N73" s="97">
        <f t="shared" si="19"/>
        <v>143</v>
      </c>
    </row>
    <row r="74" spans="2:14" ht="19.5" customHeight="1" thickBot="1">
      <c r="B74" s="367" t="s">
        <v>871</v>
      </c>
      <c r="C74" s="368"/>
      <c r="D74" s="98">
        <f>SUM(D67:D73)</f>
        <v>315</v>
      </c>
      <c r="E74" s="98">
        <f t="shared" ref="E74:M74" si="20">SUM(E67:E73)</f>
        <v>58</v>
      </c>
      <c r="F74" s="98">
        <f t="shared" si="20"/>
        <v>70</v>
      </c>
      <c r="G74" s="98">
        <f t="shared" si="20"/>
        <v>45</v>
      </c>
      <c r="H74" s="98">
        <f t="shared" si="20"/>
        <v>96</v>
      </c>
      <c r="I74" s="98">
        <f t="shared" si="20"/>
        <v>67</v>
      </c>
      <c r="J74" s="98">
        <f t="shared" si="20"/>
        <v>24</v>
      </c>
      <c r="K74" s="98">
        <f t="shared" si="20"/>
        <v>37</v>
      </c>
      <c r="L74" s="98">
        <f t="shared" si="20"/>
        <v>3</v>
      </c>
      <c r="M74" s="98">
        <f t="shared" si="20"/>
        <v>25</v>
      </c>
      <c r="N74" s="106">
        <f>SUM(N67:N73)</f>
        <v>740</v>
      </c>
    </row>
  </sheetData>
  <mergeCells count="33">
    <mergeCell ref="H2:J2"/>
    <mergeCell ref="C2:C3"/>
    <mergeCell ref="N2:N3"/>
    <mergeCell ref="B2:B3"/>
    <mergeCell ref="B11:C11"/>
    <mergeCell ref="B4:B7"/>
    <mergeCell ref="B8:B10"/>
    <mergeCell ref="E2:G2"/>
    <mergeCell ref="K2:L2"/>
    <mergeCell ref="E47:G47"/>
    <mergeCell ref="H47:J47"/>
    <mergeCell ref="K47:L47"/>
    <mergeCell ref="B34:B35"/>
    <mergeCell ref="C34:C35"/>
    <mergeCell ref="E34:G34"/>
    <mergeCell ref="H34:J34"/>
    <mergeCell ref="K34:L34"/>
    <mergeCell ref="B49:B52"/>
    <mergeCell ref="B53:B55"/>
    <mergeCell ref="B36:B39"/>
    <mergeCell ref="B40:B42"/>
    <mergeCell ref="B43:C43"/>
    <mergeCell ref="B47:B48"/>
    <mergeCell ref="C47:C48"/>
    <mergeCell ref="N65:N66"/>
    <mergeCell ref="B67:B70"/>
    <mergeCell ref="B71:B73"/>
    <mergeCell ref="B74:C74"/>
    <mergeCell ref="B65:B66"/>
    <mergeCell ref="C65:C66"/>
    <mergeCell ref="E65:G65"/>
    <mergeCell ref="H65:J65"/>
    <mergeCell ref="K65:L65"/>
  </mergeCells>
  <phoneticPr fontId="6" type="noConversion"/>
  <pageMargins left="0.7" right="0.7" top="0.75" bottom="0.7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E1B7-3930-44EF-BC3B-53AC12F4D980}">
  <dimension ref="B1:N11"/>
  <sheetViews>
    <sheetView workbookViewId="0">
      <selection activeCell="H7" sqref="H7"/>
    </sheetView>
  </sheetViews>
  <sheetFormatPr baseColWidth="10" defaultColWidth="11.42578125" defaultRowHeight="15"/>
  <cols>
    <col min="3" max="3" width="17" bestFit="1" customWidth="1"/>
  </cols>
  <sheetData>
    <row r="1" spans="2:14" ht="15.75" thickBot="1"/>
    <row r="2" spans="2:14">
      <c r="B2" s="369" t="s">
        <v>864</v>
      </c>
      <c r="C2" s="369" t="s">
        <v>865</v>
      </c>
      <c r="D2" s="87" t="s">
        <v>866</v>
      </c>
      <c r="E2" s="371" t="s">
        <v>867</v>
      </c>
      <c r="F2" s="372"/>
      <c r="G2" s="373"/>
      <c r="H2" s="374" t="s">
        <v>868</v>
      </c>
      <c r="I2" s="372"/>
      <c r="J2" s="375"/>
      <c r="K2" s="376" t="s">
        <v>869</v>
      </c>
      <c r="L2" s="377"/>
      <c r="M2" s="91" t="s">
        <v>870</v>
      </c>
      <c r="N2" s="363" t="s">
        <v>871</v>
      </c>
    </row>
    <row r="3" spans="2:14" ht="15.75" thickBot="1">
      <c r="B3" s="370"/>
      <c r="C3" s="370"/>
      <c r="D3" s="88" t="s">
        <v>147</v>
      </c>
      <c r="E3" s="84" t="s">
        <v>12</v>
      </c>
      <c r="F3" s="85" t="s">
        <v>34</v>
      </c>
      <c r="G3" s="86" t="s">
        <v>38</v>
      </c>
      <c r="H3" s="89" t="s">
        <v>34</v>
      </c>
      <c r="I3" s="85" t="s">
        <v>285</v>
      </c>
      <c r="J3" s="90" t="s">
        <v>38</v>
      </c>
      <c r="K3" s="84" t="s">
        <v>34</v>
      </c>
      <c r="L3" s="92" t="s">
        <v>285</v>
      </c>
      <c r="M3" s="92" t="s">
        <v>147</v>
      </c>
      <c r="N3" s="364"/>
    </row>
    <row r="4" spans="2:14">
      <c r="B4" s="365" t="s">
        <v>880</v>
      </c>
      <c r="C4" s="69" t="s">
        <v>845</v>
      </c>
      <c r="D4" s="93">
        <v>0</v>
      </c>
      <c r="E4" s="100">
        <v>11</v>
      </c>
      <c r="F4" s="82">
        <v>0</v>
      </c>
      <c r="G4" s="101">
        <v>19</v>
      </c>
      <c r="H4" s="81">
        <v>0</v>
      </c>
      <c r="I4" s="82">
        <v>0</v>
      </c>
      <c r="J4" s="83">
        <v>0</v>
      </c>
      <c r="K4" s="290">
        <v>33</v>
      </c>
      <c r="L4" s="281">
        <v>0</v>
      </c>
      <c r="M4" s="93">
        <v>0</v>
      </c>
      <c r="N4" s="97">
        <f t="shared" ref="N4:N10" si="0">SUM(D4:M4)</f>
        <v>63</v>
      </c>
    </row>
    <row r="5" spans="2:14">
      <c r="B5" s="365"/>
      <c r="C5" s="69" t="s">
        <v>851</v>
      </c>
      <c r="D5" s="94">
        <v>75</v>
      </c>
      <c r="E5" s="102">
        <v>10</v>
      </c>
      <c r="F5" s="67">
        <v>0</v>
      </c>
      <c r="G5" s="103">
        <v>7</v>
      </c>
      <c r="H5" s="68">
        <v>12</v>
      </c>
      <c r="I5" s="67">
        <v>0</v>
      </c>
      <c r="J5" s="76">
        <v>24</v>
      </c>
      <c r="K5" s="102">
        <v>0</v>
      </c>
      <c r="L5" s="282">
        <v>0</v>
      </c>
      <c r="M5" s="94">
        <v>0</v>
      </c>
      <c r="N5" s="97">
        <f t="shared" si="0"/>
        <v>128</v>
      </c>
    </row>
    <row r="6" spans="2:14">
      <c r="B6" s="365"/>
      <c r="C6" s="69" t="s">
        <v>876</v>
      </c>
      <c r="D6" s="94">
        <v>66</v>
      </c>
      <c r="E6" s="102">
        <v>16</v>
      </c>
      <c r="F6" s="67">
        <v>0</v>
      </c>
      <c r="G6" s="103">
        <v>0</v>
      </c>
      <c r="H6" s="288">
        <v>18</v>
      </c>
      <c r="I6" s="67">
        <v>39</v>
      </c>
      <c r="J6" s="76">
        <v>0</v>
      </c>
      <c r="K6" s="102">
        <v>0</v>
      </c>
      <c r="L6" s="282">
        <v>3</v>
      </c>
      <c r="M6" s="94">
        <v>0</v>
      </c>
      <c r="N6" s="97">
        <f t="shared" si="0"/>
        <v>142</v>
      </c>
    </row>
    <row r="7" spans="2:14">
      <c r="B7" s="365"/>
      <c r="C7" s="69" t="s">
        <v>889</v>
      </c>
      <c r="D7" s="94">
        <v>0</v>
      </c>
      <c r="E7" s="102">
        <v>0</v>
      </c>
      <c r="F7" s="67">
        <v>0</v>
      </c>
      <c r="G7" s="103">
        <v>19</v>
      </c>
      <c r="H7" s="288">
        <v>4</v>
      </c>
      <c r="I7" s="67">
        <v>0</v>
      </c>
      <c r="J7" s="76">
        <v>0</v>
      </c>
      <c r="K7" s="289">
        <v>5</v>
      </c>
      <c r="L7" s="282">
        <v>0</v>
      </c>
      <c r="M7" s="94">
        <v>0</v>
      </c>
      <c r="N7" s="97">
        <f t="shared" si="0"/>
        <v>28</v>
      </c>
    </row>
    <row r="8" spans="2:14">
      <c r="B8" s="366" t="s">
        <v>891</v>
      </c>
      <c r="C8" s="70" t="s">
        <v>885</v>
      </c>
      <c r="D8" s="94">
        <v>0</v>
      </c>
      <c r="E8" s="102">
        <v>6</v>
      </c>
      <c r="F8" s="67">
        <v>36</v>
      </c>
      <c r="G8" s="103">
        <v>0</v>
      </c>
      <c r="H8" s="68">
        <v>0</v>
      </c>
      <c r="I8" s="67">
        <v>20</v>
      </c>
      <c r="J8" s="76">
        <v>0</v>
      </c>
      <c r="K8" s="102">
        <v>0</v>
      </c>
      <c r="L8" s="282">
        <v>0</v>
      </c>
      <c r="M8" s="94">
        <v>0</v>
      </c>
      <c r="N8" s="97">
        <f t="shared" si="0"/>
        <v>62</v>
      </c>
    </row>
    <row r="9" spans="2:14">
      <c r="B9" s="366"/>
      <c r="C9" s="70" t="s">
        <v>849</v>
      </c>
      <c r="D9" s="94">
        <v>93</v>
      </c>
      <c r="E9" s="102">
        <v>15</v>
      </c>
      <c r="F9" s="67">
        <v>34</v>
      </c>
      <c r="G9" s="103">
        <v>0</v>
      </c>
      <c r="H9" s="68">
        <v>26</v>
      </c>
      <c r="I9" s="67">
        <v>7</v>
      </c>
      <c r="J9" s="76">
        <v>0</v>
      </c>
      <c r="K9" s="102">
        <v>0</v>
      </c>
      <c r="L9" s="282">
        <v>0</v>
      </c>
      <c r="M9" s="94">
        <v>0</v>
      </c>
      <c r="N9" s="97">
        <f t="shared" si="0"/>
        <v>175</v>
      </c>
    </row>
    <row r="10" spans="2:14" ht="15.75" thickBot="1">
      <c r="B10" s="366"/>
      <c r="C10" s="70" t="s">
        <v>853</v>
      </c>
      <c r="D10" s="95">
        <v>82</v>
      </c>
      <c r="E10" s="104">
        <v>0</v>
      </c>
      <c r="F10" s="72">
        <v>0</v>
      </c>
      <c r="G10" s="105">
        <v>0</v>
      </c>
      <c r="H10" s="71">
        <v>36</v>
      </c>
      <c r="I10" s="72">
        <v>0</v>
      </c>
      <c r="J10" s="77">
        <v>0</v>
      </c>
      <c r="K10" s="104">
        <v>0</v>
      </c>
      <c r="L10" s="283">
        <v>0</v>
      </c>
      <c r="M10" s="95">
        <v>25</v>
      </c>
      <c r="N10" s="97">
        <f t="shared" si="0"/>
        <v>143</v>
      </c>
    </row>
    <row r="11" spans="2:14" ht="15.75" thickBot="1">
      <c r="B11" s="367" t="s">
        <v>871</v>
      </c>
      <c r="C11" s="368"/>
      <c r="D11" s="98">
        <v>316</v>
      </c>
      <c r="E11" s="73">
        <v>58</v>
      </c>
      <c r="F11" s="74">
        <v>70</v>
      </c>
      <c r="G11" s="75">
        <v>45</v>
      </c>
      <c r="H11" s="99">
        <v>96</v>
      </c>
      <c r="I11" s="74">
        <v>66</v>
      </c>
      <c r="J11" s="78">
        <v>24</v>
      </c>
      <c r="K11" s="73">
        <v>38</v>
      </c>
      <c r="L11" s="284">
        <v>3</v>
      </c>
      <c r="M11" s="96">
        <v>25</v>
      </c>
      <c r="N11" s="106">
        <f>SUM(N4:N10)</f>
        <v>741</v>
      </c>
    </row>
  </sheetData>
  <mergeCells count="9">
    <mergeCell ref="K2:L2"/>
    <mergeCell ref="N2:N3"/>
    <mergeCell ref="B4:B7"/>
    <mergeCell ref="B8:B10"/>
    <mergeCell ref="B11:C11"/>
    <mergeCell ref="B2:B3"/>
    <mergeCell ref="C2:C3"/>
    <mergeCell ref="E2:G2"/>
    <mergeCell ref="H2:J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60AA-3C5C-40D9-94E1-09B5C3B65522}">
  <sheetPr codeName="Hoja17"/>
  <dimension ref="A1:H132"/>
  <sheetViews>
    <sheetView workbookViewId="0"/>
  </sheetViews>
  <sheetFormatPr baseColWidth="10" defaultColWidth="11.42578125" defaultRowHeight="15"/>
  <cols>
    <col min="7" max="7" width="18.42578125" bestFit="1" customWidth="1"/>
  </cols>
  <sheetData>
    <row r="1" spans="1:8" ht="15.75" thickBot="1">
      <c r="A1" s="193" t="s">
        <v>0</v>
      </c>
      <c r="B1" s="194" t="s">
        <v>898</v>
      </c>
      <c r="C1" s="194" t="s">
        <v>2</v>
      </c>
      <c r="D1" s="194" t="s">
        <v>899</v>
      </c>
      <c r="E1" s="194" t="s">
        <v>900</v>
      </c>
      <c r="F1" s="194" t="s">
        <v>901</v>
      </c>
      <c r="G1" s="195" t="s">
        <v>902</v>
      </c>
    </row>
    <row r="2" spans="1:8" ht="15.75" thickBot="1">
      <c r="A2" s="196" t="s">
        <v>421</v>
      </c>
      <c r="B2" s="111" t="s">
        <v>531</v>
      </c>
      <c r="C2" s="111">
        <v>6055</v>
      </c>
      <c r="D2" s="111" t="s">
        <v>903</v>
      </c>
      <c r="E2" s="111" t="s">
        <v>904</v>
      </c>
      <c r="F2" s="111" t="s">
        <v>853</v>
      </c>
      <c r="G2" s="256"/>
      <c r="H2" t="str">
        <f>VLOOKUP(B2,DitrbFlota[PLACA],1,0)</f>
        <v>LBTT14</v>
      </c>
    </row>
    <row r="3" spans="1:8" ht="15.75" thickBot="1">
      <c r="A3" s="196" t="s">
        <v>421</v>
      </c>
      <c r="B3" s="111" t="s">
        <v>689</v>
      </c>
      <c r="C3" s="111">
        <v>6056</v>
      </c>
      <c r="D3" s="111" t="s">
        <v>903</v>
      </c>
      <c r="E3" s="111" t="s">
        <v>904</v>
      </c>
      <c r="F3" s="111" t="s">
        <v>853</v>
      </c>
      <c r="G3" s="256"/>
      <c r="H3" t="str">
        <f>VLOOKUP(B3,DitrbFlota[PLACA],1,0)</f>
        <v>LBTT15</v>
      </c>
    </row>
    <row r="4" spans="1:8" ht="15.75" thickBot="1">
      <c r="A4" s="196" t="s">
        <v>421</v>
      </c>
      <c r="B4" s="111" t="s">
        <v>666</v>
      </c>
      <c r="C4" s="111">
        <v>6057</v>
      </c>
      <c r="D4" s="111" t="s">
        <v>903</v>
      </c>
      <c r="E4" s="111" t="s">
        <v>904</v>
      </c>
      <c r="F4" s="111" t="s">
        <v>853</v>
      </c>
      <c r="G4" s="256"/>
      <c r="H4" t="str">
        <f>VLOOKUP(B4,DitrbFlota[PLACA],1,0)</f>
        <v>LBTT16</v>
      </c>
    </row>
    <row r="5" spans="1:8" ht="15.75" thickBot="1">
      <c r="A5" s="196" t="s">
        <v>421</v>
      </c>
      <c r="B5" s="111" t="s">
        <v>691</v>
      </c>
      <c r="C5" s="111">
        <v>6058</v>
      </c>
      <c r="D5" s="111" t="s">
        <v>903</v>
      </c>
      <c r="E5" s="111" t="s">
        <v>904</v>
      </c>
      <c r="F5" s="111" t="s">
        <v>853</v>
      </c>
      <c r="G5" s="256"/>
      <c r="H5" t="str">
        <f>VLOOKUP(B5,DitrbFlota[PLACA],1,0)</f>
        <v>LBTT17</v>
      </c>
    </row>
    <row r="6" spans="1:8" ht="15.75" thickBot="1">
      <c r="A6" s="196" t="s">
        <v>421</v>
      </c>
      <c r="B6" s="111" t="s">
        <v>667</v>
      </c>
      <c r="C6" s="111">
        <v>6059</v>
      </c>
      <c r="D6" s="111" t="s">
        <v>903</v>
      </c>
      <c r="E6" s="111" t="s">
        <v>904</v>
      </c>
      <c r="F6" s="111" t="s">
        <v>853</v>
      </c>
      <c r="G6" s="256"/>
      <c r="H6" t="str">
        <f>VLOOKUP(B6,DitrbFlota[PLACA],1,0)</f>
        <v>LBTT18</v>
      </c>
    </row>
    <row r="7" spans="1:8" ht="15.75" thickBot="1">
      <c r="A7" s="197" t="s">
        <v>421</v>
      </c>
      <c r="B7" s="198" t="s">
        <v>673</v>
      </c>
      <c r="C7" s="198">
        <v>6032</v>
      </c>
      <c r="D7" s="198" t="s">
        <v>903</v>
      </c>
      <c r="E7" s="198" t="s">
        <v>904</v>
      </c>
      <c r="F7" s="198" t="s">
        <v>853</v>
      </c>
      <c r="G7" s="198" t="s">
        <v>905</v>
      </c>
      <c r="H7" t="str">
        <f>VLOOKUP(B7,DitrbFlota[PLACA],1,0)</f>
        <v>LBTS80</v>
      </c>
    </row>
    <row r="8" spans="1:8" ht="15.75" thickBot="1">
      <c r="A8" s="196" t="s">
        <v>421</v>
      </c>
      <c r="B8" s="111" t="s">
        <v>533</v>
      </c>
      <c r="C8" s="111">
        <v>6061</v>
      </c>
      <c r="D8" s="111" t="s">
        <v>903</v>
      </c>
      <c r="E8" s="111" t="s">
        <v>904</v>
      </c>
      <c r="F8" s="111" t="s">
        <v>853</v>
      </c>
      <c r="G8" s="256"/>
      <c r="H8" t="str">
        <f>VLOOKUP(B8,DitrbFlota[PLACA],1,0)</f>
        <v>LBTT20</v>
      </c>
    </row>
    <row r="9" spans="1:8" ht="15.75" thickBot="1">
      <c r="A9" s="196" t="s">
        <v>421</v>
      </c>
      <c r="B9" s="111" t="s">
        <v>692</v>
      </c>
      <c r="C9" s="111">
        <v>6062</v>
      </c>
      <c r="D9" s="111" t="s">
        <v>903</v>
      </c>
      <c r="E9" s="111" t="s">
        <v>904</v>
      </c>
      <c r="F9" s="111" t="s">
        <v>853</v>
      </c>
      <c r="G9" s="256"/>
      <c r="H9" t="str">
        <f>VLOOKUP(B9,DitrbFlota[PLACA],1,0)</f>
        <v>LBTT21</v>
      </c>
    </row>
    <row r="10" spans="1:8" ht="15.75" thickBot="1">
      <c r="A10" s="196" t="s">
        <v>421</v>
      </c>
      <c r="B10" s="111" t="s">
        <v>534</v>
      </c>
      <c r="C10" s="111">
        <v>6063</v>
      </c>
      <c r="D10" s="111" t="s">
        <v>903</v>
      </c>
      <c r="E10" s="111" t="s">
        <v>904</v>
      </c>
      <c r="F10" s="111" t="s">
        <v>853</v>
      </c>
      <c r="G10" s="256"/>
      <c r="H10" t="str">
        <f>VLOOKUP(B10,DitrbFlota[PLACA],1,0)</f>
        <v>LBTT22</v>
      </c>
    </row>
    <row r="11" spans="1:8" ht="15.75" thickBot="1">
      <c r="A11" s="196" t="s">
        <v>421</v>
      </c>
      <c r="B11" s="111" t="s">
        <v>693</v>
      </c>
      <c r="C11" s="111">
        <v>6064</v>
      </c>
      <c r="D11" s="111" t="s">
        <v>903</v>
      </c>
      <c r="E11" s="111" t="s">
        <v>904</v>
      </c>
      <c r="F11" s="111" t="s">
        <v>853</v>
      </c>
      <c r="G11" s="256"/>
      <c r="H11" t="str">
        <f>VLOOKUP(B11,DitrbFlota[PLACA],1,0)</f>
        <v>LBTT23</v>
      </c>
    </row>
    <row r="12" spans="1:8" ht="15.75" thickBot="1">
      <c r="A12" s="196" t="s">
        <v>421</v>
      </c>
      <c r="B12" s="111" t="s">
        <v>694</v>
      </c>
      <c r="C12" s="111">
        <v>6065</v>
      </c>
      <c r="D12" s="111" t="s">
        <v>903</v>
      </c>
      <c r="E12" s="111" t="s">
        <v>904</v>
      </c>
      <c r="F12" s="111" t="s">
        <v>853</v>
      </c>
      <c r="G12" s="256"/>
      <c r="H12" t="str">
        <f>VLOOKUP(B12,DitrbFlota[PLACA],1,0)</f>
        <v>LBTT24</v>
      </c>
    </row>
    <row r="13" spans="1:8" ht="15.75" thickBot="1">
      <c r="A13" s="196" t="s">
        <v>421</v>
      </c>
      <c r="B13" s="111" t="s">
        <v>535</v>
      </c>
      <c r="C13" s="111">
        <v>6066</v>
      </c>
      <c r="D13" s="111" t="s">
        <v>903</v>
      </c>
      <c r="E13" s="111" t="s">
        <v>904</v>
      </c>
      <c r="F13" s="111" t="s">
        <v>853</v>
      </c>
      <c r="G13" s="256"/>
      <c r="H13" t="str">
        <f>VLOOKUP(B13,DitrbFlota[PLACA],1,0)</f>
        <v>LBTT25</v>
      </c>
    </row>
    <row r="14" spans="1:8" ht="15.75" thickBot="1">
      <c r="A14" s="196" t="s">
        <v>421</v>
      </c>
      <c r="B14" s="111" t="s">
        <v>695</v>
      </c>
      <c r="C14" s="111">
        <v>6067</v>
      </c>
      <c r="D14" s="111" t="s">
        <v>903</v>
      </c>
      <c r="E14" s="111" t="s">
        <v>904</v>
      </c>
      <c r="F14" s="111" t="s">
        <v>853</v>
      </c>
      <c r="G14" s="256"/>
      <c r="H14" t="str">
        <f>VLOOKUP(B14,DitrbFlota[PLACA],1,0)</f>
        <v>LCPG31</v>
      </c>
    </row>
    <row r="15" spans="1:8" ht="15.75" thickBot="1">
      <c r="A15" s="196" t="s">
        <v>421</v>
      </c>
      <c r="B15" s="111" t="s">
        <v>536</v>
      </c>
      <c r="C15" s="111">
        <v>6068</v>
      </c>
      <c r="D15" s="111" t="s">
        <v>903</v>
      </c>
      <c r="E15" s="111" t="s">
        <v>904</v>
      </c>
      <c r="F15" s="111" t="s">
        <v>853</v>
      </c>
      <c r="G15" s="256"/>
      <c r="H15" t="str">
        <f>VLOOKUP(B15,DitrbFlota[PLACA],1,0)</f>
        <v>LCPG32</v>
      </c>
    </row>
    <row r="16" spans="1:8" ht="15.75" thickBot="1">
      <c r="A16" s="196" t="s">
        <v>421</v>
      </c>
      <c r="B16" s="111" t="s">
        <v>537</v>
      </c>
      <c r="C16" s="111">
        <v>6069</v>
      </c>
      <c r="D16" s="111" t="s">
        <v>903</v>
      </c>
      <c r="E16" s="111" t="s">
        <v>904</v>
      </c>
      <c r="F16" s="111" t="s">
        <v>853</v>
      </c>
      <c r="G16" s="256"/>
      <c r="H16" t="str">
        <f>VLOOKUP(B16,DitrbFlota[PLACA],1,0)</f>
        <v>LCPG33</v>
      </c>
    </row>
    <row r="17" spans="1:8" ht="15.75" thickBot="1">
      <c r="A17" s="196" t="s">
        <v>421</v>
      </c>
      <c r="B17" s="111" t="s">
        <v>668</v>
      </c>
      <c r="C17" s="111">
        <v>6070</v>
      </c>
      <c r="D17" s="111" t="s">
        <v>903</v>
      </c>
      <c r="E17" s="111" t="s">
        <v>904</v>
      </c>
      <c r="F17" s="111" t="s">
        <v>853</v>
      </c>
      <c r="G17" s="256"/>
      <c r="H17" t="str">
        <f>VLOOKUP(B17,DitrbFlota[PLACA],1,0)</f>
        <v>LCPG34</v>
      </c>
    </row>
    <row r="18" spans="1:8" ht="15.75" thickBot="1">
      <c r="A18" s="199" t="s">
        <v>421</v>
      </c>
      <c r="B18" s="200" t="s">
        <v>668</v>
      </c>
      <c r="C18" s="200">
        <v>6070</v>
      </c>
      <c r="D18" s="200" t="s">
        <v>903</v>
      </c>
      <c r="E18" s="200" t="s">
        <v>904</v>
      </c>
      <c r="F18" s="200" t="s">
        <v>853</v>
      </c>
      <c r="G18" s="200" t="s">
        <v>906</v>
      </c>
      <c r="H18" t="str">
        <f>VLOOKUP(B18,DitrbFlota[PLACA],1,0)</f>
        <v>LCPG34</v>
      </c>
    </row>
    <row r="19" spans="1:8" ht="15.75" thickBot="1">
      <c r="A19" s="196" t="s">
        <v>421</v>
      </c>
      <c r="B19" s="111" t="s">
        <v>696</v>
      </c>
      <c r="C19" s="111">
        <v>6072</v>
      </c>
      <c r="D19" s="111" t="s">
        <v>903</v>
      </c>
      <c r="E19" s="111" t="s">
        <v>904</v>
      </c>
      <c r="F19" s="111" t="s">
        <v>853</v>
      </c>
      <c r="G19" s="256"/>
      <c r="H19" t="str">
        <f>VLOOKUP(B19,DitrbFlota[PLACA],1,0)</f>
        <v>LCPG36</v>
      </c>
    </row>
    <row r="20" spans="1:8" ht="15.75" thickBot="1">
      <c r="A20" s="196" t="s">
        <v>421</v>
      </c>
      <c r="B20" s="111" t="s">
        <v>697</v>
      </c>
      <c r="C20" s="111">
        <v>6073</v>
      </c>
      <c r="D20" s="111" t="s">
        <v>903</v>
      </c>
      <c r="E20" s="111" t="s">
        <v>904</v>
      </c>
      <c r="F20" s="111" t="s">
        <v>853</v>
      </c>
      <c r="G20" s="256"/>
      <c r="H20" t="str">
        <f>VLOOKUP(B20,DitrbFlota[PLACA],1,0)</f>
        <v>LCPG37</v>
      </c>
    </row>
    <row r="21" spans="1:8" ht="15.75" thickBot="1">
      <c r="A21" s="196" t="s">
        <v>421</v>
      </c>
      <c r="B21" s="111" t="s">
        <v>698</v>
      </c>
      <c r="C21" s="111">
        <v>6074</v>
      </c>
      <c r="D21" s="111" t="s">
        <v>903</v>
      </c>
      <c r="E21" s="111" t="s">
        <v>904</v>
      </c>
      <c r="F21" s="111" t="s">
        <v>853</v>
      </c>
      <c r="G21" s="256"/>
      <c r="H21" t="str">
        <f>VLOOKUP(B21,DitrbFlota[PLACA],1,0)</f>
        <v>LCPG38</v>
      </c>
    </row>
    <row r="22" spans="1:8" ht="15.75" thickBot="1">
      <c r="A22" s="196" t="s">
        <v>421</v>
      </c>
      <c r="B22" s="111" t="s">
        <v>699</v>
      </c>
      <c r="C22" s="111">
        <v>6075</v>
      </c>
      <c r="D22" s="111" t="s">
        <v>903</v>
      </c>
      <c r="E22" s="111" t="s">
        <v>904</v>
      </c>
      <c r="F22" s="111" t="s">
        <v>853</v>
      </c>
      <c r="G22" s="256"/>
      <c r="H22" t="str">
        <f>VLOOKUP(B22,DitrbFlota[PLACA],1,0)</f>
        <v>LCPG39</v>
      </c>
    </row>
    <row r="23" spans="1:8" ht="15.75" thickBot="1">
      <c r="A23" s="196" t="s">
        <v>421</v>
      </c>
      <c r="B23" s="111" t="s">
        <v>700</v>
      </c>
      <c r="C23" s="111">
        <v>6076</v>
      </c>
      <c r="D23" s="111" t="s">
        <v>903</v>
      </c>
      <c r="E23" s="111" t="s">
        <v>904</v>
      </c>
      <c r="F23" s="111" t="s">
        <v>853</v>
      </c>
      <c r="G23" s="256"/>
      <c r="H23" t="str">
        <f>VLOOKUP(B23,DitrbFlota[PLACA],1,0)</f>
        <v>LCPG40</v>
      </c>
    </row>
    <row r="24" spans="1:8" ht="15.75" thickBot="1">
      <c r="A24" s="196" t="s">
        <v>421</v>
      </c>
      <c r="B24" s="111" t="s">
        <v>538</v>
      </c>
      <c r="C24" s="111">
        <v>6077</v>
      </c>
      <c r="D24" s="111" t="s">
        <v>903</v>
      </c>
      <c r="E24" s="111" t="s">
        <v>904</v>
      </c>
      <c r="F24" s="111" t="s">
        <v>853</v>
      </c>
      <c r="G24" s="256"/>
      <c r="H24" t="str">
        <f>VLOOKUP(B24,DitrbFlota[PLACA],1,0)</f>
        <v>LCPG41</v>
      </c>
    </row>
    <row r="25" spans="1:8" ht="15.75" thickBot="1">
      <c r="A25" s="196" t="s">
        <v>421</v>
      </c>
      <c r="B25" s="111" t="s">
        <v>701</v>
      </c>
      <c r="C25" s="111">
        <v>6078</v>
      </c>
      <c r="D25" s="111" t="s">
        <v>903</v>
      </c>
      <c r="E25" s="111" t="s">
        <v>904</v>
      </c>
      <c r="F25" s="111" t="s">
        <v>853</v>
      </c>
      <c r="G25" s="256"/>
      <c r="H25" t="str">
        <f>VLOOKUP(B25,DitrbFlota[PLACA],1,0)</f>
        <v>LCPG42</v>
      </c>
    </row>
    <row r="26" spans="1:8" ht="15.75" thickBot="1">
      <c r="A26" s="196" t="s">
        <v>421</v>
      </c>
      <c r="B26" s="111" t="s">
        <v>669</v>
      </c>
      <c r="C26" s="111">
        <v>6079</v>
      </c>
      <c r="D26" s="111" t="s">
        <v>903</v>
      </c>
      <c r="E26" s="111" t="s">
        <v>904</v>
      </c>
      <c r="F26" s="111" t="s">
        <v>853</v>
      </c>
      <c r="G26" s="256"/>
      <c r="H26" t="str">
        <f>VLOOKUP(B26,DitrbFlota[PLACA],1,0)</f>
        <v>LCPG43</v>
      </c>
    </row>
    <row r="27" spans="1:8" ht="15.75" thickBot="1">
      <c r="A27" s="196" t="s">
        <v>421</v>
      </c>
      <c r="B27" s="111" t="s">
        <v>670</v>
      </c>
      <c r="C27" s="111">
        <v>6080</v>
      </c>
      <c r="D27" s="111" t="s">
        <v>903</v>
      </c>
      <c r="E27" s="111" t="s">
        <v>904</v>
      </c>
      <c r="F27" s="111" t="s">
        <v>853</v>
      </c>
      <c r="G27" s="256"/>
      <c r="H27" t="str">
        <f>VLOOKUP(B27,DitrbFlota[PLACA],1,0)</f>
        <v>LCPG44</v>
      </c>
    </row>
    <row r="28" spans="1:8" ht="15.75" thickBot="1">
      <c r="A28" s="196" t="s">
        <v>421</v>
      </c>
      <c r="B28" s="111" t="s">
        <v>671</v>
      </c>
      <c r="C28" s="111">
        <v>6081</v>
      </c>
      <c r="D28" s="111" t="s">
        <v>903</v>
      </c>
      <c r="E28" s="111" t="s">
        <v>904</v>
      </c>
      <c r="F28" s="111" t="s">
        <v>853</v>
      </c>
      <c r="G28" s="256"/>
      <c r="H28" t="str">
        <f>VLOOKUP(B28,DitrbFlota[PLACA],1,0)</f>
        <v>LCPG45</v>
      </c>
    </row>
    <row r="29" spans="1:8" ht="15.75" thickBot="1">
      <c r="A29" s="196" t="s">
        <v>421</v>
      </c>
      <c r="B29" s="111" t="s">
        <v>539</v>
      </c>
      <c r="C29" s="111">
        <v>6082</v>
      </c>
      <c r="D29" s="111" t="s">
        <v>903</v>
      </c>
      <c r="E29" s="111" t="s">
        <v>904</v>
      </c>
      <c r="F29" s="111" t="s">
        <v>853</v>
      </c>
      <c r="G29" s="256"/>
      <c r="H29" t="str">
        <f>VLOOKUP(B29,DitrbFlota[PLACA],1,0)</f>
        <v>LCPG46</v>
      </c>
    </row>
    <row r="30" spans="1:8" ht="15.75" thickBot="1">
      <c r="A30" s="196" t="s">
        <v>421</v>
      </c>
      <c r="B30" s="111" t="s">
        <v>540</v>
      </c>
      <c r="C30" s="111">
        <v>6083</v>
      </c>
      <c r="D30" s="111" t="s">
        <v>903</v>
      </c>
      <c r="E30" s="111" t="s">
        <v>904</v>
      </c>
      <c r="F30" s="111" t="s">
        <v>853</v>
      </c>
      <c r="G30" s="256"/>
      <c r="H30" t="str">
        <f>VLOOKUP(B30,DitrbFlota[PLACA],1,0)</f>
        <v>LCPG47</v>
      </c>
    </row>
    <row r="31" spans="1:8" ht="15.75" thickBot="1">
      <c r="A31" s="196" t="s">
        <v>421</v>
      </c>
      <c r="B31" s="111" t="s">
        <v>541</v>
      </c>
      <c r="C31" s="111">
        <v>6084</v>
      </c>
      <c r="D31" s="111" t="s">
        <v>903</v>
      </c>
      <c r="E31" s="111" t="s">
        <v>904</v>
      </c>
      <c r="F31" s="111" t="s">
        <v>853</v>
      </c>
      <c r="G31" s="256"/>
      <c r="H31" t="str">
        <f>VLOOKUP(B31,DitrbFlota[PLACA],1,0)</f>
        <v>LCPG48</v>
      </c>
    </row>
    <row r="32" spans="1:8" ht="15.75" thickBot="1">
      <c r="A32" s="196" t="s">
        <v>421</v>
      </c>
      <c r="B32" s="111" t="s">
        <v>672</v>
      </c>
      <c r="C32" s="111">
        <v>6085</v>
      </c>
      <c r="D32" s="111" t="s">
        <v>903</v>
      </c>
      <c r="E32" s="111" t="s">
        <v>904</v>
      </c>
      <c r="F32" s="111" t="s">
        <v>853</v>
      </c>
      <c r="G32" s="256"/>
      <c r="H32" t="str">
        <f>VLOOKUP(B32,DitrbFlota[PLACA],1,0)</f>
        <v>LCPG49</v>
      </c>
    </row>
    <row r="33" spans="1:8" ht="15.75" thickBot="1">
      <c r="A33" s="196" t="s">
        <v>421</v>
      </c>
      <c r="B33" s="111" t="s">
        <v>702</v>
      </c>
      <c r="C33" s="111">
        <v>6086</v>
      </c>
      <c r="D33" s="111" t="s">
        <v>903</v>
      </c>
      <c r="E33" s="111" t="s">
        <v>904</v>
      </c>
      <c r="F33" s="111" t="s">
        <v>853</v>
      </c>
      <c r="G33" s="256"/>
      <c r="H33" t="str">
        <f>VLOOKUP(B33,DitrbFlota[PLACA],1,0)</f>
        <v>LCPG50</v>
      </c>
    </row>
    <row r="34" spans="1:8" ht="15.75" thickBot="1">
      <c r="A34" s="196" t="s">
        <v>421</v>
      </c>
      <c r="B34" s="111" t="s">
        <v>703</v>
      </c>
      <c r="C34" s="111">
        <v>6087</v>
      </c>
      <c r="D34" s="111" t="s">
        <v>903</v>
      </c>
      <c r="E34" s="111" t="s">
        <v>904</v>
      </c>
      <c r="F34" s="111" t="s">
        <v>853</v>
      </c>
      <c r="G34" s="256"/>
      <c r="H34" t="str">
        <f>VLOOKUP(B34,DitrbFlota[PLACA],1,0)</f>
        <v>LCPG51</v>
      </c>
    </row>
    <row r="35" spans="1:8" ht="15.75" thickBot="1">
      <c r="A35" s="196" t="s">
        <v>421</v>
      </c>
      <c r="B35" s="111" t="s">
        <v>704</v>
      </c>
      <c r="C35" s="111">
        <v>6088</v>
      </c>
      <c r="D35" s="111" t="s">
        <v>903</v>
      </c>
      <c r="E35" s="111" t="s">
        <v>904</v>
      </c>
      <c r="F35" s="111" t="s">
        <v>853</v>
      </c>
      <c r="G35" s="256"/>
      <c r="H35" t="str">
        <f>VLOOKUP(B35,DitrbFlota[PLACA],1,0)</f>
        <v>LCPG52</v>
      </c>
    </row>
    <row r="36" spans="1:8" ht="15.75" thickBot="1">
      <c r="A36" s="196" t="s">
        <v>421</v>
      </c>
      <c r="B36" s="111" t="s">
        <v>542</v>
      </c>
      <c r="C36" s="111">
        <v>6089</v>
      </c>
      <c r="D36" s="111" t="s">
        <v>903</v>
      </c>
      <c r="E36" s="111" t="s">
        <v>904</v>
      </c>
      <c r="F36" s="111" t="s">
        <v>853</v>
      </c>
      <c r="G36" s="256"/>
      <c r="H36" t="str">
        <f>VLOOKUP(B36,DitrbFlota[PLACA],1,0)</f>
        <v>LCPW28</v>
      </c>
    </row>
    <row r="37" spans="1:8" ht="15.75" thickBot="1">
      <c r="A37" s="196" t="s">
        <v>421</v>
      </c>
      <c r="B37" s="111" t="s">
        <v>543</v>
      </c>
      <c r="C37" s="111">
        <v>6090</v>
      </c>
      <c r="D37" s="111" t="s">
        <v>903</v>
      </c>
      <c r="E37" s="111" t="s">
        <v>904</v>
      </c>
      <c r="F37" s="111" t="s">
        <v>853</v>
      </c>
      <c r="G37" s="256"/>
      <c r="H37" t="str">
        <f>VLOOKUP(B37,DitrbFlota[PLACA],1,0)</f>
        <v>LCPW29</v>
      </c>
    </row>
    <row r="38" spans="1:8" ht="15.75" thickBot="1">
      <c r="A38" s="196" t="s">
        <v>421</v>
      </c>
      <c r="B38" s="111" t="s">
        <v>705</v>
      </c>
      <c r="C38" s="111">
        <v>7000</v>
      </c>
      <c r="D38" s="111" t="s">
        <v>147</v>
      </c>
      <c r="E38" s="111" t="s">
        <v>870</v>
      </c>
      <c r="F38" s="111" t="s">
        <v>853</v>
      </c>
      <c r="G38" s="201"/>
      <c r="H38" t="str">
        <f>VLOOKUP(B38,DitrbFlota[PLACA],1,0)</f>
        <v>LCTG23</v>
      </c>
    </row>
    <row r="39" spans="1:8" ht="15.75" thickBot="1">
      <c r="A39" s="196" t="s">
        <v>421</v>
      </c>
      <c r="B39" s="111" t="s">
        <v>706</v>
      </c>
      <c r="C39" s="111">
        <v>7001</v>
      </c>
      <c r="D39" s="111" t="s">
        <v>147</v>
      </c>
      <c r="E39" s="111" t="s">
        <v>870</v>
      </c>
      <c r="F39" s="111" t="s">
        <v>853</v>
      </c>
      <c r="G39" s="201"/>
      <c r="H39" t="str">
        <f>VLOOKUP(B39,DitrbFlota[PLACA],1,0)</f>
        <v>LCTG24</v>
      </c>
    </row>
    <row r="40" spans="1:8" ht="15.75" thickBot="1">
      <c r="A40" s="196" t="s">
        <v>421</v>
      </c>
      <c r="B40" s="111" t="s">
        <v>707</v>
      </c>
      <c r="C40" s="111">
        <v>7002</v>
      </c>
      <c r="D40" s="111" t="s">
        <v>147</v>
      </c>
      <c r="E40" s="111" t="s">
        <v>870</v>
      </c>
      <c r="F40" s="111" t="s">
        <v>853</v>
      </c>
      <c r="G40" s="201"/>
      <c r="H40" t="str">
        <f>VLOOKUP(B40,DitrbFlota[PLACA],1,0)</f>
        <v>LCTG25</v>
      </c>
    </row>
    <row r="41" spans="1:8" ht="15.75" thickBot="1">
      <c r="A41" s="196" t="s">
        <v>421</v>
      </c>
      <c r="B41" s="111" t="s">
        <v>708</v>
      </c>
      <c r="C41" s="111">
        <v>7003</v>
      </c>
      <c r="D41" s="111" t="s">
        <v>147</v>
      </c>
      <c r="E41" s="111" t="s">
        <v>870</v>
      </c>
      <c r="F41" s="111" t="s">
        <v>853</v>
      </c>
      <c r="G41" s="201"/>
      <c r="H41" t="str">
        <f>VLOOKUP(B41,DitrbFlota[PLACA],1,0)</f>
        <v>LCTG26</v>
      </c>
    </row>
    <row r="42" spans="1:8" ht="15.75" thickBot="1">
      <c r="A42" s="196" t="s">
        <v>421</v>
      </c>
      <c r="B42" s="111" t="s">
        <v>709</v>
      </c>
      <c r="C42" s="111">
        <v>7004</v>
      </c>
      <c r="D42" s="111" t="s">
        <v>147</v>
      </c>
      <c r="E42" s="111" t="s">
        <v>870</v>
      </c>
      <c r="F42" s="111" t="s">
        <v>853</v>
      </c>
      <c r="G42" s="201"/>
      <c r="H42" t="str">
        <f>VLOOKUP(B42,DitrbFlota[PLACA],1,0)</f>
        <v>LCTG27</v>
      </c>
    </row>
    <row r="43" spans="1:8" ht="15.75" thickBot="1">
      <c r="A43" s="196" t="s">
        <v>421</v>
      </c>
      <c r="B43" s="111" t="s">
        <v>710</v>
      </c>
      <c r="C43" s="111">
        <v>7005</v>
      </c>
      <c r="D43" s="111" t="s">
        <v>147</v>
      </c>
      <c r="E43" s="111" t="s">
        <v>870</v>
      </c>
      <c r="F43" s="111" t="s">
        <v>853</v>
      </c>
      <c r="G43" s="201"/>
      <c r="H43" t="str">
        <f>VLOOKUP(B43,DitrbFlota[PLACA],1,0)</f>
        <v>LCTG28</v>
      </c>
    </row>
    <row r="44" spans="1:8" ht="15.75" thickBot="1">
      <c r="A44" s="196" t="s">
        <v>421</v>
      </c>
      <c r="B44" s="111" t="s">
        <v>711</v>
      </c>
      <c r="C44" s="111">
        <v>7006</v>
      </c>
      <c r="D44" s="111" t="s">
        <v>147</v>
      </c>
      <c r="E44" s="111" t="s">
        <v>870</v>
      </c>
      <c r="F44" s="111" t="s">
        <v>853</v>
      </c>
      <c r="G44" s="201"/>
      <c r="H44" t="str">
        <f>VLOOKUP(B44,DitrbFlota[PLACA],1,0)</f>
        <v>LCTG29</v>
      </c>
    </row>
    <row r="45" spans="1:8" ht="15.75" thickBot="1">
      <c r="A45" s="196" t="s">
        <v>421</v>
      </c>
      <c r="B45" s="111" t="s">
        <v>712</v>
      </c>
      <c r="C45" s="111">
        <v>7007</v>
      </c>
      <c r="D45" s="111" t="s">
        <v>147</v>
      </c>
      <c r="E45" s="111" t="s">
        <v>870</v>
      </c>
      <c r="F45" s="111" t="s">
        <v>853</v>
      </c>
      <c r="G45" s="201"/>
      <c r="H45" t="str">
        <f>VLOOKUP(B45,DitrbFlota[PLACA],1,0)</f>
        <v>LCTG30</v>
      </c>
    </row>
    <row r="46" spans="1:8" ht="15.75" thickBot="1">
      <c r="A46" s="196" t="s">
        <v>421</v>
      </c>
      <c r="B46" s="111" t="s">
        <v>713</v>
      </c>
      <c r="C46" s="111">
        <v>7008</v>
      </c>
      <c r="D46" s="111" t="s">
        <v>147</v>
      </c>
      <c r="E46" s="111" t="s">
        <v>870</v>
      </c>
      <c r="F46" s="111" t="s">
        <v>853</v>
      </c>
      <c r="G46" s="201"/>
      <c r="H46" t="str">
        <f>VLOOKUP(B46,DitrbFlota[PLACA],1,0)</f>
        <v>LCTG31</v>
      </c>
    </row>
    <row r="47" spans="1:8" ht="15.75" thickBot="1">
      <c r="A47" s="196" t="s">
        <v>421</v>
      </c>
      <c r="B47" s="111" t="s">
        <v>714</v>
      </c>
      <c r="C47" s="111">
        <v>7009</v>
      </c>
      <c r="D47" s="111" t="s">
        <v>147</v>
      </c>
      <c r="E47" s="111" t="s">
        <v>870</v>
      </c>
      <c r="F47" s="111" t="s">
        <v>853</v>
      </c>
      <c r="G47" s="201"/>
      <c r="H47" t="str">
        <f>VLOOKUP(B47,DitrbFlota[PLACA],1,0)</f>
        <v>LCTG32</v>
      </c>
    </row>
    <row r="48" spans="1:8" ht="15.75" thickBot="1">
      <c r="A48" s="196" t="s">
        <v>421</v>
      </c>
      <c r="B48" s="111" t="s">
        <v>715</v>
      </c>
      <c r="C48" s="111">
        <v>7010</v>
      </c>
      <c r="D48" s="111" t="s">
        <v>147</v>
      </c>
      <c r="E48" s="111" t="s">
        <v>870</v>
      </c>
      <c r="F48" s="111" t="s">
        <v>853</v>
      </c>
      <c r="G48" s="201"/>
      <c r="H48" t="str">
        <f>VLOOKUP(B48,DitrbFlota[PLACA],1,0)</f>
        <v>LCTG33</v>
      </c>
    </row>
    <row r="49" spans="1:8" ht="15.75" thickBot="1">
      <c r="A49" s="196" t="s">
        <v>421</v>
      </c>
      <c r="B49" s="111" t="s">
        <v>716</v>
      </c>
      <c r="C49" s="111">
        <v>7011</v>
      </c>
      <c r="D49" s="111" t="s">
        <v>147</v>
      </c>
      <c r="E49" s="111" t="s">
        <v>870</v>
      </c>
      <c r="F49" s="111" t="s">
        <v>853</v>
      </c>
      <c r="G49" s="201"/>
      <c r="H49" t="str">
        <f>VLOOKUP(B49,DitrbFlota[PLACA],1,0)</f>
        <v>LCTG34</v>
      </c>
    </row>
    <row r="50" spans="1:8" ht="15.75" thickBot="1">
      <c r="A50" s="196" t="s">
        <v>421</v>
      </c>
      <c r="B50" s="111" t="s">
        <v>717</v>
      </c>
      <c r="C50" s="111">
        <v>7012</v>
      </c>
      <c r="D50" s="111" t="s">
        <v>147</v>
      </c>
      <c r="E50" s="111" t="s">
        <v>870</v>
      </c>
      <c r="F50" s="111" t="s">
        <v>853</v>
      </c>
      <c r="G50" s="201"/>
      <c r="H50" t="str">
        <f>VLOOKUP(B50,DitrbFlota[PLACA],1,0)</f>
        <v>LCTG35</v>
      </c>
    </row>
    <row r="51" spans="1:8" ht="15.75" thickBot="1">
      <c r="A51" s="196" t="s">
        <v>421</v>
      </c>
      <c r="B51" s="111" t="s">
        <v>718</v>
      </c>
      <c r="C51" s="111">
        <v>7013</v>
      </c>
      <c r="D51" s="111" t="s">
        <v>147</v>
      </c>
      <c r="E51" s="111" t="s">
        <v>870</v>
      </c>
      <c r="F51" s="111" t="s">
        <v>853</v>
      </c>
      <c r="G51" s="201"/>
      <c r="H51" t="str">
        <f>VLOOKUP(B51,DitrbFlota[PLACA],1,0)</f>
        <v>LCTG36</v>
      </c>
    </row>
    <row r="52" spans="1:8" ht="15.75" thickBot="1">
      <c r="A52" s="196" t="s">
        <v>421</v>
      </c>
      <c r="B52" s="111" t="s">
        <v>719</v>
      </c>
      <c r="C52" s="111">
        <v>7014</v>
      </c>
      <c r="D52" s="111" t="s">
        <v>147</v>
      </c>
      <c r="E52" s="111" t="s">
        <v>870</v>
      </c>
      <c r="F52" s="111" t="s">
        <v>853</v>
      </c>
      <c r="G52" s="201"/>
      <c r="H52" t="str">
        <f>VLOOKUP(B52,DitrbFlota[PLACA],1,0)</f>
        <v>LCTG37</v>
      </c>
    </row>
    <row r="53" spans="1:8" ht="15.75" thickBot="1">
      <c r="A53" s="196" t="s">
        <v>421</v>
      </c>
      <c r="B53" s="111" t="s">
        <v>720</v>
      </c>
      <c r="C53" s="111">
        <v>7015</v>
      </c>
      <c r="D53" s="111" t="s">
        <v>147</v>
      </c>
      <c r="E53" s="111" t="s">
        <v>870</v>
      </c>
      <c r="F53" s="111" t="s">
        <v>853</v>
      </c>
      <c r="G53" s="201"/>
      <c r="H53" t="str">
        <f>VLOOKUP(B53,DitrbFlota[PLACA],1,0)</f>
        <v>LCTG38</v>
      </c>
    </row>
    <row r="54" spans="1:8" ht="15.75" thickBot="1">
      <c r="A54" s="196" t="s">
        <v>421</v>
      </c>
      <c r="B54" s="111" t="s">
        <v>721</v>
      </c>
      <c r="C54" s="111">
        <v>7016</v>
      </c>
      <c r="D54" s="111" t="s">
        <v>147</v>
      </c>
      <c r="E54" s="111" t="s">
        <v>870</v>
      </c>
      <c r="F54" s="111" t="s">
        <v>853</v>
      </c>
      <c r="G54" s="201"/>
      <c r="H54" t="str">
        <f>VLOOKUP(B54,DitrbFlota[PLACA],1,0)</f>
        <v>LCTG39</v>
      </c>
    </row>
    <row r="55" spans="1:8" ht="15.75" thickBot="1">
      <c r="A55" s="196" t="s">
        <v>421</v>
      </c>
      <c r="B55" s="111" t="s">
        <v>722</v>
      </c>
      <c r="C55" s="111">
        <v>7017</v>
      </c>
      <c r="D55" s="111" t="s">
        <v>147</v>
      </c>
      <c r="E55" s="111" t="s">
        <v>870</v>
      </c>
      <c r="F55" s="111" t="s">
        <v>853</v>
      </c>
      <c r="G55" s="201"/>
      <c r="H55" t="str">
        <f>VLOOKUP(B55,DitrbFlota[PLACA],1,0)</f>
        <v>LCTG40</v>
      </c>
    </row>
    <row r="56" spans="1:8" ht="15.75" thickBot="1">
      <c r="A56" s="196" t="s">
        <v>421</v>
      </c>
      <c r="B56" s="111" t="s">
        <v>723</v>
      </c>
      <c r="C56" s="111">
        <v>7018</v>
      </c>
      <c r="D56" s="111" t="s">
        <v>147</v>
      </c>
      <c r="E56" s="111" t="s">
        <v>870</v>
      </c>
      <c r="F56" s="111" t="s">
        <v>853</v>
      </c>
      <c r="G56" s="201"/>
      <c r="H56" t="str">
        <f>VLOOKUP(B56,DitrbFlota[PLACA],1,0)</f>
        <v>LCTG41</v>
      </c>
    </row>
    <row r="57" spans="1:8" ht="15.75" thickBot="1">
      <c r="A57" s="196" t="s">
        <v>421</v>
      </c>
      <c r="B57" s="111" t="s">
        <v>724</v>
      </c>
      <c r="C57" s="111">
        <v>7019</v>
      </c>
      <c r="D57" s="111" t="s">
        <v>147</v>
      </c>
      <c r="E57" s="111" t="s">
        <v>870</v>
      </c>
      <c r="F57" s="111" t="s">
        <v>853</v>
      </c>
      <c r="G57" s="201"/>
      <c r="H57" t="str">
        <f>VLOOKUP(B57,DitrbFlota[PLACA],1,0)</f>
        <v>LCTG42</v>
      </c>
    </row>
    <row r="58" spans="1:8" ht="15.75" thickBot="1">
      <c r="A58" s="196" t="s">
        <v>421</v>
      </c>
      <c r="B58" s="111" t="s">
        <v>725</v>
      </c>
      <c r="C58" s="111">
        <v>7020</v>
      </c>
      <c r="D58" s="111" t="s">
        <v>147</v>
      </c>
      <c r="E58" s="111" t="s">
        <v>870</v>
      </c>
      <c r="F58" s="111" t="s">
        <v>853</v>
      </c>
      <c r="G58" s="201"/>
      <c r="H58" t="str">
        <f>VLOOKUP(B58,DitrbFlota[PLACA],1,0)</f>
        <v>LCTG43</v>
      </c>
    </row>
    <row r="59" spans="1:8" ht="15.75" thickBot="1">
      <c r="A59" s="196" t="s">
        <v>421</v>
      </c>
      <c r="B59" s="111" t="s">
        <v>726</v>
      </c>
      <c r="C59" s="111">
        <v>7021</v>
      </c>
      <c r="D59" s="111" t="s">
        <v>147</v>
      </c>
      <c r="E59" s="111" t="s">
        <v>870</v>
      </c>
      <c r="F59" s="111" t="s">
        <v>853</v>
      </c>
      <c r="G59" s="201"/>
      <c r="H59" t="str">
        <f>VLOOKUP(B59,DitrbFlota[PLACA],1,0)</f>
        <v>LCTG44</v>
      </c>
    </row>
    <row r="60" spans="1:8" ht="15.75" thickBot="1">
      <c r="A60" s="196" t="s">
        <v>421</v>
      </c>
      <c r="B60" s="111" t="s">
        <v>727</v>
      </c>
      <c r="C60" s="111">
        <v>7022</v>
      </c>
      <c r="D60" s="111" t="s">
        <v>147</v>
      </c>
      <c r="E60" s="111" t="s">
        <v>870</v>
      </c>
      <c r="F60" s="111" t="s">
        <v>853</v>
      </c>
      <c r="G60" s="201"/>
      <c r="H60" t="str">
        <f>VLOOKUP(B60,DitrbFlota[PLACA],1,0)</f>
        <v>LCTG45</v>
      </c>
    </row>
    <row r="61" spans="1:8" ht="15.75" thickBot="1">
      <c r="A61" s="196" t="s">
        <v>421</v>
      </c>
      <c r="B61" s="111" t="s">
        <v>728</v>
      </c>
      <c r="C61" s="111">
        <v>7023</v>
      </c>
      <c r="D61" s="111" t="s">
        <v>147</v>
      </c>
      <c r="E61" s="111" t="s">
        <v>870</v>
      </c>
      <c r="F61" s="111" t="s">
        <v>853</v>
      </c>
      <c r="G61" s="201"/>
      <c r="H61" t="str">
        <f>VLOOKUP(B61,DitrbFlota[PLACA],1,0)</f>
        <v>LCTG46</v>
      </c>
    </row>
    <row r="62" spans="1:8" ht="15.75" thickBot="1">
      <c r="A62" s="196" t="s">
        <v>421</v>
      </c>
      <c r="B62" s="111" t="s">
        <v>729</v>
      </c>
      <c r="C62" s="111">
        <v>7024</v>
      </c>
      <c r="D62" s="111" t="s">
        <v>147</v>
      </c>
      <c r="E62" s="111" t="s">
        <v>870</v>
      </c>
      <c r="F62" s="111" t="s">
        <v>853</v>
      </c>
      <c r="G62" s="201"/>
      <c r="H62" t="str">
        <f>VLOOKUP(B62,DitrbFlota[PLACA],1,0)</f>
        <v>LCTG47</v>
      </c>
    </row>
    <row r="63" spans="1:8" ht="15.75" thickBot="1">
      <c r="A63" s="196" t="s">
        <v>421</v>
      </c>
      <c r="B63" s="111" t="s">
        <v>736</v>
      </c>
      <c r="C63" s="111">
        <v>7121</v>
      </c>
      <c r="D63" s="111" t="s">
        <v>147</v>
      </c>
      <c r="E63" s="111" t="s">
        <v>866</v>
      </c>
      <c r="F63" s="111" t="s">
        <v>853</v>
      </c>
      <c r="G63" s="201"/>
      <c r="H63" t="str">
        <f>VLOOKUP(B63,DitrbFlota[PLACA],1,0)</f>
        <v>SRVF74</v>
      </c>
    </row>
    <row r="64" spans="1:8" ht="15.75" thickBot="1">
      <c r="A64" s="196" t="s">
        <v>421</v>
      </c>
      <c r="B64" s="111" t="s">
        <v>737</v>
      </c>
      <c r="C64" s="111">
        <v>7122</v>
      </c>
      <c r="D64" s="111" t="s">
        <v>147</v>
      </c>
      <c r="E64" s="111" t="s">
        <v>866</v>
      </c>
      <c r="F64" s="111" t="s">
        <v>853</v>
      </c>
      <c r="G64" s="201"/>
      <c r="H64" t="str">
        <f>VLOOKUP(B64,DitrbFlota[PLACA],1,0)</f>
        <v>SRVF76</v>
      </c>
    </row>
    <row r="65" spans="1:8" ht="15.75" thickBot="1">
      <c r="A65" s="196" t="s">
        <v>421</v>
      </c>
      <c r="B65" s="111" t="s">
        <v>738</v>
      </c>
      <c r="C65" s="111">
        <v>7123</v>
      </c>
      <c r="D65" s="111" t="s">
        <v>147</v>
      </c>
      <c r="E65" s="111" t="s">
        <v>866</v>
      </c>
      <c r="F65" s="111" t="s">
        <v>853</v>
      </c>
      <c r="G65" s="201"/>
      <c r="H65" t="str">
        <f>VLOOKUP(B65,DitrbFlota[PLACA],1,0)</f>
        <v>SRVF79</v>
      </c>
    </row>
    <row r="66" spans="1:8" ht="15.75" thickBot="1">
      <c r="A66" s="196" t="s">
        <v>421</v>
      </c>
      <c r="B66" s="111" t="s">
        <v>739</v>
      </c>
      <c r="C66" s="111">
        <v>7124</v>
      </c>
      <c r="D66" s="111" t="s">
        <v>147</v>
      </c>
      <c r="E66" s="111" t="s">
        <v>866</v>
      </c>
      <c r="F66" s="111" t="s">
        <v>853</v>
      </c>
      <c r="G66" s="201"/>
      <c r="H66" t="str">
        <f>VLOOKUP(B66,DitrbFlota[PLACA],1,0)</f>
        <v>SRVF81</v>
      </c>
    </row>
    <row r="67" spans="1:8" ht="15.75" thickBot="1">
      <c r="A67" s="196" t="s">
        <v>421</v>
      </c>
      <c r="B67" s="111" t="s">
        <v>740</v>
      </c>
      <c r="C67" s="111">
        <v>7125</v>
      </c>
      <c r="D67" s="111" t="s">
        <v>147</v>
      </c>
      <c r="E67" s="111" t="s">
        <v>866</v>
      </c>
      <c r="F67" s="111" t="s">
        <v>853</v>
      </c>
      <c r="G67" s="201"/>
      <c r="H67" t="str">
        <f>VLOOKUP(B67,DitrbFlota[PLACA],1,0)</f>
        <v>SRVF83</v>
      </c>
    </row>
    <row r="68" spans="1:8" ht="15.75" thickBot="1">
      <c r="A68" s="196" t="s">
        <v>421</v>
      </c>
      <c r="B68" s="111" t="s">
        <v>741</v>
      </c>
      <c r="C68" s="111">
        <v>7126</v>
      </c>
      <c r="D68" s="111" t="s">
        <v>147</v>
      </c>
      <c r="E68" s="111" t="s">
        <v>866</v>
      </c>
      <c r="F68" s="111" t="s">
        <v>853</v>
      </c>
      <c r="G68" s="201"/>
      <c r="H68" t="str">
        <f>VLOOKUP(B68,DitrbFlota[PLACA],1,0)</f>
        <v>SRVF84</v>
      </c>
    </row>
    <row r="69" spans="1:8" ht="15.75" thickBot="1">
      <c r="A69" s="196" t="s">
        <v>421</v>
      </c>
      <c r="B69" s="111" t="s">
        <v>742</v>
      </c>
      <c r="C69" s="111">
        <v>7127</v>
      </c>
      <c r="D69" s="111" t="s">
        <v>147</v>
      </c>
      <c r="E69" s="111" t="s">
        <v>866</v>
      </c>
      <c r="F69" s="111" t="s">
        <v>853</v>
      </c>
      <c r="G69" s="201"/>
      <c r="H69" t="str">
        <f>VLOOKUP(B69,DitrbFlota[PLACA],1,0)</f>
        <v>SRVF90</v>
      </c>
    </row>
    <row r="70" spans="1:8" ht="15.75" thickBot="1">
      <c r="A70" s="196" t="s">
        <v>421</v>
      </c>
      <c r="B70" s="111" t="s">
        <v>743</v>
      </c>
      <c r="C70" s="111">
        <v>7128</v>
      </c>
      <c r="D70" s="111" t="s">
        <v>147</v>
      </c>
      <c r="E70" s="111" t="s">
        <v>866</v>
      </c>
      <c r="F70" s="111" t="s">
        <v>853</v>
      </c>
      <c r="G70" s="201"/>
      <c r="H70" t="str">
        <f>VLOOKUP(B70,DitrbFlota[PLACA],1,0)</f>
        <v>SRVF96</v>
      </c>
    </row>
    <row r="71" spans="1:8" ht="15.75" thickBot="1">
      <c r="A71" s="196" t="s">
        <v>421</v>
      </c>
      <c r="B71" s="111" t="s">
        <v>744</v>
      </c>
      <c r="C71" s="111">
        <v>7129</v>
      </c>
      <c r="D71" s="111" t="s">
        <v>147</v>
      </c>
      <c r="E71" s="111" t="s">
        <v>866</v>
      </c>
      <c r="F71" s="111" t="s">
        <v>853</v>
      </c>
      <c r="G71" s="201"/>
      <c r="H71" t="str">
        <f>VLOOKUP(B71,DitrbFlota[PLACA],1,0)</f>
        <v>SRVG10</v>
      </c>
    </row>
    <row r="72" spans="1:8" ht="15.75" thickBot="1">
      <c r="A72" s="196" t="s">
        <v>421</v>
      </c>
      <c r="B72" s="111" t="s">
        <v>745</v>
      </c>
      <c r="C72" s="111">
        <v>7130</v>
      </c>
      <c r="D72" s="111" t="s">
        <v>147</v>
      </c>
      <c r="E72" s="111" t="s">
        <v>866</v>
      </c>
      <c r="F72" s="111" t="s">
        <v>853</v>
      </c>
      <c r="G72" s="201"/>
      <c r="H72" t="str">
        <f>VLOOKUP(B72,DitrbFlota[PLACA],1,0)</f>
        <v>SRVG25</v>
      </c>
    </row>
    <row r="73" spans="1:8" ht="15.75" thickBot="1">
      <c r="A73" s="196" t="s">
        <v>421</v>
      </c>
      <c r="B73" s="111" t="s">
        <v>746</v>
      </c>
      <c r="C73" s="111">
        <v>7131</v>
      </c>
      <c r="D73" s="111" t="s">
        <v>147</v>
      </c>
      <c r="E73" s="111" t="s">
        <v>866</v>
      </c>
      <c r="F73" s="111" t="s">
        <v>853</v>
      </c>
      <c r="G73" s="201"/>
      <c r="H73" t="str">
        <f>VLOOKUP(B73,DitrbFlota[PLACA],1,0)</f>
        <v>SRVG32</v>
      </c>
    </row>
    <row r="74" spans="1:8" ht="15.75" thickBot="1">
      <c r="A74" s="196" t="s">
        <v>421</v>
      </c>
      <c r="B74" s="111" t="s">
        <v>747</v>
      </c>
      <c r="C74" s="111">
        <v>7132</v>
      </c>
      <c r="D74" s="111" t="s">
        <v>147</v>
      </c>
      <c r="E74" s="111" t="s">
        <v>866</v>
      </c>
      <c r="F74" s="111" t="s">
        <v>853</v>
      </c>
      <c r="G74" s="201"/>
      <c r="H74" t="str">
        <f>VLOOKUP(B74,DitrbFlota[PLACA],1,0)</f>
        <v>SRVG44</v>
      </c>
    </row>
    <row r="75" spans="1:8" ht="15.75" thickBot="1">
      <c r="A75" s="196" t="s">
        <v>421</v>
      </c>
      <c r="B75" s="111" t="s">
        <v>748</v>
      </c>
      <c r="C75" s="111">
        <v>7133</v>
      </c>
      <c r="D75" s="111" t="s">
        <v>147</v>
      </c>
      <c r="E75" s="111" t="s">
        <v>866</v>
      </c>
      <c r="F75" s="111" t="s">
        <v>853</v>
      </c>
      <c r="G75" s="201"/>
      <c r="H75" t="str">
        <f>VLOOKUP(B75,DitrbFlota[PLACA],1,0)</f>
        <v>SRVG48</v>
      </c>
    </row>
    <row r="76" spans="1:8" ht="15.75" thickBot="1">
      <c r="A76" s="196" t="s">
        <v>421</v>
      </c>
      <c r="B76" s="111" t="s">
        <v>749</v>
      </c>
      <c r="C76" s="111">
        <v>7134</v>
      </c>
      <c r="D76" s="111" t="s">
        <v>147</v>
      </c>
      <c r="E76" s="111" t="s">
        <v>866</v>
      </c>
      <c r="F76" s="111" t="s">
        <v>853</v>
      </c>
      <c r="G76" s="201"/>
      <c r="H76" t="str">
        <f>VLOOKUP(B76,DitrbFlota[PLACA],1,0)</f>
        <v>SRVG49</v>
      </c>
    </row>
    <row r="77" spans="1:8" ht="15.75" thickBot="1">
      <c r="A77" s="196" t="s">
        <v>421</v>
      </c>
      <c r="B77" s="111" t="s">
        <v>750</v>
      </c>
      <c r="C77" s="111">
        <v>7135</v>
      </c>
      <c r="D77" s="111" t="s">
        <v>147</v>
      </c>
      <c r="E77" s="111" t="s">
        <v>866</v>
      </c>
      <c r="F77" s="111" t="s">
        <v>853</v>
      </c>
      <c r="G77" s="201"/>
      <c r="H77" t="str">
        <f>VLOOKUP(B77,DitrbFlota[PLACA],1,0)</f>
        <v>SRVG53</v>
      </c>
    </row>
    <row r="78" spans="1:8" ht="15.75" thickBot="1">
      <c r="A78" s="196" t="s">
        <v>421</v>
      </c>
      <c r="B78" s="111" t="s">
        <v>751</v>
      </c>
      <c r="C78" s="111">
        <v>7136</v>
      </c>
      <c r="D78" s="111" t="s">
        <v>147</v>
      </c>
      <c r="E78" s="111" t="s">
        <v>866</v>
      </c>
      <c r="F78" s="111" t="s">
        <v>853</v>
      </c>
      <c r="G78" s="201"/>
      <c r="H78" t="str">
        <f>VLOOKUP(B78,DitrbFlota[PLACA],1,0)</f>
        <v>SRVG65</v>
      </c>
    </row>
    <row r="79" spans="1:8" ht="15.75" thickBot="1">
      <c r="A79" s="196" t="s">
        <v>421</v>
      </c>
      <c r="B79" s="111" t="s">
        <v>752</v>
      </c>
      <c r="C79" s="111">
        <v>7137</v>
      </c>
      <c r="D79" s="111" t="s">
        <v>147</v>
      </c>
      <c r="E79" s="111" t="s">
        <v>866</v>
      </c>
      <c r="F79" s="111" t="s">
        <v>853</v>
      </c>
      <c r="G79" s="201"/>
      <c r="H79" t="str">
        <f>VLOOKUP(B79,DitrbFlota[PLACA],1,0)</f>
        <v>SRVG68</v>
      </c>
    </row>
    <row r="80" spans="1:8" ht="15.75" thickBot="1">
      <c r="A80" s="196" t="s">
        <v>421</v>
      </c>
      <c r="B80" s="111" t="s">
        <v>753</v>
      </c>
      <c r="C80" s="111">
        <v>7138</v>
      </c>
      <c r="D80" s="111" t="s">
        <v>147</v>
      </c>
      <c r="E80" s="111" t="s">
        <v>866</v>
      </c>
      <c r="F80" s="111" t="s">
        <v>853</v>
      </c>
      <c r="G80" s="201"/>
      <c r="H80" t="str">
        <f>VLOOKUP(B80,DitrbFlota[PLACA],1,0)</f>
        <v>SRVG70</v>
      </c>
    </row>
    <row r="81" spans="1:8" ht="15.75" thickBot="1">
      <c r="A81" s="196" t="s">
        <v>421</v>
      </c>
      <c r="B81" s="111" t="s">
        <v>754</v>
      </c>
      <c r="C81" s="111">
        <v>7139</v>
      </c>
      <c r="D81" s="111" t="s">
        <v>147</v>
      </c>
      <c r="E81" s="111" t="s">
        <v>866</v>
      </c>
      <c r="F81" s="111" t="s">
        <v>853</v>
      </c>
      <c r="G81" s="201"/>
      <c r="H81" t="str">
        <f>VLOOKUP(B81,DitrbFlota[PLACA],1,0)</f>
        <v>SRVG76</v>
      </c>
    </row>
    <row r="82" spans="1:8" ht="15.75" thickBot="1">
      <c r="A82" s="196" t="s">
        <v>421</v>
      </c>
      <c r="B82" s="111" t="s">
        <v>755</v>
      </c>
      <c r="C82" s="111">
        <v>7140</v>
      </c>
      <c r="D82" s="111" t="s">
        <v>147</v>
      </c>
      <c r="E82" s="111" t="s">
        <v>866</v>
      </c>
      <c r="F82" s="111" t="s">
        <v>853</v>
      </c>
      <c r="G82" s="201"/>
      <c r="H82" t="str">
        <f>VLOOKUP(B82,DitrbFlota[PLACA],1,0)</f>
        <v>SRVG77</v>
      </c>
    </row>
    <row r="83" spans="1:8" ht="15.75" thickBot="1">
      <c r="A83" s="196" t="s">
        <v>421</v>
      </c>
      <c r="B83" s="111" t="s">
        <v>756</v>
      </c>
      <c r="C83" s="111">
        <v>7141</v>
      </c>
      <c r="D83" s="111" t="s">
        <v>147</v>
      </c>
      <c r="E83" s="111" t="s">
        <v>866</v>
      </c>
      <c r="F83" s="111" t="s">
        <v>853</v>
      </c>
      <c r="G83" s="201"/>
      <c r="H83" t="str">
        <f>VLOOKUP(B83,DitrbFlota[PLACA],1,0)</f>
        <v>SRVG81</v>
      </c>
    </row>
    <row r="84" spans="1:8" ht="15.75" thickBot="1">
      <c r="A84" s="196" t="s">
        <v>421</v>
      </c>
      <c r="B84" s="111" t="s">
        <v>757</v>
      </c>
      <c r="C84" s="111">
        <v>7142</v>
      </c>
      <c r="D84" s="111" t="s">
        <v>147</v>
      </c>
      <c r="E84" s="111" t="s">
        <v>866</v>
      </c>
      <c r="F84" s="111" t="s">
        <v>853</v>
      </c>
      <c r="G84" s="201"/>
      <c r="H84" t="str">
        <f>VLOOKUP(B84,DitrbFlota[PLACA],1,0)</f>
        <v>SRVG83</v>
      </c>
    </row>
    <row r="85" spans="1:8" ht="15.75" thickBot="1">
      <c r="A85" s="196" t="s">
        <v>421</v>
      </c>
      <c r="B85" s="111" t="s">
        <v>758</v>
      </c>
      <c r="C85" s="111">
        <v>7143</v>
      </c>
      <c r="D85" s="111" t="s">
        <v>147</v>
      </c>
      <c r="E85" s="111" t="s">
        <v>866</v>
      </c>
      <c r="F85" s="111" t="s">
        <v>853</v>
      </c>
      <c r="G85" s="201"/>
      <c r="H85" t="str">
        <f>VLOOKUP(B85,DitrbFlota[PLACA],1,0)</f>
        <v>SRVG86</v>
      </c>
    </row>
    <row r="86" spans="1:8" ht="15.75" thickBot="1">
      <c r="A86" s="196" t="s">
        <v>421</v>
      </c>
      <c r="B86" s="111" t="s">
        <v>759</v>
      </c>
      <c r="C86" s="111">
        <v>7144</v>
      </c>
      <c r="D86" s="111" t="s">
        <v>147</v>
      </c>
      <c r="E86" s="111" t="s">
        <v>866</v>
      </c>
      <c r="F86" s="111" t="s">
        <v>853</v>
      </c>
      <c r="G86" s="201"/>
      <c r="H86" t="str">
        <f>VLOOKUP(B86,DitrbFlota[PLACA],1,0)</f>
        <v>SRVG88</v>
      </c>
    </row>
    <row r="87" spans="1:8" ht="15.75" thickBot="1">
      <c r="A87" s="196" t="s">
        <v>421</v>
      </c>
      <c r="B87" s="111" t="s">
        <v>760</v>
      </c>
      <c r="C87" s="111">
        <v>7145</v>
      </c>
      <c r="D87" s="111" t="s">
        <v>147</v>
      </c>
      <c r="E87" s="111" t="s">
        <v>866</v>
      </c>
      <c r="F87" s="111" t="s">
        <v>853</v>
      </c>
      <c r="G87" s="201"/>
      <c r="H87" t="str">
        <f>VLOOKUP(B87,DitrbFlota[PLACA],1,0)</f>
        <v>SRVG91</v>
      </c>
    </row>
    <row r="88" spans="1:8" ht="15.75" thickBot="1">
      <c r="A88" s="196" t="s">
        <v>421</v>
      </c>
      <c r="B88" s="111" t="s">
        <v>761</v>
      </c>
      <c r="C88" s="111">
        <v>7146</v>
      </c>
      <c r="D88" s="111" t="s">
        <v>147</v>
      </c>
      <c r="E88" s="111" t="s">
        <v>866</v>
      </c>
      <c r="F88" s="111" t="s">
        <v>853</v>
      </c>
      <c r="G88" s="201"/>
      <c r="H88" t="str">
        <f>VLOOKUP(B88,DitrbFlota[PLACA],1,0)</f>
        <v>SRVG92</v>
      </c>
    </row>
    <row r="89" spans="1:8" ht="15.75" thickBot="1">
      <c r="A89" s="196" t="s">
        <v>421</v>
      </c>
      <c r="B89" s="111" t="s">
        <v>762</v>
      </c>
      <c r="C89" s="111">
        <v>7147</v>
      </c>
      <c r="D89" s="111" t="s">
        <v>147</v>
      </c>
      <c r="E89" s="111" t="s">
        <v>866</v>
      </c>
      <c r="F89" s="111" t="s">
        <v>853</v>
      </c>
      <c r="G89" s="201"/>
      <c r="H89" t="str">
        <f>VLOOKUP(B89,DitrbFlota[PLACA],1,0)</f>
        <v>SRVG94</v>
      </c>
    </row>
    <row r="90" spans="1:8" ht="15.75" thickBot="1">
      <c r="A90" s="196" t="s">
        <v>421</v>
      </c>
      <c r="B90" s="111" t="s">
        <v>763</v>
      </c>
      <c r="C90" s="111">
        <v>7148</v>
      </c>
      <c r="D90" s="111" t="s">
        <v>147</v>
      </c>
      <c r="E90" s="111" t="s">
        <v>866</v>
      </c>
      <c r="F90" s="111" t="s">
        <v>853</v>
      </c>
      <c r="G90" s="201"/>
      <c r="H90" t="str">
        <f>VLOOKUP(B90,DitrbFlota[PLACA],1,0)</f>
        <v>SRVG98</v>
      </c>
    </row>
    <row r="91" spans="1:8" ht="15.75" thickBot="1">
      <c r="A91" s="196" t="s">
        <v>421</v>
      </c>
      <c r="B91" s="111" t="s">
        <v>764</v>
      </c>
      <c r="C91" s="111">
        <v>7149</v>
      </c>
      <c r="D91" s="111" t="s">
        <v>147</v>
      </c>
      <c r="E91" s="111" t="s">
        <v>866</v>
      </c>
      <c r="F91" s="111" t="s">
        <v>853</v>
      </c>
      <c r="G91" s="201"/>
      <c r="H91" t="str">
        <f>VLOOKUP(B91,DitrbFlota[PLACA],1,0)</f>
        <v>SRVH10</v>
      </c>
    </row>
    <row r="92" spans="1:8" ht="15.75" thickBot="1">
      <c r="A92" s="196" t="s">
        <v>421</v>
      </c>
      <c r="B92" s="111" t="s">
        <v>765</v>
      </c>
      <c r="C92" s="111">
        <v>7150</v>
      </c>
      <c r="D92" s="111" t="s">
        <v>147</v>
      </c>
      <c r="E92" s="111" t="s">
        <v>866</v>
      </c>
      <c r="F92" s="111" t="s">
        <v>853</v>
      </c>
      <c r="G92" s="201"/>
      <c r="H92" t="str">
        <f>VLOOKUP(B92,DitrbFlota[PLACA],1,0)</f>
        <v>SRVH11</v>
      </c>
    </row>
    <row r="93" spans="1:8" ht="15.75" thickBot="1">
      <c r="A93" s="196" t="s">
        <v>421</v>
      </c>
      <c r="B93" s="111" t="s">
        <v>766</v>
      </c>
      <c r="C93" s="111">
        <v>7151</v>
      </c>
      <c r="D93" s="111" t="s">
        <v>147</v>
      </c>
      <c r="E93" s="111" t="s">
        <v>866</v>
      </c>
      <c r="F93" s="111" t="s">
        <v>853</v>
      </c>
      <c r="G93" s="201"/>
      <c r="H93" t="str">
        <f>VLOOKUP(B93,DitrbFlota[PLACA],1,0)</f>
        <v>SRVH13</v>
      </c>
    </row>
    <row r="94" spans="1:8" ht="15.75" thickBot="1">
      <c r="A94" s="196" t="s">
        <v>421</v>
      </c>
      <c r="B94" s="111" t="s">
        <v>767</v>
      </c>
      <c r="C94" s="111">
        <v>7152</v>
      </c>
      <c r="D94" s="111" t="s">
        <v>147</v>
      </c>
      <c r="E94" s="111" t="s">
        <v>866</v>
      </c>
      <c r="F94" s="111" t="s">
        <v>853</v>
      </c>
      <c r="G94" s="201"/>
      <c r="H94" t="str">
        <f>VLOOKUP(B94,DitrbFlota[PLACA],1,0)</f>
        <v>SRVH19</v>
      </c>
    </row>
    <row r="95" spans="1:8" ht="15.75" thickBot="1">
      <c r="A95" s="196" t="s">
        <v>421</v>
      </c>
      <c r="B95" s="111" t="s">
        <v>768</v>
      </c>
      <c r="C95" s="111">
        <v>7153</v>
      </c>
      <c r="D95" s="111" t="s">
        <v>147</v>
      </c>
      <c r="E95" s="111" t="s">
        <v>866</v>
      </c>
      <c r="F95" s="111" t="s">
        <v>853</v>
      </c>
      <c r="G95" s="201"/>
      <c r="H95" t="str">
        <f>VLOOKUP(B95,DitrbFlota[PLACA],1,0)</f>
        <v>SRVH22</v>
      </c>
    </row>
    <row r="96" spans="1:8" ht="15.75" thickBot="1">
      <c r="A96" s="196" t="s">
        <v>421</v>
      </c>
      <c r="B96" s="111" t="s">
        <v>769</v>
      </c>
      <c r="C96" s="111">
        <v>7154</v>
      </c>
      <c r="D96" s="111" t="s">
        <v>147</v>
      </c>
      <c r="E96" s="111" t="s">
        <v>866</v>
      </c>
      <c r="F96" s="111" t="s">
        <v>853</v>
      </c>
      <c r="G96" s="201"/>
      <c r="H96" t="str">
        <f>VLOOKUP(B96,DitrbFlota[PLACA],1,0)</f>
        <v>SRVH45</v>
      </c>
    </row>
    <row r="97" spans="1:8" ht="15.75" thickBot="1">
      <c r="A97" s="196" t="s">
        <v>421</v>
      </c>
      <c r="B97" s="111" t="s">
        <v>770</v>
      </c>
      <c r="C97" s="111">
        <v>7155</v>
      </c>
      <c r="D97" s="111" t="s">
        <v>147</v>
      </c>
      <c r="E97" s="111" t="s">
        <v>866</v>
      </c>
      <c r="F97" s="111" t="s">
        <v>853</v>
      </c>
      <c r="G97" s="201"/>
      <c r="H97" t="str">
        <f>VLOOKUP(B97,DitrbFlota[PLACA],1,0)</f>
        <v>SRVH71</v>
      </c>
    </row>
    <row r="98" spans="1:8" ht="15.75" thickBot="1">
      <c r="A98" s="196" t="s">
        <v>421</v>
      </c>
      <c r="B98" s="111" t="s">
        <v>771</v>
      </c>
      <c r="C98" s="111">
        <v>7156</v>
      </c>
      <c r="D98" s="111" t="s">
        <v>147</v>
      </c>
      <c r="E98" s="111" t="s">
        <v>866</v>
      </c>
      <c r="F98" s="111" t="s">
        <v>853</v>
      </c>
      <c r="G98" s="201"/>
      <c r="H98" t="str">
        <f>VLOOKUP(B98,DitrbFlota[PLACA],1,0)</f>
        <v>SRVH73</v>
      </c>
    </row>
    <row r="99" spans="1:8" ht="15.75" thickBot="1">
      <c r="A99" s="196" t="s">
        <v>421</v>
      </c>
      <c r="B99" s="111" t="s">
        <v>772</v>
      </c>
      <c r="C99" s="111">
        <v>7157</v>
      </c>
      <c r="D99" s="111" t="s">
        <v>147</v>
      </c>
      <c r="E99" s="111" t="s">
        <v>866</v>
      </c>
      <c r="F99" s="111" t="s">
        <v>853</v>
      </c>
      <c r="G99" s="201"/>
      <c r="H99" t="str">
        <f>VLOOKUP(B99,DitrbFlota[PLACA],1,0)</f>
        <v>SRVJ34</v>
      </c>
    </row>
    <row r="100" spans="1:8" ht="15.75" thickBot="1">
      <c r="A100" s="196" t="s">
        <v>421</v>
      </c>
      <c r="B100" s="111" t="s">
        <v>773</v>
      </c>
      <c r="C100" s="111">
        <v>7158</v>
      </c>
      <c r="D100" s="111" t="s">
        <v>147</v>
      </c>
      <c r="E100" s="111" t="s">
        <v>866</v>
      </c>
      <c r="F100" s="111" t="s">
        <v>853</v>
      </c>
      <c r="G100" s="201"/>
      <c r="H100" t="str">
        <f>VLOOKUP(B100,DitrbFlota[PLACA],1,0)</f>
        <v>SRVJ39</v>
      </c>
    </row>
    <row r="101" spans="1:8" ht="15.75" thickBot="1">
      <c r="A101" s="196" t="s">
        <v>421</v>
      </c>
      <c r="B101" s="111" t="s">
        <v>774</v>
      </c>
      <c r="C101" s="111">
        <v>7159</v>
      </c>
      <c r="D101" s="111" t="s">
        <v>147</v>
      </c>
      <c r="E101" s="111" t="s">
        <v>866</v>
      </c>
      <c r="F101" s="111" t="s">
        <v>853</v>
      </c>
      <c r="G101" s="201"/>
      <c r="H101" t="str">
        <f>VLOOKUP(B101,DitrbFlota[PLACA],1,0)</f>
        <v>SRVJ43</v>
      </c>
    </row>
    <row r="102" spans="1:8" ht="15.75" thickBot="1">
      <c r="A102" s="196" t="s">
        <v>421</v>
      </c>
      <c r="B102" s="111" t="s">
        <v>775</v>
      </c>
      <c r="C102" s="111">
        <v>7160</v>
      </c>
      <c r="D102" s="111" t="s">
        <v>147</v>
      </c>
      <c r="E102" s="111" t="s">
        <v>866</v>
      </c>
      <c r="F102" s="111" t="s">
        <v>853</v>
      </c>
      <c r="G102" s="201"/>
      <c r="H102" t="str">
        <f>VLOOKUP(B102,DitrbFlota[PLACA],1,0)</f>
        <v>SRVJ55</v>
      </c>
    </row>
    <row r="103" spans="1:8" ht="15.75" thickBot="1">
      <c r="A103" s="196" t="s">
        <v>421</v>
      </c>
      <c r="B103" s="111" t="s">
        <v>776</v>
      </c>
      <c r="C103" s="111">
        <v>7161</v>
      </c>
      <c r="D103" s="111" t="s">
        <v>147</v>
      </c>
      <c r="E103" s="111" t="s">
        <v>866</v>
      </c>
      <c r="F103" s="111" t="s">
        <v>853</v>
      </c>
      <c r="G103" s="201"/>
      <c r="H103" t="str">
        <f>VLOOKUP(B103,DitrbFlota[PLACA],1,0)</f>
        <v>SRVJ64</v>
      </c>
    </row>
    <row r="104" spans="1:8" ht="15.75" thickBot="1">
      <c r="A104" s="196" t="s">
        <v>421</v>
      </c>
      <c r="B104" s="111" t="s">
        <v>777</v>
      </c>
      <c r="C104" s="111">
        <v>7162</v>
      </c>
      <c r="D104" s="111" t="s">
        <v>147</v>
      </c>
      <c r="E104" s="111" t="s">
        <v>866</v>
      </c>
      <c r="F104" s="111" t="s">
        <v>853</v>
      </c>
      <c r="G104" s="201"/>
      <c r="H104" t="str">
        <f>VLOOKUP(B104,DitrbFlota[PLACA],1,0)</f>
        <v>SRVJ78</v>
      </c>
    </row>
    <row r="105" spans="1:8" ht="15.75" thickBot="1">
      <c r="A105" s="196" t="s">
        <v>421</v>
      </c>
      <c r="B105" s="111" t="s">
        <v>778</v>
      </c>
      <c r="C105" s="111">
        <v>7163</v>
      </c>
      <c r="D105" s="111" t="s">
        <v>147</v>
      </c>
      <c r="E105" s="111" t="s">
        <v>866</v>
      </c>
      <c r="F105" s="111" t="s">
        <v>853</v>
      </c>
      <c r="G105" s="201"/>
      <c r="H105" t="str">
        <f>VLOOKUP(B105,DitrbFlota[PLACA],1,0)</f>
        <v>SRVJ82</v>
      </c>
    </row>
    <row r="106" spans="1:8" ht="15.75" thickBot="1">
      <c r="A106" s="196" t="s">
        <v>421</v>
      </c>
      <c r="B106" s="111" t="s">
        <v>779</v>
      </c>
      <c r="C106" s="111">
        <v>7164</v>
      </c>
      <c r="D106" s="111" t="s">
        <v>147</v>
      </c>
      <c r="E106" s="111" t="s">
        <v>866</v>
      </c>
      <c r="F106" s="111" t="s">
        <v>853</v>
      </c>
      <c r="G106" s="201"/>
      <c r="H106" t="str">
        <f>VLOOKUP(B106,DitrbFlota[PLACA],1,0)</f>
        <v>SRVJ90</v>
      </c>
    </row>
    <row r="107" spans="1:8" ht="15.75" thickBot="1">
      <c r="A107" s="196" t="s">
        <v>421</v>
      </c>
      <c r="B107" s="111" t="s">
        <v>780</v>
      </c>
      <c r="C107" s="111">
        <v>7165</v>
      </c>
      <c r="D107" s="111" t="s">
        <v>147</v>
      </c>
      <c r="E107" s="111" t="s">
        <v>866</v>
      </c>
      <c r="F107" s="111" t="s">
        <v>853</v>
      </c>
      <c r="G107" s="201"/>
      <c r="H107" t="str">
        <f>VLOOKUP(B107,DitrbFlota[PLACA],1,0)</f>
        <v>SRVK11</v>
      </c>
    </row>
    <row r="108" spans="1:8" ht="15.75" thickBot="1">
      <c r="A108" s="196" t="s">
        <v>421</v>
      </c>
      <c r="B108" s="111" t="s">
        <v>781</v>
      </c>
      <c r="C108" s="111">
        <v>7166</v>
      </c>
      <c r="D108" s="111" t="s">
        <v>147</v>
      </c>
      <c r="E108" s="111" t="s">
        <v>866</v>
      </c>
      <c r="F108" s="111" t="s">
        <v>853</v>
      </c>
      <c r="G108" s="201"/>
      <c r="H108" t="str">
        <f>VLOOKUP(B108,DitrbFlota[PLACA],1,0)</f>
        <v>SRVK42</v>
      </c>
    </row>
    <row r="109" spans="1:8" ht="15.75" thickBot="1">
      <c r="A109" s="196" t="s">
        <v>421</v>
      </c>
      <c r="B109" s="111" t="s">
        <v>782</v>
      </c>
      <c r="C109" s="111">
        <v>7167</v>
      </c>
      <c r="D109" s="111" t="s">
        <v>147</v>
      </c>
      <c r="E109" s="111" t="s">
        <v>866</v>
      </c>
      <c r="F109" s="111" t="s">
        <v>853</v>
      </c>
      <c r="G109" s="201"/>
      <c r="H109" t="str">
        <f>VLOOKUP(B109,DitrbFlota[PLACA],1,0)</f>
        <v>SRVK61</v>
      </c>
    </row>
    <row r="110" spans="1:8" ht="15.75" thickBot="1">
      <c r="A110" s="196" t="s">
        <v>421</v>
      </c>
      <c r="B110" s="111" t="s">
        <v>783</v>
      </c>
      <c r="C110" s="111">
        <v>7168</v>
      </c>
      <c r="D110" s="111" t="s">
        <v>147</v>
      </c>
      <c r="E110" s="111" t="s">
        <v>866</v>
      </c>
      <c r="F110" s="111" t="s">
        <v>853</v>
      </c>
      <c r="G110" s="201"/>
      <c r="H110" t="str">
        <f>VLOOKUP(B110,DitrbFlota[PLACA],1,0)</f>
        <v>SRVK90</v>
      </c>
    </row>
    <row r="111" spans="1:8" ht="15.75" thickBot="1">
      <c r="A111" s="196" t="s">
        <v>421</v>
      </c>
      <c r="B111" s="111" t="s">
        <v>784</v>
      </c>
      <c r="C111" s="111">
        <v>7169</v>
      </c>
      <c r="D111" s="111" t="s">
        <v>147</v>
      </c>
      <c r="E111" s="111" t="s">
        <v>866</v>
      </c>
      <c r="F111" s="111" t="s">
        <v>853</v>
      </c>
      <c r="G111" s="201"/>
      <c r="H111" t="str">
        <f>VLOOKUP(B111,DitrbFlota[PLACA],1,0)</f>
        <v>SRVK97</v>
      </c>
    </row>
    <row r="112" spans="1:8" ht="15.75" thickBot="1">
      <c r="A112" s="196" t="s">
        <v>421</v>
      </c>
      <c r="B112" s="111" t="s">
        <v>785</v>
      </c>
      <c r="C112" s="111">
        <v>7170</v>
      </c>
      <c r="D112" s="111" t="s">
        <v>147</v>
      </c>
      <c r="E112" s="111" t="s">
        <v>866</v>
      </c>
      <c r="F112" s="111" t="s">
        <v>853</v>
      </c>
      <c r="G112" s="201"/>
      <c r="H112" t="str">
        <f>VLOOKUP(B112,DitrbFlota[PLACA],1,0)</f>
        <v>SRVL11</v>
      </c>
    </row>
    <row r="113" spans="1:8" ht="15.75" thickBot="1">
      <c r="A113" s="196" t="s">
        <v>421</v>
      </c>
      <c r="B113" s="111" t="s">
        <v>786</v>
      </c>
      <c r="C113" s="111">
        <v>7171</v>
      </c>
      <c r="D113" s="111" t="s">
        <v>147</v>
      </c>
      <c r="E113" s="111" t="s">
        <v>866</v>
      </c>
      <c r="F113" s="111" t="s">
        <v>853</v>
      </c>
      <c r="G113" s="201"/>
      <c r="H113" t="str">
        <f>VLOOKUP(B113,DitrbFlota[PLACA],1,0)</f>
        <v>SRVL15</v>
      </c>
    </row>
    <row r="114" spans="1:8" ht="15.75" thickBot="1">
      <c r="A114" s="196" t="s">
        <v>421</v>
      </c>
      <c r="B114" s="111" t="s">
        <v>787</v>
      </c>
      <c r="C114" s="111">
        <v>7172</v>
      </c>
      <c r="D114" s="111" t="s">
        <v>147</v>
      </c>
      <c r="E114" s="111" t="s">
        <v>866</v>
      </c>
      <c r="F114" s="111" t="s">
        <v>853</v>
      </c>
      <c r="G114" s="201"/>
      <c r="H114" t="str">
        <f>VLOOKUP(B114,DitrbFlota[PLACA],1,0)</f>
        <v>SRVL21</v>
      </c>
    </row>
    <row r="115" spans="1:8" ht="15.75" thickBot="1">
      <c r="A115" s="196" t="s">
        <v>421</v>
      </c>
      <c r="B115" s="111" t="s">
        <v>788</v>
      </c>
      <c r="C115" s="111">
        <v>7173</v>
      </c>
      <c r="D115" s="111" t="s">
        <v>147</v>
      </c>
      <c r="E115" s="111" t="s">
        <v>866</v>
      </c>
      <c r="F115" s="111" t="s">
        <v>853</v>
      </c>
      <c r="G115" s="201"/>
      <c r="H115" t="str">
        <f>VLOOKUP(B115,DitrbFlota[PLACA],1,0)</f>
        <v>SRVL24</v>
      </c>
    </row>
    <row r="116" spans="1:8" ht="15.75" thickBot="1">
      <c r="A116" s="196" t="s">
        <v>421</v>
      </c>
      <c r="B116" s="111" t="s">
        <v>789</v>
      </c>
      <c r="C116" s="111">
        <v>7174</v>
      </c>
      <c r="D116" s="111" t="s">
        <v>147</v>
      </c>
      <c r="E116" s="111" t="s">
        <v>866</v>
      </c>
      <c r="F116" s="111" t="s">
        <v>853</v>
      </c>
      <c r="G116" s="201"/>
      <c r="H116" t="str">
        <f>VLOOKUP(B116,DitrbFlota[PLACA],1,0)</f>
        <v>SRVL25</v>
      </c>
    </row>
    <row r="117" spans="1:8" ht="15.75" thickBot="1">
      <c r="A117" s="196" t="s">
        <v>421</v>
      </c>
      <c r="B117" s="111" t="s">
        <v>790</v>
      </c>
      <c r="C117" s="111">
        <v>7175</v>
      </c>
      <c r="D117" s="111" t="s">
        <v>147</v>
      </c>
      <c r="E117" s="111" t="s">
        <v>866</v>
      </c>
      <c r="F117" s="111" t="s">
        <v>853</v>
      </c>
      <c r="G117" s="201"/>
      <c r="H117" t="str">
        <f>VLOOKUP(B117,DitrbFlota[PLACA],1,0)</f>
        <v>SRVL35</v>
      </c>
    </row>
    <row r="118" spans="1:8" ht="15.75" thickBot="1">
      <c r="A118" s="196" t="s">
        <v>421</v>
      </c>
      <c r="B118" s="111" t="s">
        <v>791</v>
      </c>
      <c r="C118" s="111">
        <v>7176</v>
      </c>
      <c r="D118" s="111" t="s">
        <v>147</v>
      </c>
      <c r="E118" s="111" t="s">
        <v>866</v>
      </c>
      <c r="F118" s="111" t="s">
        <v>853</v>
      </c>
      <c r="G118" s="201"/>
      <c r="H118" t="str">
        <f>VLOOKUP(B118,DitrbFlota[PLACA],1,0)</f>
        <v>SRVL40</v>
      </c>
    </row>
    <row r="119" spans="1:8" ht="15.75" thickBot="1">
      <c r="A119" s="196" t="s">
        <v>421</v>
      </c>
      <c r="B119" s="111" t="s">
        <v>792</v>
      </c>
      <c r="C119" s="111">
        <v>7177</v>
      </c>
      <c r="D119" s="111" t="s">
        <v>147</v>
      </c>
      <c r="E119" s="111" t="s">
        <v>866</v>
      </c>
      <c r="F119" s="111" t="s">
        <v>853</v>
      </c>
      <c r="G119" s="201"/>
      <c r="H119" t="str">
        <f>VLOOKUP(B119,DitrbFlota[PLACA],1,0)</f>
        <v>SRVL45</v>
      </c>
    </row>
    <row r="120" spans="1:8" ht="15.75" thickBot="1">
      <c r="A120" s="196" t="s">
        <v>421</v>
      </c>
      <c r="B120" s="111" t="s">
        <v>793</v>
      </c>
      <c r="C120" s="111">
        <v>7178</v>
      </c>
      <c r="D120" s="111" t="s">
        <v>147</v>
      </c>
      <c r="E120" s="111" t="s">
        <v>866</v>
      </c>
      <c r="F120" s="111" t="s">
        <v>853</v>
      </c>
      <c r="G120" s="201"/>
      <c r="H120" t="str">
        <f>VLOOKUP(B120,DitrbFlota[PLACA],1,0)</f>
        <v>SRVL72</v>
      </c>
    </row>
    <row r="121" spans="1:8" ht="15.75" thickBot="1">
      <c r="A121" s="196" t="s">
        <v>421</v>
      </c>
      <c r="B121" s="111" t="s">
        <v>794</v>
      </c>
      <c r="C121" s="111">
        <v>7179</v>
      </c>
      <c r="D121" s="111" t="s">
        <v>147</v>
      </c>
      <c r="E121" s="111" t="s">
        <v>866</v>
      </c>
      <c r="F121" s="111" t="s">
        <v>853</v>
      </c>
      <c r="G121" s="201"/>
      <c r="H121" t="str">
        <f>VLOOKUP(B121,DitrbFlota[PLACA],1,0)</f>
        <v>SRVL75</v>
      </c>
    </row>
    <row r="122" spans="1:8" ht="15.75" thickBot="1">
      <c r="A122" s="196" t="s">
        <v>421</v>
      </c>
      <c r="B122" s="111" t="s">
        <v>795</v>
      </c>
      <c r="C122" s="111">
        <v>7180</v>
      </c>
      <c r="D122" s="111" t="s">
        <v>147</v>
      </c>
      <c r="E122" s="111" t="s">
        <v>866</v>
      </c>
      <c r="F122" s="111" t="s">
        <v>853</v>
      </c>
      <c r="G122" s="256"/>
      <c r="H122" t="str">
        <f>VLOOKUP(B122,DitrbFlota[PLACA],1,0)</f>
        <v>SRVL78</v>
      </c>
    </row>
    <row r="123" spans="1:8" ht="15.75" thickBot="1">
      <c r="A123" s="196" t="s">
        <v>421</v>
      </c>
      <c r="B123" s="111" t="s">
        <v>796</v>
      </c>
      <c r="C123" s="111">
        <v>7181</v>
      </c>
      <c r="D123" s="111" t="s">
        <v>147</v>
      </c>
      <c r="E123" s="111" t="s">
        <v>866</v>
      </c>
      <c r="F123" s="111" t="s">
        <v>853</v>
      </c>
      <c r="G123" s="256"/>
      <c r="H123" t="str">
        <f>VLOOKUP(B123,DitrbFlota[PLACA],1,0)</f>
        <v>STHC57</v>
      </c>
    </row>
    <row r="124" spans="1:8" ht="15.75" thickBot="1">
      <c r="A124" s="196" t="s">
        <v>421</v>
      </c>
      <c r="B124" s="111" t="s">
        <v>797</v>
      </c>
      <c r="C124" s="111">
        <v>7182</v>
      </c>
      <c r="D124" s="111" t="s">
        <v>147</v>
      </c>
      <c r="E124" s="111" t="s">
        <v>866</v>
      </c>
      <c r="F124" s="111" t="s">
        <v>853</v>
      </c>
      <c r="G124" s="256"/>
      <c r="H124" t="str">
        <f>VLOOKUP(B124,DitrbFlota[PLACA],1,0)</f>
        <v>STHC95</v>
      </c>
    </row>
    <row r="125" spans="1:8" ht="15.75" thickBot="1">
      <c r="A125" s="196" t="s">
        <v>421</v>
      </c>
      <c r="B125" s="111" t="s">
        <v>798</v>
      </c>
      <c r="C125" s="111">
        <v>7183</v>
      </c>
      <c r="D125" s="111" t="s">
        <v>147</v>
      </c>
      <c r="E125" s="111" t="s">
        <v>866</v>
      </c>
      <c r="F125" s="111" t="s">
        <v>853</v>
      </c>
      <c r="G125" s="256"/>
      <c r="H125" t="str">
        <f>VLOOKUP(B125,DitrbFlota[PLACA],1,0)</f>
        <v>STHD12</v>
      </c>
    </row>
    <row r="126" spans="1:8" ht="15.75" thickBot="1">
      <c r="A126" s="196" t="s">
        <v>421</v>
      </c>
      <c r="B126" s="111" t="s">
        <v>799</v>
      </c>
      <c r="C126" s="111">
        <v>7184</v>
      </c>
      <c r="D126" s="111" t="s">
        <v>147</v>
      </c>
      <c r="E126" s="111" t="s">
        <v>866</v>
      </c>
      <c r="F126" s="111" t="s">
        <v>853</v>
      </c>
      <c r="G126" s="256"/>
      <c r="H126" t="str">
        <f>VLOOKUP(B126,DitrbFlota[PLACA],1,0)</f>
        <v>STHD50</v>
      </c>
    </row>
    <row r="127" spans="1:8" ht="15.75" thickBot="1">
      <c r="A127" s="197" t="s">
        <v>421</v>
      </c>
      <c r="B127" s="198" t="s">
        <v>800</v>
      </c>
      <c r="C127" s="198">
        <v>7185</v>
      </c>
      <c r="D127" s="198" t="s">
        <v>147</v>
      </c>
      <c r="E127" s="198" t="s">
        <v>866</v>
      </c>
      <c r="F127" s="198" t="s">
        <v>853</v>
      </c>
      <c r="G127" s="198" t="s">
        <v>907</v>
      </c>
      <c r="H127" t="str">
        <f>VLOOKUP(B127,DitrbFlota[PLACA],1,0)</f>
        <v>STHD26</v>
      </c>
    </row>
    <row r="128" spans="1:8" ht="15.75" thickBot="1">
      <c r="A128" s="196" t="s">
        <v>421</v>
      </c>
      <c r="B128" s="111" t="s">
        <v>801</v>
      </c>
      <c r="C128" s="111">
        <v>7186</v>
      </c>
      <c r="D128" s="111" t="s">
        <v>147</v>
      </c>
      <c r="E128" s="111" t="s">
        <v>866</v>
      </c>
      <c r="F128" s="111" t="s">
        <v>853</v>
      </c>
      <c r="G128" s="256"/>
      <c r="H128" t="str">
        <f>VLOOKUP(B128,DitrbFlota[PLACA],1,0)</f>
        <v>STHF36</v>
      </c>
    </row>
    <row r="129" spans="1:8" ht="15.75" thickBot="1">
      <c r="A129" s="196" t="s">
        <v>421</v>
      </c>
      <c r="B129" s="111" t="s">
        <v>802</v>
      </c>
      <c r="C129" s="111">
        <v>7187</v>
      </c>
      <c r="D129" s="111" t="s">
        <v>147</v>
      </c>
      <c r="E129" s="111" t="s">
        <v>866</v>
      </c>
      <c r="F129" s="111" t="s">
        <v>853</v>
      </c>
      <c r="G129" s="256"/>
      <c r="H129" t="str">
        <f>VLOOKUP(B129,DitrbFlota[PLACA],1,0)</f>
        <v>STHF56</v>
      </c>
    </row>
    <row r="130" spans="1:8" ht="15.75" thickBot="1">
      <c r="A130" s="196" t="s">
        <v>421</v>
      </c>
      <c r="B130" s="111" t="s">
        <v>803</v>
      </c>
      <c r="C130" s="111">
        <v>7188</v>
      </c>
      <c r="D130" s="111" t="s">
        <v>147</v>
      </c>
      <c r="E130" s="111" t="s">
        <v>866</v>
      </c>
      <c r="F130" s="111" t="s">
        <v>853</v>
      </c>
      <c r="G130" s="256"/>
      <c r="H130" t="str">
        <f>VLOOKUP(B130,DitrbFlota[PLACA],1,0)</f>
        <v>STHF57</v>
      </c>
    </row>
    <row r="131" spans="1:8" ht="15.75" thickBot="1">
      <c r="A131" s="196" t="s">
        <v>421</v>
      </c>
      <c r="B131" s="111" t="s">
        <v>804</v>
      </c>
      <c r="C131" s="111">
        <v>7189</v>
      </c>
      <c r="D131" s="111" t="s">
        <v>147</v>
      </c>
      <c r="E131" s="111" t="s">
        <v>866</v>
      </c>
      <c r="F131" s="111" t="s">
        <v>853</v>
      </c>
      <c r="G131" s="256"/>
      <c r="H131" t="str">
        <f>VLOOKUP(B131,DitrbFlota[PLACA],1,0)</f>
        <v>STHF67</v>
      </c>
    </row>
    <row r="132" spans="1:8" ht="15.75" thickBot="1">
      <c r="A132" s="196" t="s">
        <v>421</v>
      </c>
      <c r="B132" s="111" t="s">
        <v>805</v>
      </c>
      <c r="C132" s="111">
        <v>7190</v>
      </c>
      <c r="D132" s="111" t="s">
        <v>147</v>
      </c>
      <c r="E132" s="111" t="s">
        <v>866</v>
      </c>
      <c r="F132" s="111" t="s">
        <v>853</v>
      </c>
      <c r="G132" s="256"/>
      <c r="H132" t="str">
        <f>VLOOKUP(B132,DitrbFlota[PLACA],1,0)</f>
        <v>STHF69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4A62A-52DE-474E-BBAA-A34E87A3A23F}">
  <sheetPr codeName="Hoja18"/>
  <dimension ref="A3:D9"/>
  <sheetViews>
    <sheetView workbookViewId="0">
      <selection activeCell="C13" sqref="C13"/>
    </sheetView>
  </sheetViews>
  <sheetFormatPr baseColWidth="10" defaultColWidth="10.7109375" defaultRowHeight="15"/>
  <cols>
    <col min="1" max="1" width="17.5703125" bestFit="1" customWidth="1"/>
    <col min="2" max="2" width="18.5703125" bestFit="1" customWidth="1"/>
  </cols>
  <sheetData>
    <row r="3" spans="1:4">
      <c r="A3" s="47" t="s">
        <v>506</v>
      </c>
      <c r="B3" t="s">
        <v>908</v>
      </c>
    </row>
    <row r="4" spans="1:4">
      <c r="A4" s="48" t="s">
        <v>149</v>
      </c>
      <c r="B4">
        <v>315</v>
      </c>
    </row>
    <row r="5" spans="1:4">
      <c r="A5" s="48" t="s">
        <v>145</v>
      </c>
      <c r="B5">
        <v>187</v>
      </c>
      <c r="C5">
        <f>+B5</f>
        <v>187</v>
      </c>
      <c r="D5" s="128">
        <f>+C5/$C$8</f>
        <v>0.46750000000000003</v>
      </c>
    </row>
    <row r="6" spans="1:4">
      <c r="A6" s="48" t="s">
        <v>36</v>
      </c>
      <c r="B6">
        <v>40</v>
      </c>
      <c r="C6">
        <f t="shared" ref="C6:C7" si="0">+B6</f>
        <v>40</v>
      </c>
      <c r="D6" s="128">
        <f t="shared" ref="D6:D7" si="1">+C6/$C$8</f>
        <v>0.1</v>
      </c>
    </row>
    <row r="7" spans="1:4">
      <c r="A7" s="48" t="s">
        <v>14</v>
      </c>
      <c r="B7">
        <v>173</v>
      </c>
      <c r="C7">
        <f t="shared" si="0"/>
        <v>173</v>
      </c>
      <c r="D7" s="128">
        <f t="shared" si="1"/>
        <v>0.4325</v>
      </c>
    </row>
    <row r="8" spans="1:4">
      <c r="A8" s="48" t="s">
        <v>690</v>
      </c>
      <c r="B8">
        <v>25</v>
      </c>
      <c r="C8">
        <f>+SUM(C5:C7)</f>
        <v>400</v>
      </c>
    </row>
    <row r="9" spans="1:4">
      <c r="A9" s="48" t="s">
        <v>41</v>
      </c>
      <c r="B9">
        <v>740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C5CE6-41FB-40CA-8E8C-FC1F2E0582F1}">
  <sheetPr codeName="Hoja13"/>
  <dimension ref="A1:AD1112"/>
  <sheetViews>
    <sheetView topLeftCell="I1" zoomScale="85" zoomScaleNormal="85" workbookViewId="0">
      <selection activeCell="R30" sqref="R30"/>
    </sheetView>
  </sheetViews>
  <sheetFormatPr baseColWidth="10" defaultColWidth="11.42578125" defaultRowHeight="15"/>
  <cols>
    <col min="1" max="1" width="8.42578125" customWidth="1"/>
    <col min="2" max="2" width="10.85546875" customWidth="1"/>
    <col min="3" max="3" width="11.140625" customWidth="1"/>
    <col min="4" max="4" width="13" customWidth="1"/>
    <col min="5" max="5" width="16" customWidth="1"/>
    <col min="6" max="6" width="8.7109375" style="33" customWidth="1"/>
    <col min="7" max="7" width="29.28515625" customWidth="1"/>
    <col min="8" max="8" width="36.140625" bestFit="1" customWidth="1"/>
    <col min="9" max="9" width="36.140625" customWidth="1"/>
    <col min="10" max="10" width="10.85546875" bestFit="1" customWidth="1"/>
    <col min="11" max="12" width="10.85546875" customWidth="1"/>
    <col min="15" max="15" width="12.28515625" customWidth="1"/>
    <col min="16" max="16" width="17.28515625" bestFit="1" customWidth="1"/>
    <col min="18" max="18" width="25.85546875" customWidth="1"/>
    <col min="19" max="19" width="28.85546875" customWidth="1"/>
    <col min="22" max="22" width="12" customWidth="1"/>
    <col min="24" max="24" width="12.5703125" customWidth="1"/>
    <col min="27" max="27" width="12.140625" customWidth="1"/>
    <col min="29" max="29" width="12.42578125" customWidth="1"/>
    <col min="33" max="33" width="9.7109375" customWidth="1"/>
  </cols>
  <sheetData>
    <row r="1" spans="1:30" ht="15.75">
      <c r="A1" s="245" t="s">
        <v>87</v>
      </c>
      <c r="B1" s="245" t="s">
        <v>2</v>
      </c>
      <c r="C1" s="245" t="s">
        <v>3</v>
      </c>
      <c r="D1" s="245" t="s">
        <v>4</v>
      </c>
      <c r="E1" s="245" t="s">
        <v>5</v>
      </c>
      <c r="F1" s="245" t="s">
        <v>909</v>
      </c>
      <c r="G1" s="246" t="s">
        <v>910</v>
      </c>
      <c r="H1" s="247" t="s">
        <v>911</v>
      </c>
      <c r="I1" s="257" t="s">
        <v>912</v>
      </c>
      <c r="J1" t="s">
        <v>913</v>
      </c>
      <c r="K1" t="s">
        <v>865</v>
      </c>
      <c r="L1" t="s">
        <v>914</v>
      </c>
      <c r="O1" s="386" t="s">
        <v>864</v>
      </c>
      <c r="P1" s="386" t="s">
        <v>865</v>
      </c>
      <c r="Q1" s="210" t="s">
        <v>866</v>
      </c>
      <c r="R1" s="388" t="s">
        <v>867</v>
      </c>
      <c r="S1" s="379"/>
      <c r="T1" s="389"/>
      <c r="U1" s="378" t="s">
        <v>868</v>
      </c>
      <c r="V1" s="379"/>
      <c r="W1" s="380"/>
      <c r="X1" s="211" t="s">
        <v>869</v>
      </c>
      <c r="Y1" s="381" t="s">
        <v>871</v>
      </c>
      <c r="Z1" s="241"/>
      <c r="AA1" s="241"/>
      <c r="AB1" s="241"/>
      <c r="AC1" s="241"/>
      <c r="AD1" s="241"/>
    </row>
    <row r="2" spans="1:30" ht="16.5" thickBot="1">
      <c r="A2" s="249" t="s">
        <v>255</v>
      </c>
      <c r="B2" s="249">
        <v>2091</v>
      </c>
      <c r="C2" s="249" t="s">
        <v>34</v>
      </c>
      <c r="D2" s="249" t="s">
        <v>13</v>
      </c>
      <c r="E2" s="249" t="s">
        <v>145</v>
      </c>
      <c r="F2" s="151" t="s">
        <v>915</v>
      </c>
      <c r="G2" s="250" t="s">
        <v>15</v>
      </c>
      <c r="H2" s="251" t="s">
        <v>130</v>
      </c>
      <c r="I2" s="65" t="s">
        <v>916</v>
      </c>
      <c r="J2" t="str">
        <f>_xlfn.XLOOKUP(Tabla17[[#This Row],[PLACA]],Tabla18[Patente Bus],Tabla18[[Servicio ]])</f>
        <v>T801</v>
      </c>
      <c r="K2" t="str">
        <f>_xlfn.XLOOKUP(Tabla17[[#This Row],[Servicio]],Tabla19[CÓDIGO TS],Tabla19[TERMINAL])</f>
        <v>CONDELL</v>
      </c>
      <c r="L2" t="e">
        <f>_xlfn.XLOOKUP(Tabla17[[#This Row],[PLACA]],Tabla20[PPU],Tabla20[TERMINA])</f>
        <v>#N/A</v>
      </c>
      <c r="O2" s="387"/>
      <c r="P2" s="387"/>
      <c r="Q2" s="212" t="s">
        <v>147</v>
      </c>
      <c r="R2" s="213" t="s">
        <v>12</v>
      </c>
      <c r="S2" s="214" t="s">
        <v>34</v>
      </c>
      <c r="T2" s="215" t="s">
        <v>38</v>
      </c>
      <c r="U2" s="216" t="s">
        <v>34</v>
      </c>
      <c r="V2" s="214" t="s">
        <v>285</v>
      </c>
      <c r="W2" s="217" t="s">
        <v>38</v>
      </c>
      <c r="X2" s="218" t="s">
        <v>34</v>
      </c>
      <c r="Y2" s="382"/>
      <c r="Z2" s="241"/>
      <c r="AA2" s="241"/>
      <c r="AB2" s="241"/>
      <c r="AC2" s="241"/>
      <c r="AD2" s="241"/>
    </row>
    <row r="3" spans="1:30" ht="15.75">
      <c r="A3" s="249" t="s">
        <v>256</v>
      </c>
      <c r="B3" s="249">
        <v>2095</v>
      </c>
      <c r="C3" s="249" t="s">
        <v>34</v>
      </c>
      <c r="D3" s="249" t="s">
        <v>13</v>
      </c>
      <c r="E3" s="249" t="s">
        <v>145</v>
      </c>
      <c r="F3" s="151" t="s">
        <v>915</v>
      </c>
      <c r="G3" s="250" t="s">
        <v>15</v>
      </c>
      <c r="H3" s="251" t="s">
        <v>130</v>
      </c>
      <c r="I3" s="65" t="s">
        <v>916</v>
      </c>
      <c r="J3" t="str">
        <f>_xlfn.XLOOKUP(Tabla17[[#This Row],[PLACA]],Tabla18[Patente Bus],Tabla18[[Servicio ]])</f>
        <v>T824</v>
      </c>
      <c r="K3" t="str">
        <f>_xlfn.XLOOKUP(Tabla17[[#This Row],[Servicio]],Tabla19[CÓDIGO TS],Tabla19[TERMINAL])</f>
        <v>CONDELL</v>
      </c>
      <c r="O3" s="383" t="s">
        <v>880</v>
      </c>
      <c r="P3" s="219" t="s">
        <v>845</v>
      </c>
      <c r="Q3" s="220">
        <v>0</v>
      </c>
      <c r="R3" s="221">
        <v>11</v>
      </c>
      <c r="S3" s="222">
        <v>0</v>
      </c>
      <c r="T3" s="223">
        <v>19</v>
      </c>
      <c r="U3" s="252">
        <v>19</v>
      </c>
      <c r="V3" s="222">
        <v>0</v>
      </c>
      <c r="W3" s="224">
        <v>0</v>
      </c>
      <c r="X3" s="253">
        <v>4</v>
      </c>
      <c r="Y3" s="225">
        <f>SUM(Q3:X3)</f>
        <v>53</v>
      </c>
      <c r="Z3" s="241"/>
      <c r="AA3" s="241"/>
      <c r="AB3" s="241"/>
      <c r="AC3" s="241"/>
      <c r="AD3" s="241"/>
    </row>
    <row r="4" spans="1:30" ht="15.75">
      <c r="A4" s="249" t="s">
        <v>257</v>
      </c>
      <c r="B4" s="249">
        <v>2096</v>
      </c>
      <c r="C4" s="249" t="s">
        <v>34</v>
      </c>
      <c r="D4" s="249" t="s">
        <v>13</v>
      </c>
      <c r="E4" s="249" t="s">
        <v>145</v>
      </c>
      <c r="F4" s="151" t="s">
        <v>915</v>
      </c>
      <c r="G4" s="250" t="s">
        <v>15</v>
      </c>
      <c r="H4" s="251" t="s">
        <v>130</v>
      </c>
      <c r="I4" s="65" t="s">
        <v>916</v>
      </c>
      <c r="J4" t="str">
        <f>_xlfn.XLOOKUP(Tabla17[[#This Row],[PLACA]],Tabla18[Patente Bus],Tabla18[[Servicio ]])</f>
        <v>T801</v>
      </c>
      <c r="K4" t="str">
        <f>_xlfn.XLOOKUP(Tabla17[[#This Row],[Servicio]],Tabla19[CÓDIGO TS],Tabla19[TERMINAL])</f>
        <v>CONDELL</v>
      </c>
      <c r="O4" s="383"/>
      <c r="P4" s="219" t="s">
        <v>851</v>
      </c>
      <c r="Q4" s="226">
        <v>67</v>
      </c>
      <c r="R4" s="227">
        <v>10</v>
      </c>
      <c r="S4" s="228">
        <v>0</v>
      </c>
      <c r="T4" s="229">
        <v>7</v>
      </c>
      <c r="U4" s="254">
        <v>15</v>
      </c>
      <c r="V4" s="228">
        <v>0</v>
      </c>
      <c r="W4" s="231">
        <v>24</v>
      </c>
      <c r="X4" s="255">
        <v>3</v>
      </c>
      <c r="Y4" s="232">
        <f>SUM(Q4:X4)</f>
        <v>126</v>
      </c>
      <c r="Z4" s="241"/>
      <c r="AA4" s="241"/>
      <c r="AB4" s="241"/>
      <c r="AC4" s="241"/>
      <c r="AD4" s="241"/>
    </row>
    <row r="5" spans="1:30" ht="15.75">
      <c r="A5" s="249" t="s">
        <v>373</v>
      </c>
      <c r="B5" s="249">
        <v>2097</v>
      </c>
      <c r="C5" s="249" t="s">
        <v>34</v>
      </c>
      <c r="D5" s="249" t="s">
        <v>13</v>
      </c>
      <c r="E5" s="249" t="s">
        <v>145</v>
      </c>
      <c r="F5" s="151" t="s">
        <v>915</v>
      </c>
      <c r="G5" s="250" t="s">
        <v>15</v>
      </c>
      <c r="H5" s="251" t="s">
        <v>267</v>
      </c>
      <c r="I5" s="65" t="s">
        <v>916</v>
      </c>
      <c r="J5" t="str">
        <f>_xlfn.XLOOKUP(Tabla17[[#This Row],[PLACA]],Tabla18[Patente Bus],Tabla18[[Servicio ]])</f>
        <v>T808</v>
      </c>
      <c r="K5" t="str">
        <f>_xlfn.XLOOKUP(Tabla17[[#This Row],[Servicio]],Tabla19[CÓDIGO TS],Tabla19[TERMINAL])</f>
        <v>SANTA MARTA</v>
      </c>
      <c r="O5" s="383"/>
      <c r="P5" s="219" t="s">
        <v>876</v>
      </c>
      <c r="Q5" s="226">
        <v>60</v>
      </c>
      <c r="R5" s="227">
        <v>16</v>
      </c>
      <c r="S5" s="228">
        <v>0</v>
      </c>
      <c r="T5" s="229">
        <v>0</v>
      </c>
      <c r="U5" s="254">
        <v>0</v>
      </c>
      <c r="V5" s="228">
        <v>42</v>
      </c>
      <c r="W5" s="231">
        <v>0</v>
      </c>
      <c r="X5" s="255">
        <v>22</v>
      </c>
      <c r="Y5" s="232">
        <f>SUM(Q5:X5)</f>
        <v>140</v>
      </c>
      <c r="Z5" s="241"/>
      <c r="AA5" s="241"/>
      <c r="AB5" s="241"/>
      <c r="AC5" s="241"/>
      <c r="AD5" s="241"/>
    </row>
    <row r="6" spans="1:30" ht="16.5" thickBot="1">
      <c r="A6" s="249" t="s">
        <v>374</v>
      </c>
      <c r="B6" s="249">
        <v>2098</v>
      </c>
      <c r="C6" s="249" t="s">
        <v>34</v>
      </c>
      <c r="D6" s="249" t="s">
        <v>13</v>
      </c>
      <c r="E6" s="249" t="s">
        <v>145</v>
      </c>
      <c r="F6" s="151" t="s">
        <v>915</v>
      </c>
      <c r="G6" s="250" t="s">
        <v>15</v>
      </c>
      <c r="H6" s="251" t="s">
        <v>267</v>
      </c>
      <c r="I6" s="65" t="s">
        <v>916</v>
      </c>
      <c r="J6" t="str">
        <f>_xlfn.XLOOKUP(Tabla17[[#This Row],[PLACA]],Tabla18[Patente Bus],Tabla18[[Servicio ]])</f>
        <v>T822</v>
      </c>
      <c r="K6" t="str">
        <f>_xlfn.XLOOKUP(Tabla17[[#This Row],[Servicio]],Tabla19[CÓDIGO TS],Tabla19[TERMINAL])</f>
        <v>SANTA MARTA</v>
      </c>
      <c r="O6" s="383"/>
      <c r="P6" s="219" t="s">
        <v>889</v>
      </c>
      <c r="Q6" s="226">
        <v>0</v>
      </c>
      <c r="R6" s="227">
        <v>0</v>
      </c>
      <c r="S6" s="228">
        <v>0</v>
      </c>
      <c r="T6" s="229">
        <v>19</v>
      </c>
      <c r="U6" s="230">
        <v>0</v>
      </c>
      <c r="V6" s="228">
        <v>0</v>
      </c>
      <c r="W6" s="231">
        <v>0</v>
      </c>
      <c r="X6" s="232">
        <v>9</v>
      </c>
      <c r="Y6" s="232">
        <f>SUM(Q6:X6)</f>
        <v>28</v>
      </c>
      <c r="Z6" s="241"/>
      <c r="AA6" s="241"/>
      <c r="AB6" s="241"/>
      <c r="AC6" s="241"/>
      <c r="AD6" s="241"/>
    </row>
    <row r="7" spans="1:30" ht="16.5" thickBot="1">
      <c r="A7" s="249" t="s">
        <v>375</v>
      </c>
      <c r="B7" s="249">
        <v>2099</v>
      </c>
      <c r="C7" s="249" t="s">
        <v>34</v>
      </c>
      <c r="D7" s="249" t="s">
        <v>13</v>
      </c>
      <c r="E7" s="249" t="s">
        <v>145</v>
      </c>
      <c r="F7" s="151" t="s">
        <v>915</v>
      </c>
      <c r="G7" s="250" t="s">
        <v>15</v>
      </c>
      <c r="H7" s="251" t="s">
        <v>267</v>
      </c>
      <c r="I7" s="65" t="s">
        <v>916</v>
      </c>
      <c r="J7" t="str">
        <f>_xlfn.XLOOKUP(Tabla17[[#This Row],[PLACA]],Tabla18[Patente Bus],Tabla18[[Servicio ]])</f>
        <v>T818 E0</v>
      </c>
      <c r="K7" t="e">
        <f>_xlfn.XLOOKUP(Tabla17[[#This Row],[Servicio]],Tabla19[CÓDIGO TS],Tabla19[TERMINAL])</f>
        <v>#N/A</v>
      </c>
      <c r="M7" s="241" t="s">
        <v>917</v>
      </c>
      <c r="O7" s="384" t="s">
        <v>871</v>
      </c>
      <c r="P7" s="385"/>
      <c r="Q7" s="233">
        <f t="shared" ref="Q7:X7" si="0">SUM(Q3:Q6)</f>
        <v>127</v>
      </c>
      <c r="R7" s="234">
        <f t="shared" si="0"/>
        <v>37</v>
      </c>
      <c r="S7" s="235">
        <f t="shared" si="0"/>
        <v>0</v>
      </c>
      <c r="T7" s="236">
        <f t="shared" si="0"/>
        <v>45</v>
      </c>
      <c r="U7" s="237">
        <f t="shared" si="0"/>
        <v>34</v>
      </c>
      <c r="V7" s="235">
        <f t="shared" si="0"/>
        <v>42</v>
      </c>
      <c r="W7" s="238">
        <f t="shared" si="0"/>
        <v>24</v>
      </c>
      <c r="X7" s="239">
        <f t="shared" si="0"/>
        <v>38</v>
      </c>
      <c r="Y7" s="240">
        <f>SUM(Q7:X7)</f>
        <v>347</v>
      </c>
      <c r="Z7" s="241"/>
      <c r="AA7" s="241"/>
      <c r="AB7" s="241"/>
      <c r="AC7" s="241"/>
      <c r="AD7" s="241"/>
    </row>
    <row r="8" spans="1:30" ht="16.5" thickBot="1">
      <c r="A8" s="249" t="s">
        <v>376</v>
      </c>
      <c r="B8" s="249">
        <v>2100</v>
      </c>
      <c r="C8" s="249" t="s">
        <v>34</v>
      </c>
      <c r="D8" s="249" t="s">
        <v>13</v>
      </c>
      <c r="E8" s="249" t="s">
        <v>145</v>
      </c>
      <c r="F8" s="151" t="s">
        <v>915</v>
      </c>
      <c r="G8" s="250" t="s">
        <v>15</v>
      </c>
      <c r="H8" s="251" t="s">
        <v>267</v>
      </c>
      <c r="I8" s="65" t="s">
        <v>916</v>
      </c>
      <c r="J8" t="str">
        <f>_xlfn.XLOOKUP(Tabla17[[#This Row],[PLACA]],Tabla18[Patente Bus],Tabla18[[Servicio ]])</f>
        <v>T822</v>
      </c>
      <c r="K8" t="str">
        <f>_xlfn.XLOOKUP(Tabla17[[#This Row],[Servicio]],Tabla19[CÓDIGO TS],Tabla19[TERMINAL])</f>
        <v>SANTA MARTA</v>
      </c>
      <c r="M8" s="241" t="s">
        <v>918</v>
      </c>
      <c r="O8" s="241"/>
      <c r="P8" s="241"/>
      <c r="Q8" s="241"/>
      <c r="R8" s="241"/>
      <c r="S8" s="241"/>
      <c r="T8" s="241"/>
      <c r="U8" s="241"/>
      <c r="V8" s="241"/>
      <c r="W8" s="241"/>
      <c r="X8" s="241"/>
      <c r="Y8" s="241"/>
      <c r="Z8" s="241"/>
      <c r="AA8" s="241"/>
      <c r="AB8" s="241"/>
      <c r="AC8" s="241"/>
      <c r="AD8" s="241"/>
    </row>
    <row r="9" spans="1:30" ht="15.75">
      <c r="A9" s="249" t="s">
        <v>377</v>
      </c>
      <c r="B9" s="249">
        <v>2101</v>
      </c>
      <c r="C9" s="249" t="s">
        <v>34</v>
      </c>
      <c r="D9" s="249" t="s">
        <v>13</v>
      </c>
      <c r="E9" s="249" t="s">
        <v>145</v>
      </c>
      <c r="F9" s="151" t="s">
        <v>915</v>
      </c>
      <c r="G9" s="250" t="s">
        <v>15</v>
      </c>
      <c r="H9" s="251" t="s">
        <v>267</v>
      </c>
      <c r="I9" s="65" t="s">
        <v>916</v>
      </c>
      <c r="J9" t="str">
        <f>_xlfn.XLOOKUP(Tabla17[[#This Row],[PLACA]],Tabla18[Patente Bus],Tabla18[[Servicio ]])</f>
        <v>T807</v>
      </c>
      <c r="K9" t="str">
        <f>_xlfn.XLOOKUP(Tabla17[[#This Row],[Servicio]],Tabla19[CÓDIGO TS],Tabla19[TERMINAL])</f>
        <v>SANTA MARTA</v>
      </c>
      <c r="O9" s="386" t="s">
        <v>864</v>
      </c>
      <c r="P9" s="386" t="s">
        <v>865</v>
      </c>
      <c r="Q9" s="210" t="s">
        <v>866</v>
      </c>
      <c r="R9" s="388" t="s">
        <v>867</v>
      </c>
      <c r="S9" s="379"/>
      <c r="T9" s="389"/>
      <c r="U9" s="378" t="s">
        <v>868</v>
      </c>
      <c r="V9" s="379"/>
      <c r="W9" s="380"/>
      <c r="X9" s="211" t="s">
        <v>869</v>
      </c>
      <c r="Y9" s="381" t="s">
        <v>871</v>
      </c>
      <c r="Z9" s="241"/>
      <c r="AA9" s="243" t="s">
        <v>919</v>
      </c>
      <c r="AB9" s="228" t="s">
        <v>845</v>
      </c>
      <c r="AC9" s="228" t="s">
        <v>851</v>
      </c>
      <c r="AD9" s="228" t="s">
        <v>852</v>
      </c>
    </row>
    <row r="10" spans="1:30" ht="16.5" thickBot="1">
      <c r="A10" s="249" t="s">
        <v>378</v>
      </c>
      <c r="B10" s="249">
        <v>2102</v>
      </c>
      <c r="C10" s="249" t="s">
        <v>34</v>
      </c>
      <c r="D10" s="249" t="s">
        <v>13</v>
      </c>
      <c r="E10" s="249" t="s">
        <v>145</v>
      </c>
      <c r="F10" s="151" t="s">
        <v>915</v>
      </c>
      <c r="G10" s="250" t="s">
        <v>15</v>
      </c>
      <c r="H10" s="251" t="s">
        <v>267</v>
      </c>
      <c r="I10" s="65" t="s">
        <v>916</v>
      </c>
      <c r="J10" t="str">
        <f>_xlfn.XLOOKUP(Tabla17[[#This Row],[PLACA]],Tabla18[Patente Bus],Tabla18[[Servicio ]])</f>
        <v>T836</v>
      </c>
      <c r="K10" t="str">
        <f>_xlfn.XLOOKUP(Tabla17[[#This Row],[Servicio]],Tabla19[CÓDIGO TS],Tabla19[TERMINAL])</f>
        <v>SANTA MARTA</v>
      </c>
      <c r="O10" s="387"/>
      <c r="P10" s="387"/>
      <c r="Q10" s="212" t="s">
        <v>147</v>
      </c>
      <c r="R10" s="213" t="s">
        <v>12</v>
      </c>
      <c r="S10" s="214" t="s">
        <v>34</v>
      </c>
      <c r="T10" s="215" t="s">
        <v>38</v>
      </c>
      <c r="U10" s="216" t="s">
        <v>34</v>
      </c>
      <c r="V10" s="214" t="s">
        <v>285</v>
      </c>
      <c r="W10" s="217" t="s">
        <v>38</v>
      </c>
      <c r="X10" s="218" t="s">
        <v>34</v>
      </c>
      <c r="Y10" s="382"/>
      <c r="Z10" s="241"/>
      <c r="AA10" s="244" t="s">
        <v>920</v>
      </c>
      <c r="AB10" s="228">
        <v>-18</v>
      </c>
      <c r="AC10" s="228">
        <v>3</v>
      </c>
      <c r="AD10" s="228">
        <v>15</v>
      </c>
    </row>
    <row r="11" spans="1:30" ht="15.75">
      <c r="A11" s="249" t="s">
        <v>379</v>
      </c>
      <c r="B11" s="249">
        <v>2103</v>
      </c>
      <c r="C11" s="249" t="s">
        <v>34</v>
      </c>
      <c r="D11" s="249" t="s">
        <v>25</v>
      </c>
      <c r="E11" s="249" t="s">
        <v>145</v>
      </c>
      <c r="F11" s="151" t="s">
        <v>915</v>
      </c>
      <c r="G11" s="250" t="s">
        <v>15</v>
      </c>
      <c r="H11" s="251" t="s">
        <v>267</v>
      </c>
      <c r="I11" s="65" t="s">
        <v>916</v>
      </c>
      <c r="J11" t="str">
        <f>_xlfn.XLOOKUP(Tabla17[[#This Row],[PLACA]],Tabla18[Patente Bus],Tabla18[[Servicio ]])</f>
        <v>T807</v>
      </c>
      <c r="K11" t="str">
        <f>_xlfn.XLOOKUP(Tabla17[[#This Row],[Servicio]],Tabla19[CÓDIGO TS],Tabla19[TERMINAL])</f>
        <v>SANTA MARTA</v>
      </c>
      <c r="O11" s="383" t="s">
        <v>880</v>
      </c>
      <c r="P11" s="219" t="s">
        <v>845</v>
      </c>
      <c r="Q11" s="220">
        <v>0</v>
      </c>
      <c r="R11" s="221">
        <v>11</v>
      </c>
      <c r="S11" s="222">
        <v>0</v>
      </c>
      <c r="T11" s="223">
        <v>19</v>
      </c>
      <c r="U11" s="252">
        <v>0</v>
      </c>
      <c r="V11" s="222">
        <v>0</v>
      </c>
      <c r="W11" s="224">
        <v>0</v>
      </c>
      <c r="X11" s="253">
        <f>4+19</f>
        <v>23</v>
      </c>
      <c r="Y11" s="225">
        <f>SUM(Q11:X11)</f>
        <v>53</v>
      </c>
      <c r="Z11" s="241"/>
      <c r="AA11" s="244" t="s">
        <v>921</v>
      </c>
      <c r="AB11" s="228">
        <v>18</v>
      </c>
      <c r="AC11" s="228">
        <v>-3</v>
      </c>
      <c r="AD11" s="228">
        <v>-15</v>
      </c>
    </row>
    <row r="12" spans="1:30" ht="15.75">
      <c r="A12" s="249" t="s">
        <v>380</v>
      </c>
      <c r="B12" s="249">
        <v>2104</v>
      </c>
      <c r="C12" s="249" t="s">
        <v>34</v>
      </c>
      <c r="D12" s="249" t="s">
        <v>13</v>
      </c>
      <c r="E12" s="249" t="s">
        <v>145</v>
      </c>
      <c r="F12" s="151" t="s">
        <v>915</v>
      </c>
      <c r="G12" s="250" t="s">
        <v>15</v>
      </c>
      <c r="H12" s="251" t="s">
        <v>267</v>
      </c>
      <c r="I12" s="65" t="s">
        <v>916</v>
      </c>
      <c r="J12" t="e">
        <f>_xlfn.XLOOKUP(Tabla17[[#This Row],[PLACA]],Tabla18[Patente Bus],Tabla18[[Servicio ]])</f>
        <v>#N/A</v>
      </c>
      <c r="K12" t="e">
        <f>_xlfn.XLOOKUP(Tabla17[[#This Row],[Servicio]],Tabla19[CÓDIGO TS],Tabla19[TERMINAL])</f>
        <v>#N/A</v>
      </c>
      <c r="O12" s="383"/>
      <c r="P12" s="219" t="s">
        <v>851</v>
      </c>
      <c r="Q12" s="226">
        <v>67</v>
      </c>
      <c r="R12" s="227">
        <v>10</v>
      </c>
      <c r="S12" s="228">
        <v>0</v>
      </c>
      <c r="T12" s="229">
        <v>7</v>
      </c>
      <c r="U12" s="254">
        <f>15+3</f>
        <v>18</v>
      </c>
      <c r="V12" s="228">
        <v>0</v>
      </c>
      <c r="W12" s="231">
        <v>24</v>
      </c>
      <c r="X12" s="255">
        <v>0</v>
      </c>
      <c r="Y12" s="232">
        <f>SUM(Q12:X12)</f>
        <v>126</v>
      </c>
      <c r="Z12" s="242"/>
      <c r="AA12" s="241"/>
      <c r="AB12" s="241"/>
      <c r="AC12" s="241"/>
      <c r="AD12" s="241"/>
    </row>
    <row r="13" spans="1:30" ht="15.75">
      <c r="A13" s="249" t="s">
        <v>381</v>
      </c>
      <c r="B13" s="249">
        <v>2105</v>
      </c>
      <c r="C13" s="249" t="s">
        <v>34</v>
      </c>
      <c r="D13" s="249" t="s">
        <v>13</v>
      </c>
      <c r="E13" s="249" t="s">
        <v>145</v>
      </c>
      <c r="F13" s="151" t="s">
        <v>915</v>
      </c>
      <c r="G13" s="250" t="s">
        <v>15</v>
      </c>
      <c r="H13" s="251" t="s">
        <v>267</v>
      </c>
      <c r="I13" s="65" t="s">
        <v>916</v>
      </c>
      <c r="J13" t="str">
        <f>_xlfn.XLOOKUP(Tabla17[[#This Row],[PLACA]],Tabla18[Patente Bus],Tabla18[[Servicio ]])</f>
        <v>T807</v>
      </c>
      <c r="K13" t="str">
        <f>_xlfn.XLOOKUP(Tabla17[[#This Row],[Servicio]],Tabla19[CÓDIGO TS],Tabla19[TERMINAL])</f>
        <v>SANTA MARTA</v>
      </c>
      <c r="O13" s="383"/>
      <c r="P13" s="219" t="s">
        <v>876</v>
      </c>
      <c r="Q13" s="226">
        <v>60</v>
      </c>
      <c r="R13" s="227">
        <v>16</v>
      </c>
      <c r="S13" s="228">
        <v>0</v>
      </c>
      <c r="T13" s="229">
        <v>0</v>
      </c>
      <c r="U13" s="254">
        <v>16</v>
      </c>
      <c r="V13" s="228">
        <v>42</v>
      </c>
      <c r="W13" s="231">
        <v>0</v>
      </c>
      <c r="X13" s="255">
        <f>22-16</f>
        <v>6</v>
      </c>
      <c r="Y13" s="232">
        <f>SUM(Q13:X13)</f>
        <v>140</v>
      </c>
      <c r="Z13" s="241"/>
      <c r="AA13" s="241"/>
      <c r="AB13" s="241"/>
      <c r="AC13" s="241"/>
      <c r="AD13" s="241"/>
    </row>
    <row r="14" spans="1:30" ht="16.5" thickBot="1">
      <c r="A14" s="249" t="s">
        <v>382</v>
      </c>
      <c r="B14" s="249">
        <v>2106</v>
      </c>
      <c r="C14" s="249" t="s">
        <v>34</v>
      </c>
      <c r="D14" s="249" t="s">
        <v>13</v>
      </c>
      <c r="E14" s="249" t="s">
        <v>145</v>
      </c>
      <c r="F14" s="151" t="s">
        <v>915</v>
      </c>
      <c r="G14" s="250" t="s">
        <v>15</v>
      </c>
      <c r="H14" s="251" t="s">
        <v>267</v>
      </c>
      <c r="I14" s="65" t="s">
        <v>916</v>
      </c>
      <c r="J14" t="str">
        <f>_xlfn.XLOOKUP(Tabla17[[#This Row],[PLACA]],Tabla18[Patente Bus],Tabla18[[Servicio ]])</f>
        <v>T816</v>
      </c>
      <c r="K14" t="str">
        <f>_xlfn.XLOOKUP(Tabla17[[#This Row],[Servicio]],Tabla19[CÓDIGO TS],Tabla19[TERMINAL])</f>
        <v>SANTA MARTA</v>
      </c>
      <c r="O14" s="383"/>
      <c r="P14" s="219" t="s">
        <v>889</v>
      </c>
      <c r="Q14" s="226">
        <v>0</v>
      </c>
      <c r="R14" s="227">
        <v>0</v>
      </c>
      <c r="S14" s="228">
        <v>0</v>
      </c>
      <c r="T14" s="229">
        <v>19</v>
      </c>
      <c r="U14" s="230">
        <v>0</v>
      </c>
      <c r="V14" s="228">
        <v>0</v>
      </c>
      <c r="W14" s="231">
        <v>0</v>
      </c>
      <c r="X14" s="232">
        <v>9</v>
      </c>
      <c r="Y14" s="232">
        <f>SUM(Q14:X14)</f>
        <v>28</v>
      </c>
      <c r="Z14" s="241"/>
      <c r="AA14" s="241"/>
      <c r="AB14" s="241"/>
      <c r="AC14" s="241"/>
      <c r="AD14" s="241"/>
    </row>
    <row r="15" spans="1:30" ht="16.5" thickBot="1">
      <c r="A15" s="249" t="s">
        <v>383</v>
      </c>
      <c r="B15" s="249">
        <v>2107</v>
      </c>
      <c r="C15" s="249" t="s">
        <v>34</v>
      </c>
      <c r="D15" s="249" t="s">
        <v>13</v>
      </c>
      <c r="E15" s="249" t="s">
        <v>145</v>
      </c>
      <c r="F15" s="151" t="s">
        <v>915</v>
      </c>
      <c r="G15" s="250" t="s">
        <v>15</v>
      </c>
      <c r="H15" s="251" t="s">
        <v>267</v>
      </c>
      <c r="I15" s="65" t="s">
        <v>916</v>
      </c>
      <c r="J15" t="str">
        <f>_xlfn.XLOOKUP(Tabla17[[#This Row],[PLACA]],Tabla18[Patente Bus],Tabla18[[Servicio ]])</f>
        <v>T810</v>
      </c>
      <c r="K15" t="str">
        <f>_xlfn.XLOOKUP(Tabla17[[#This Row],[Servicio]],Tabla19[CÓDIGO TS],Tabla19[TERMINAL])</f>
        <v>SANTA MARTA</v>
      </c>
      <c r="O15" s="384" t="s">
        <v>871</v>
      </c>
      <c r="P15" s="385"/>
      <c r="Q15" s="233">
        <f t="shared" ref="Q15:X15" si="1">SUM(Q11:Q14)</f>
        <v>127</v>
      </c>
      <c r="R15" s="234">
        <f t="shared" si="1"/>
        <v>37</v>
      </c>
      <c r="S15" s="235">
        <f t="shared" si="1"/>
        <v>0</v>
      </c>
      <c r="T15" s="236">
        <f t="shared" si="1"/>
        <v>45</v>
      </c>
      <c r="U15" s="237">
        <f t="shared" si="1"/>
        <v>34</v>
      </c>
      <c r="V15" s="235">
        <f t="shared" si="1"/>
        <v>42</v>
      </c>
      <c r="W15" s="238">
        <f t="shared" si="1"/>
        <v>24</v>
      </c>
      <c r="X15" s="239">
        <f t="shared" si="1"/>
        <v>38</v>
      </c>
      <c r="Y15" s="240">
        <f>SUM(Q15:X15)</f>
        <v>347</v>
      </c>
      <c r="Z15" s="241"/>
      <c r="AA15" s="241"/>
      <c r="AB15" s="241"/>
      <c r="AC15" s="241"/>
      <c r="AD15" s="241"/>
    </row>
    <row r="16" spans="1:30" ht="15.75">
      <c r="A16" s="249" t="s">
        <v>384</v>
      </c>
      <c r="B16" s="249">
        <v>2108</v>
      </c>
      <c r="C16" s="249" t="s">
        <v>34</v>
      </c>
      <c r="D16" s="249" t="s">
        <v>13</v>
      </c>
      <c r="E16" s="249" t="s">
        <v>145</v>
      </c>
      <c r="F16" s="151" t="s">
        <v>915</v>
      </c>
      <c r="G16" s="250" t="s">
        <v>15</v>
      </c>
      <c r="H16" s="251" t="s">
        <v>267</v>
      </c>
      <c r="I16" s="65" t="s">
        <v>916</v>
      </c>
      <c r="J16" t="str">
        <f>_xlfn.XLOOKUP(Tabla17[[#This Row],[PLACA]],Tabla18[Patente Bus],Tabla18[[Servicio ]])</f>
        <v>T810</v>
      </c>
      <c r="K16" t="str">
        <f>_xlfn.XLOOKUP(Tabla17[[#This Row],[Servicio]],Tabla19[CÓDIGO TS],Tabla19[TERMINAL])</f>
        <v>SANTA MARTA</v>
      </c>
      <c r="O16" s="241"/>
      <c r="P16" s="241"/>
      <c r="Q16" s="241"/>
      <c r="R16" s="241"/>
      <c r="S16" s="241"/>
      <c r="T16" s="241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</row>
    <row r="17" spans="1:30" ht="15.75">
      <c r="A17" s="249" t="s">
        <v>385</v>
      </c>
      <c r="B17" s="249">
        <v>2109</v>
      </c>
      <c r="C17" s="249" t="s">
        <v>34</v>
      </c>
      <c r="D17" s="249" t="s">
        <v>13</v>
      </c>
      <c r="E17" s="249" t="s">
        <v>145</v>
      </c>
      <c r="F17" s="151" t="s">
        <v>915</v>
      </c>
      <c r="G17" s="250" t="s">
        <v>15</v>
      </c>
      <c r="H17" s="251" t="s">
        <v>267</v>
      </c>
      <c r="I17" s="65" t="s">
        <v>916</v>
      </c>
      <c r="J17" t="e">
        <f>_xlfn.XLOOKUP(Tabla17[[#This Row],[PLACA]],Tabla18[Patente Bus],Tabla18[[Servicio ]])</f>
        <v>#N/A</v>
      </c>
      <c r="K17" t="e">
        <f>_xlfn.XLOOKUP(Tabla17[[#This Row],[Servicio]],Tabla19[CÓDIGO TS],Tabla19[TERMINAL])</f>
        <v>#N/A</v>
      </c>
      <c r="O17" s="241"/>
      <c r="P17" s="241"/>
      <c r="Q17" s="241"/>
      <c r="R17" s="241"/>
      <c r="S17" s="241"/>
      <c r="T17" s="241"/>
      <c r="U17" s="241"/>
      <c r="V17" s="241"/>
      <c r="W17" s="241"/>
      <c r="X17" s="241"/>
      <c r="Y17" s="241"/>
      <c r="Z17" s="241" t="s">
        <v>1</v>
      </c>
      <c r="AA17" s="241" t="s">
        <v>2</v>
      </c>
      <c r="AB17" s="241" t="s">
        <v>922</v>
      </c>
      <c r="AC17" s="241" t="s">
        <v>923</v>
      </c>
      <c r="AD17" s="241"/>
    </row>
    <row r="18" spans="1:30" ht="15.75">
      <c r="A18" s="249" t="s">
        <v>386</v>
      </c>
      <c r="B18" s="249">
        <v>2110</v>
      </c>
      <c r="C18" s="249" t="s">
        <v>34</v>
      </c>
      <c r="D18" s="249" t="s">
        <v>13</v>
      </c>
      <c r="E18" s="249" t="s">
        <v>145</v>
      </c>
      <c r="F18" s="151" t="s">
        <v>915</v>
      </c>
      <c r="G18" s="250" t="s">
        <v>15</v>
      </c>
      <c r="H18" s="251" t="s">
        <v>267</v>
      </c>
      <c r="I18" s="65" t="s">
        <v>916</v>
      </c>
      <c r="J18" t="str">
        <f>_xlfn.XLOOKUP(Tabla17[[#This Row],[PLACA]],Tabla18[Patente Bus],Tabla18[[Servicio ]])</f>
        <v>T816</v>
      </c>
      <c r="K18" t="str">
        <f>_xlfn.XLOOKUP(Tabla17[[#This Row],[Servicio]],Tabla19[CÓDIGO TS],Tabla19[TERMINAL])</f>
        <v>SANTA MARTA</v>
      </c>
      <c r="O18" t="s">
        <v>924</v>
      </c>
      <c r="P18" t="s">
        <v>925</v>
      </c>
      <c r="Q18" t="s">
        <v>926</v>
      </c>
      <c r="R18" t="s">
        <v>927</v>
      </c>
      <c r="S18" t="s">
        <v>928</v>
      </c>
      <c r="T18" s="241"/>
      <c r="U18" s="241"/>
      <c r="V18" s="265" t="s">
        <v>901</v>
      </c>
      <c r="W18" s="265" t="s">
        <v>929</v>
      </c>
      <c r="X18" s="265" t="s">
        <v>930</v>
      </c>
      <c r="Y18" s="241"/>
      <c r="Z18" s="59" t="s">
        <v>62</v>
      </c>
      <c r="AA18" s="59">
        <v>2042</v>
      </c>
      <c r="AB18" s="59" t="s">
        <v>36</v>
      </c>
      <c r="AC18" s="59" t="s">
        <v>15</v>
      </c>
      <c r="AD18" s="241"/>
    </row>
    <row r="19" spans="1:30" ht="15.75">
      <c r="A19" s="249" t="s">
        <v>400</v>
      </c>
      <c r="B19" s="249">
        <v>2112</v>
      </c>
      <c r="C19" s="249" t="s">
        <v>34</v>
      </c>
      <c r="D19" s="249" t="s">
        <v>13</v>
      </c>
      <c r="E19" s="249" t="s">
        <v>145</v>
      </c>
      <c r="F19" s="151" t="s">
        <v>405</v>
      </c>
      <c r="G19" s="250" t="s">
        <v>15</v>
      </c>
      <c r="H19" s="251" t="s">
        <v>931</v>
      </c>
      <c r="I19" s="65" t="s">
        <v>916</v>
      </c>
      <c r="J19" t="e">
        <f>_xlfn.XLOOKUP(Tabla17[[#This Row],[PLACA]],Tabla18[Patente Bus],Tabla18[[Servicio ]])</f>
        <v>#N/A</v>
      </c>
      <c r="K19" t="e">
        <f>_xlfn.XLOOKUP(Tabla17[[#This Row],[Servicio]],Tabla19[CÓDIGO TS],Tabla19[TERMINAL])</f>
        <v>#N/A</v>
      </c>
      <c r="O19" t="s">
        <v>932</v>
      </c>
      <c r="P19" t="s">
        <v>389</v>
      </c>
      <c r="Q19" t="s">
        <v>933</v>
      </c>
      <c r="R19">
        <v>14.08</v>
      </c>
      <c r="S19">
        <v>20.32</v>
      </c>
      <c r="T19" s="241"/>
      <c r="U19" s="241"/>
      <c r="V19" s="258" t="s">
        <v>15</v>
      </c>
      <c r="W19" s="259" t="s">
        <v>934</v>
      </c>
      <c r="X19" s="260" t="s">
        <v>935</v>
      </c>
      <c r="Y19" s="241"/>
      <c r="Z19" s="59" t="s">
        <v>63</v>
      </c>
      <c r="AA19" s="59">
        <v>2043</v>
      </c>
      <c r="AB19" s="59" t="s">
        <v>36</v>
      </c>
      <c r="AC19" s="59" t="s">
        <v>15</v>
      </c>
      <c r="AD19" s="241"/>
    </row>
    <row r="20" spans="1:30" ht="15.75">
      <c r="A20" s="249" t="s">
        <v>387</v>
      </c>
      <c r="B20" s="249">
        <v>2113</v>
      </c>
      <c r="C20" s="249" t="s">
        <v>34</v>
      </c>
      <c r="D20" s="249" t="s">
        <v>25</v>
      </c>
      <c r="E20" s="249" t="s">
        <v>145</v>
      </c>
      <c r="F20" s="151" t="s">
        <v>915</v>
      </c>
      <c r="G20" s="250" t="s">
        <v>15</v>
      </c>
      <c r="H20" s="251" t="s">
        <v>267</v>
      </c>
      <c r="I20" s="65" t="s">
        <v>916</v>
      </c>
      <c r="J20" t="str">
        <f>_xlfn.XLOOKUP(Tabla17[[#This Row],[PLACA]],Tabla18[Patente Bus],Tabla18[[Servicio ]])</f>
        <v>T807</v>
      </c>
      <c r="K20" t="str">
        <f>_xlfn.XLOOKUP(Tabla17[[#This Row],[Servicio]],Tabla19[CÓDIGO TS],Tabla19[TERMINAL])</f>
        <v>SANTA MARTA</v>
      </c>
      <c r="O20" t="s">
        <v>936</v>
      </c>
      <c r="P20" t="s">
        <v>390</v>
      </c>
      <c r="Q20" t="s">
        <v>933</v>
      </c>
      <c r="R20">
        <v>25.63</v>
      </c>
      <c r="S20">
        <v>33.36</v>
      </c>
      <c r="T20" s="241"/>
      <c r="U20" s="241"/>
      <c r="V20" s="258" t="s">
        <v>15</v>
      </c>
      <c r="W20" s="259" t="s">
        <v>937</v>
      </c>
      <c r="X20" s="260" t="s">
        <v>938</v>
      </c>
      <c r="Y20" s="241"/>
      <c r="Z20" s="59" t="s">
        <v>65</v>
      </c>
      <c r="AA20" s="59">
        <v>2044</v>
      </c>
      <c r="AB20" s="59" t="s">
        <v>36</v>
      </c>
      <c r="AC20" s="59" t="s">
        <v>15</v>
      </c>
      <c r="AD20" s="241"/>
    </row>
    <row r="21" spans="1:30">
      <c r="A21" s="249" t="s">
        <v>62</v>
      </c>
      <c r="B21" s="249">
        <v>2042</v>
      </c>
      <c r="C21" s="249" t="s">
        <v>34</v>
      </c>
      <c r="D21" s="249" t="s">
        <v>13</v>
      </c>
      <c r="E21" s="249" t="s">
        <v>36</v>
      </c>
      <c r="F21" s="151" t="s">
        <v>915</v>
      </c>
      <c r="G21" s="250" t="s">
        <v>130</v>
      </c>
      <c r="H21" s="251" t="s">
        <v>15</v>
      </c>
      <c r="I21" s="65" t="s">
        <v>916</v>
      </c>
      <c r="J21" t="str">
        <f>_xlfn.XLOOKUP(Tabla17[[#This Row],[PLACA]],Tabla18[Patente Bus],Tabla18[[Servicio ]])</f>
        <v>T830 E3</v>
      </c>
      <c r="K21" t="e">
        <f>_xlfn.XLOOKUP(Tabla17[[#This Row],[Servicio]],Tabla19[CÓDIGO TS],Tabla19[TERMINAL])</f>
        <v>#N/A</v>
      </c>
      <c r="O21" t="s">
        <v>939</v>
      </c>
      <c r="P21" t="s">
        <v>391</v>
      </c>
      <c r="Q21" t="s">
        <v>933</v>
      </c>
      <c r="R21">
        <v>22</v>
      </c>
      <c r="S21">
        <v>161.69</v>
      </c>
      <c r="V21" s="258" t="s">
        <v>15</v>
      </c>
      <c r="W21" s="259" t="s">
        <v>940</v>
      </c>
      <c r="X21" s="260" t="s">
        <v>941</v>
      </c>
      <c r="Z21" s="59" t="s">
        <v>66</v>
      </c>
      <c r="AA21" s="59">
        <v>2045</v>
      </c>
      <c r="AB21" s="59" t="s">
        <v>36</v>
      </c>
      <c r="AC21" s="59" t="s">
        <v>15</v>
      </c>
    </row>
    <row r="22" spans="1:30">
      <c r="A22" s="249" t="s">
        <v>63</v>
      </c>
      <c r="B22" s="249">
        <v>2043</v>
      </c>
      <c r="C22" s="249" t="s">
        <v>34</v>
      </c>
      <c r="D22" s="249" t="s">
        <v>13</v>
      </c>
      <c r="E22" s="249" t="s">
        <v>36</v>
      </c>
      <c r="F22" s="151" t="s">
        <v>915</v>
      </c>
      <c r="G22" s="250" t="s">
        <v>130</v>
      </c>
      <c r="H22" s="251" t="s">
        <v>15</v>
      </c>
      <c r="I22" s="65" t="s">
        <v>916</v>
      </c>
      <c r="J22" t="str">
        <f>_xlfn.XLOOKUP(Tabla17[[#This Row],[PLACA]],Tabla18[Patente Bus],Tabla18[[Servicio ]])</f>
        <v>T803</v>
      </c>
      <c r="K22" t="str">
        <f>_xlfn.XLOOKUP(Tabla17[[#This Row],[Servicio]],Tabla19[CÓDIGO TS],Tabla19[TERMINAL])</f>
        <v>EL RETIRO</v>
      </c>
      <c r="O22" t="s">
        <v>942</v>
      </c>
      <c r="P22" t="s">
        <v>255</v>
      </c>
      <c r="Q22" t="s">
        <v>933</v>
      </c>
      <c r="R22">
        <v>73.260000000000005</v>
      </c>
      <c r="S22">
        <v>107.64</v>
      </c>
      <c r="V22" s="258" t="s">
        <v>15</v>
      </c>
      <c r="W22" s="259">
        <v>105</v>
      </c>
      <c r="X22" s="260" t="s">
        <v>943</v>
      </c>
      <c r="Z22" s="59" t="s">
        <v>67</v>
      </c>
      <c r="AA22" s="59">
        <v>2047</v>
      </c>
      <c r="AB22" s="59" t="s">
        <v>36</v>
      </c>
      <c r="AC22" s="59" t="s">
        <v>15</v>
      </c>
    </row>
    <row r="23" spans="1:30">
      <c r="A23" s="249" t="s">
        <v>65</v>
      </c>
      <c r="B23" s="249">
        <v>2044</v>
      </c>
      <c r="C23" s="249" t="s">
        <v>34</v>
      </c>
      <c r="D23" s="249" t="s">
        <v>13</v>
      </c>
      <c r="E23" s="249" t="s">
        <v>36</v>
      </c>
      <c r="F23" s="151" t="s">
        <v>915</v>
      </c>
      <c r="G23" s="250" t="s">
        <v>267</v>
      </c>
      <c r="H23" s="251" t="s">
        <v>15</v>
      </c>
      <c r="I23" s="65" t="s">
        <v>916</v>
      </c>
      <c r="J23" t="str">
        <f>_xlfn.XLOOKUP(Tabla17[[#This Row],[PLACA]],Tabla18[Patente Bus],Tabla18[[Servicio ]])</f>
        <v>T803</v>
      </c>
      <c r="K23" t="str">
        <f>_xlfn.XLOOKUP(Tabla17[[#This Row],[Servicio]],Tabla19[CÓDIGO TS],Tabla19[TERMINAL])</f>
        <v>EL RETIRO</v>
      </c>
      <c r="O23" t="s">
        <v>944</v>
      </c>
      <c r="P23" t="s">
        <v>132</v>
      </c>
      <c r="Q23" t="s">
        <v>933</v>
      </c>
      <c r="R23">
        <v>20.51</v>
      </c>
      <c r="S23">
        <v>26.47</v>
      </c>
      <c r="V23" s="261" t="s">
        <v>89</v>
      </c>
      <c r="W23" s="259">
        <v>105</v>
      </c>
      <c r="X23" s="260" t="s">
        <v>943</v>
      </c>
      <c r="Z23" s="59" t="s">
        <v>68</v>
      </c>
      <c r="AA23" s="59">
        <v>2048</v>
      </c>
      <c r="AB23" s="59" t="s">
        <v>36</v>
      </c>
      <c r="AC23" s="59" t="s">
        <v>15</v>
      </c>
    </row>
    <row r="24" spans="1:30">
      <c r="A24" s="249" t="s">
        <v>66</v>
      </c>
      <c r="B24" s="249">
        <v>2045</v>
      </c>
      <c r="C24" s="249" t="s">
        <v>34</v>
      </c>
      <c r="D24" s="249" t="s">
        <v>13</v>
      </c>
      <c r="E24" s="249" t="s">
        <v>36</v>
      </c>
      <c r="F24" s="151" t="s">
        <v>915</v>
      </c>
      <c r="G24" s="250" t="s">
        <v>267</v>
      </c>
      <c r="H24" s="251" t="s">
        <v>15</v>
      </c>
      <c r="I24" s="65" t="s">
        <v>916</v>
      </c>
      <c r="J24" t="str">
        <f>_xlfn.XLOOKUP(Tabla17[[#This Row],[PLACA]],Tabla18[Patente Bus],Tabla18[[Servicio ]])</f>
        <v>T803</v>
      </c>
      <c r="K24" t="str">
        <f>_xlfn.XLOOKUP(Tabla17[[#This Row],[Servicio]],Tabla19[CÓDIGO TS],Tabla19[TERMINAL])</f>
        <v>EL RETIRO</v>
      </c>
      <c r="O24" t="s">
        <v>945</v>
      </c>
      <c r="P24" t="s">
        <v>143</v>
      </c>
      <c r="Q24" t="s">
        <v>933</v>
      </c>
      <c r="R24">
        <v>18.489999999999998</v>
      </c>
      <c r="S24">
        <v>276.81</v>
      </c>
      <c r="V24" s="261" t="s">
        <v>89</v>
      </c>
      <c r="W24" s="259" t="s">
        <v>946</v>
      </c>
      <c r="X24" s="260" t="s">
        <v>947</v>
      </c>
      <c r="Z24" s="59" t="s">
        <v>69</v>
      </c>
      <c r="AA24" s="59">
        <v>2049</v>
      </c>
      <c r="AB24" s="59" t="s">
        <v>36</v>
      </c>
      <c r="AC24" s="59" t="s">
        <v>15</v>
      </c>
    </row>
    <row r="25" spans="1:30">
      <c r="A25" s="249" t="s">
        <v>67</v>
      </c>
      <c r="B25" s="249">
        <v>2047</v>
      </c>
      <c r="C25" s="249" t="s">
        <v>34</v>
      </c>
      <c r="D25" s="249" t="s">
        <v>13</v>
      </c>
      <c r="E25" s="249" t="s">
        <v>36</v>
      </c>
      <c r="F25" s="151" t="s">
        <v>915</v>
      </c>
      <c r="G25" s="250" t="s">
        <v>267</v>
      </c>
      <c r="H25" s="251" t="s">
        <v>15</v>
      </c>
      <c r="I25" s="65" t="s">
        <v>916</v>
      </c>
      <c r="J25" t="str">
        <f>_xlfn.XLOOKUP(Tabla17[[#This Row],[PLACA]],Tabla18[Patente Bus],Tabla18[[Servicio ]])</f>
        <v>T803</v>
      </c>
      <c r="K25" t="str">
        <f>_xlfn.XLOOKUP(Tabla17[[#This Row],[Servicio]],Tabla19[CÓDIGO TS],Tabla19[TERMINAL])</f>
        <v>EL RETIRO</v>
      </c>
      <c r="O25" t="s">
        <v>948</v>
      </c>
      <c r="P25" t="s">
        <v>141</v>
      </c>
      <c r="Q25" t="s">
        <v>933</v>
      </c>
      <c r="R25">
        <v>45.5</v>
      </c>
      <c r="S25">
        <v>270.92</v>
      </c>
      <c r="V25" s="261" t="s">
        <v>130</v>
      </c>
      <c r="W25" s="259" t="s">
        <v>949</v>
      </c>
      <c r="X25" s="260" t="s">
        <v>950</v>
      </c>
      <c r="Z25" s="59" t="s">
        <v>70</v>
      </c>
      <c r="AA25" s="59">
        <v>2050</v>
      </c>
      <c r="AB25" s="59" t="s">
        <v>36</v>
      </c>
      <c r="AC25" s="59" t="s">
        <v>15</v>
      </c>
    </row>
    <row r="26" spans="1:30">
      <c r="A26" s="249" t="s">
        <v>68</v>
      </c>
      <c r="B26" s="249">
        <v>2048</v>
      </c>
      <c r="C26" s="249" t="s">
        <v>34</v>
      </c>
      <c r="D26" s="249" t="s">
        <v>13</v>
      </c>
      <c r="E26" s="249" t="s">
        <v>36</v>
      </c>
      <c r="F26" s="151" t="s">
        <v>915</v>
      </c>
      <c r="G26" s="250" t="s">
        <v>267</v>
      </c>
      <c r="H26" s="251" t="s">
        <v>15</v>
      </c>
      <c r="I26" s="65" t="s">
        <v>916</v>
      </c>
      <c r="J26" t="str">
        <f>_xlfn.XLOOKUP(Tabla17[[#This Row],[PLACA]],Tabla18[Patente Bus],Tabla18[[Servicio ]])</f>
        <v>T803</v>
      </c>
      <c r="K26" t="str">
        <f>_xlfn.XLOOKUP(Tabla17[[#This Row],[Servicio]],Tabla19[CÓDIGO TS],Tabla19[TERMINAL])</f>
        <v>EL RETIRO</v>
      </c>
      <c r="O26" t="s">
        <v>951</v>
      </c>
      <c r="P26" t="s">
        <v>140</v>
      </c>
      <c r="Q26" t="s">
        <v>933</v>
      </c>
      <c r="R26">
        <v>25.53</v>
      </c>
      <c r="S26">
        <v>150.63</v>
      </c>
      <c r="V26" s="261" t="s">
        <v>130</v>
      </c>
      <c r="W26" s="259">
        <v>120</v>
      </c>
      <c r="X26" s="260" t="s">
        <v>952</v>
      </c>
      <c r="Z26" s="59" t="s">
        <v>71</v>
      </c>
      <c r="AA26" s="59">
        <v>2051</v>
      </c>
      <c r="AB26" s="59" t="s">
        <v>36</v>
      </c>
      <c r="AC26" s="59" t="s">
        <v>15</v>
      </c>
    </row>
    <row r="27" spans="1:30">
      <c r="A27" s="249" t="s">
        <v>69</v>
      </c>
      <c r="B27" s="249">
        <v>2049</v>
      </c>
      <c r="C27" s="249" t="s">
        <v>34</v>
      </c>
      <c r="D27" s="249" t="s">
        <v>13</v>
      </c>
      <c r="E27" s="249" t="s">
        <v>36</v>
      </c>
      <c r="F27" s="151" t="s">
        <v>915</v>
      </c>
      <c r="G27" s="250" t="s">
        <v>267</v>
      </c>
      <c r="H27" s="251" t="s">
        <v>15</v>
      </c>
      <c r="I27" s="65" t="s">
        <v>916</v>
      </c>
      <c r="J27" t="str">
        <f>_xlfn.XLOOKUP(Tabla17[[#This Row],[PLACA]],Tabla18[Patente Bus],Tabla18[[Servicio ]])</f>
        <v>T803</v>
      </c>
      <c r="K27" t="str">
        <f>_xlfn.XLOOKUP(Tabla17[[#This Row],[Servicio]],Tabla19[CÓDIGO TS],Tabla19[TERMINAL])</f>
        <v>EL RETIRO</v>
      </c>
      <c r="O27" t="s">
        <v>953</v>
      </c>
      <c r="P27" t="s">
        <v>134</v>
      </c>
      <c r="Q27" t="s">
        <v>933</v>
      </c>
      <c r="R27">
        <v>45.1</v>
      </c>
      <c r="S27">
        <v>213.02999999999901</v>
      </c>
      <c r="V27" s="261" t="s">
        <v>130</v>
      </c>
      <c r="W27" s="259">
        <v>410</v>
      </c>
      <c r="X27" s="260" t="s">
        <v>954</v>
      </c>
      <c r="Z27" s="59" t="s">
        <v>72</v>
      </c>
      <c r="AA27" s="59">
        <v>2052</v>
      </c>
      <c r="AB27" s="59" t="s">
        <v>36</v>
      </c>
      <c r="AC27" s="59" t="s">
        <v>15</v>
      </c>
    </row>
    <row r="28" spans="1:30">
      <c r="A28" s="249" t="s">
        <v>70</v>
      </c>
      <c r="B28" s="249">
        <v>2050</v>
      </c>
      <c r="C28" s="249" t="s">
        <v>34</v>
      </c>
      <c r="D28" s="249" t="s">
        <v>13</v>
      </c>
      <c r="E28" s="249" t="s">
        <v>36</v>
      </c>
      <c r="F28" s="151" t="s">
        <v>915</v>
      </c>
      <c r="G28" s="250" t="s">
        <v>267</v>
      </c>
      <c r="H28" s="251" t="s">
        <v>15</v>
      </c>
      <c r="I28" s="65" t="s">
        <v>916</v>
      </c>
      <c r="J28" t="str">
        <f>_xlfn.XLOOKUP(Tabla17[[#This Row],[PLACA]],Tabla18[Patente Bus],Tabla18[[Servicio ]])</f>
        <v>T803</v>
      </c>
      <c r="K28" t="str">
        <f>_xlfn.XLOOKUP(Tabla17[[#This Row],[Servicio]],Tabla19[CÓDIGO TS],Tabla19[TERMINAL])</f>
        <v>EL RETIRO</v>
      </c>
      <c r="O28" t="s">
        <v>955</v>
      </c>
      <c r="P28" t="s">
        <v>158</v>
      </c>
      <c r="Q28" t="s">
        <v>933</v>
      </c>
      <c r="R28">
        <v>99.04</v>
      </c>
      <c r="S28">
        <v>204.18</v>
      </c>
      <c r="V28" s="261" t="s">
        <v>130</v>
      </c>
      <c r="W28" s="259" t="s">
        <v>956</v>
      </c>
      <c r="X28" s="260" t="s">
        <v>957</v>
      </c>
      <c r="Z28" s="59" t="s">
        <v>73</v>
      </c>
      <c r="AA28" s="59">
        <v>2053</v>
      </c>
      <c r="AB28" s="59" t="s">
        <v>36</v>
      </c>
      <c r="AC28" s="59" t="s">
        <v>15</v>
      </c>
    </row>
    <row r="29" spans="1:30">
      <c r="A29" s="249" t="s">
        <v>71</v>
      </c>
      <c r="B29" s="249">
        <v>2051</v>
      </c>
      <c r="C29" s="249" t="s">
        <v>34</v>
      </c>
      <c r="D29" s="249" t="s">
        <v>13</v>
      </c>
      <c r="E29" s="249" t="s">
        <v>36</v>
      </c>
      <c r="F29" s="151" t="s">
        <v>915</v>
      </c>
      <c r="G29" s="250" t="s">
        <v>267</v>
      </c>
      <c r="H29" s="251" t="s">
        <v>15</v>
      </c>
      <c r="I29" s="65" t="s">
        <v>916</v>
      </c>
      <c r="J29" t="str">
        <f>_xlfn.XLOOKUP(Tabla17[[#This Row],[PLACA]],Tabla18[Patente Bus],Tabla18[[Servicio ]])</f>
        <v>T803</v>
      </c>
      <c r="K29" t="str">
        <f>_xlfn.XLOOKUP(Tabla17[[#This Row],[Servicio]],Tabla19[CÓDIGO TS],Tabla19[TERMINAL])</f>
        <v>EL RETIRO</v>
      </c>
      <c r="O29" t="s">
        <v>958</v>
      </c>
      <c r="P29" t="s">
        <v>161</v>
      </c>
      <c r="Q29" t="s">
        <v>933</v>
      </c>
      <c r="R29">
        <v>56.77</v>
      </c>
      <c r="S29">
        <v>190.62</v>
      </c>
      <c r="V29" s="261" t="s">
        <v>130</v>
      </c>
      <c r="W29" s="259" t="s">
        <v>959</v>
      </c>
      <c r="X29" s="260" t="s">
        <v>960</v>
      </c>
      <c r="Z29" s="59" t="s">
        <v>74</v>
      </c>
      <c r="AA29" s="59">
        <v>2054</v>
      </c>
      <c r="AB29" s="59" t="s">
        <v>36</v>
      </c>
      <c r="AC29" s="59" t="s">
        <v>15</v>
      </c>
    </row>
    <row r="30" spans="1:30">
      <c r="A30" s="249" t="s">
        <v>72</v>
      </c>
      <c r="B30" s="249">
        <v>2052</v>
      </c>
      <c r="C30" s="249" t="s">
        <v>34</v>
      </c>
      <c r="D30" s="249" t="s">
        <v>13</v>
      </c>
      <c r="E30" s="249" t="s">
        <v>36</v>
      </c>
      <c r="F30" s="151" t="s">
        <v>915</v>
      </c>
      <c r="G30" s="250" t="s">
        <v>267</v>
      </c>
      <c r="H30" s="251" t="s">
        <v>15</v>
      </c>
      <c r="I30" s="65" t="s">
        <v>916</v>
      </c>
      <c r="J30" t="str">
        <f>_xlfn.XLOOKUP(Tabla17[[#This Row],[PLACA]],Tabla18[Patente Bus],Tabla18[[Servicio ]])</f>
        <v>T803</v>
      </c>
      <c r="K30" t="str">
        <f>_xlfn.XLOOKUP(Tabla17[[#This Row],[Servicio]],Tabla19[CÓDIGO TS],Tabla19[TERMINAL])</f>
        <v>EL RETIRO</v>
      </c>
      <c r="O30" t="s">
        <v>961</v>
      </c>
      <c r="P30" t="s">
        <v>166</v>
      </c>
      <c r="Q30" t="s">
        <v>933</v>
      </c>
      <c r="R30">
        <v>193.56</v>
      </c>
      <c r="S30">
        <v>218.59</v>
      </c>
      <c r="V30" s="261" t="s">
        <v>130</v>
      </c>
      <c r="W30" s="259" t="s">
        <v>962</v>
      </c>
      <c r="X30" s="260" t="s">
        <v>963</v>
      </c>
      <c r="Z30" s="59" t="s">
        <v>64</v>
      </c>
      <c r="AA30" s="59">
        <v>2056</v>
      </c>
      <c r="AB30" s="59" t="s">
        <v>36</v>
      </c>
      <c r="AC30" s="59" t="s">
        <v>15</v>
      </c>
    </row>
    <row r="31" spans="1:30">
      <c r="A31" s="249" t="s">
        <v>73</v>
      </c>
      <c r="B31" s="249">
        <v>2053</v>
      </c>
      <c r="C31" s="249" t="s">
        <v>34</v>
      </c>
      <c r="D31" s="249" t="s">
        <v>13</v>
      </c>
      <c r="E31" s="249" t="s">
        <v>36</v>
      </c>
      <c r="F31" s="151" t="s">
        <v>915</v>
      </c>
      <c r="G31" s="250" t="s">
        <v>267</v>
      </c>
      <c r="H31" s="251" t="s">
        <v>15</v>
      </c>
      <c r="I31" s="65" t="s">
        <v>916</v>
      </c>
      <c r="J31" t="str">
        <f>_xlfn.XLOOKUP(Tabla17[[#This Row],[PLACA]],Tabla18[Patente Bus],Tabla18[[Servicio ]])</f>
        <v>T805</v>
      </c>
      <c r="K31" t="str">
        <f>_xlfn.XLOOKUP(Tabla17[[#This Row],[Servicio]],Tabla19[CÓDIGO TS],Tabla19[TERMINAL])</f>
        <v>EL RETIRO</v>
      </c>
      <c r="O31" t="s">
        <v>964</v>
      </c>
      <c r="P31" t="s">
        <v>168</v>
      </c>
      <c r="Q31" t="s">
        <v>933</v>
      </c>
      <c r="R31">
        <v>96.46</v>
      </c>
      <c r="S31">
        <v>172.26</v>
      </c>
      <c r="V31" s="261" t="s">
        <v>130</v>
      </c>
      <c r="W31" s="259" t="s">
        <v>965</v>
      </c>
      <c r="X31" s="260" t="s">
        <v>966</v>
      </c>
      <c r="Z31" s="59" t="s">
        <v>77</v>
      </c>
      <c r="AA31" s="59">
        <v>2069</v>
      </c>
      <c r="AB31" s="59" t="s">
        <v>36</v>
      </c>
      <c r="AC31" s="59" t="s">
        <v>15</v>
      </c>
    </row>
    <row r="32" spans="1:30">
      <c r="A32" s="249" t="s">
        <v>74</v>
      </c>
      <c r="B32" s="249">
        <v>2054</v>
      </c>
      <c r="C32" s="249" t="s">
        <v>34</v>
      </c>
      <c r="D32" s="249" t="s">
        <v>13</v>
      </c>
      <c r="E32" s="249" t="s">
        <v>36</v>
      </c>
      <c r="F32" s="151" t="s">
        <v>915</v>
      </c>
      <c r="G32" s="250" t="s">
        <v>267</v>
      </c>
      <c r="H32" s="251" t="s">
        <v>15</v>
      </c>
      <c r="I32" s="65" t="s">
        <v>916</v>
      </c>
      <c r="J32" t="str">
        <f>_xlfn.XLOOKUP(Tabla17[[#This Row],[PLACA]],Tabla18[Patente Bus],Tabla18[[Servicio ]])</f>
        <v>T803</v>
      </c>
      <c r="K32" t="str">
        <f>_xlfn.XLOOKUP(Tabla17[[#This Row],[Servicio]],Tabla19[CÓDIGO TS],Tabla19[TERMINAL])</f>
        <v>EL RETIRO</v>
      </c>
      <c r="O32" t="s">
        <v>967</v>
      </c>
      <c r="P32" t="s">
        <v>170</v>
      </c>
      <c r="Q32" t="s">
        <v>933</v>
      </c>
      <c r="R32">
        <v>25.66</v>
      </c>
      <c r="S32">
        <v>211.53</v>
      </c>
      <c r="V32" s="261" t="s">
        <v>130</v>
      </c>
      <c r="W32" s="259" t="s">
        <v>968</v>
      </c>
      <c r="X32" s="260" t="s">
        <v>933</v>
      </c>
      <c r="Z32" s="59" t="s">
        <v>80</v>
      </c>
      <c r="AA32" s="59">
        <v>2072</v>
      </c>
      <c r="AB32" s="59" t="s">
        <v>36</v>
      </c>
      <c r="AC32" s="59" t="s">
        <v>15</v>
      </c>
    </row>
    <row r="33" spans="1:29">
      <c r="A33" s="249" t="s">
        <v>64</v>
      </c>
      <c r="B33" s="249">
        <v>2056</v>
      </c>
      <c r="C33" s="249" t="s">
        <v>34</v>
      </c>
      <c r="D33" s="249" t="s">
        <v>13</v>
      </c>
      <c r="E33" s="249" t="s">
        <v>36</v>
      </c>
      <c r="F33" s="151" t="s">
        <v>915</v>
      </c>
      <c r="G33" s="250" t="s">
        <v>130</v>
      </c>
      <c r="H33" s="251" t="s">
        <v>15</v>
      </c>
      <c r="I33" s="65" t="s">
        <v>916</v>
      </c>
      <c r="J33" t="str">
        <f>_xlfn.XLOOKUP(Tabla17[[#This Row],[PLACA]],Tabla18[Patente Bus],Tabla18[[Servicio ]])</f>
        <v>T803</v>
      </c>
      <c r="K33" t="str">
        <f>_xlfn.XLOOKUP(Tabla17[[#This Row],[Servicio]],Tabla19[CÓDIGO TS],Tabla19[TERMINAL])</f>
        <v>EL RETIRO</v>
      </c>
      <c r="O33" t="s">
        <v>969</v>
      </c>
      <c r="P33" t="s">
        <v>172</v>
      </c>
      <c r="Q33" t="s">
        <v>933</v>
      </c>
      <c r="R33">
        <v>102.5</v>
      </c>
      <c r="S33">
        <v>191.24</v>
      </c>
      <c r="T33" t="s">
        <v>970</v>
      </c>
      <c r="V33" s="261" t="s">
        <v>130</v>
      </c>
      <c r="W33" s="259" t="s">
        <v>971</v>
      </c>
      <c r="X33" s="260" t="s">
        <v>972</v>
      </c>
      <c r="Z33" s="59" t="s">
        <v>79</v>
      </c>
      <c r="AA33" s="59">
        <v>2073</v>
      </c>
      <c r="AB33" s="59" t="s">
        <v>36</v>
      </c>
      <c r="AC33" s="59" t="s">
        <v>15</v>
      </c>
    </row>
    <row r="34" spans="1:29">
      <c r="A34" s="249" t="s">
        <v>75</v>
      </c>
      <c r="B34" s="249">
        <v>2058</v>
      </c>
      <c r="C34" s="249" t="s">
        <v>34</v>
      </c>
      <c r="D34" s="249" t="s">
        <v>13</v>
      </c>
      <c r="E34" s="249" t="s">
        <v>36</v>
      </c>
      <c r="F34" s="151" t="s">
        <v>915</v>
      </c>
      <c r="G34" s="250" t="s">
        <v>267</v>
      </c>
      <c r="H34" s="251" t="s">
        <v>15</v>
      </c>
      <c r="I34" s="65" t="s">
        <v>916</v>
      </c>
      <c r="J34" t="str">
        <f>_xlfn.XLOOKUP(Tabla17[[#This Row],[PLACA]],Tabla18[Patente Bus],Tabla18[[Servicio ]])</f>
        <v>T803</v>
      </c>
      <c r="K34" t="str">
        <f>_xlfn.XLOOKUP(Tabla17[[#This Row],[Servicio]],Tabla19[CÓDIGO TS],Tabla19[TERMINAL])</f>
        <v>EL RETIRO</v>
      </c>
      <c r="O34" t="s">
        <v>973</v>
      </c>
      <c r="P34" t="s">
        <v>176</v>
      </c>
      <c r="Q34" t="s">
        <v>933</v>
      </c>
      <c r="R34">
        <v>51.12</v>
      </c>
      <c r="S34">
        <v>171.9</v>
      </c>
      <c r="T34" s="191"/>
      <c r="U34" s="191"/>
      <c r="V34" s="261" t="s">
        <v>130</v>
      </c>
      <c r="W34" s="259" t="s">
        <v>974</v>
      </c>
      <c r="X34" s="260" t="s">
        <v>975</v>
      </c>
      <c r="Z34" s="59" t="s">
        <v>75</v>
      </c>
      <c r="AA34" s="59">
        <v>2058</v>
      </c>
      <c r="AB34" s="59" t="s">
        <v>36</v>
      </c>
      <c r="AC34" s="59" t="s">
        <v>15</v>
      </c>
    </row>
    <row r="35" spans="1:29">
      <c r="A35" s="249" t="s">
        <v>76</v>
      </c>
      <c r="B35" s="249">
        <v>2059</v>
      </c>
      <c r="C35" s="249" t="s">
        <v>34</v>
      </c>
      <c r="D35" s="249" t="s">
        <v>13</v>
      </c>
      <c r="E35" s="249" t="s">
        <v>36</v>
      </c>
      <c r="F35" s="151" t="s">
        <v>915</v>
      </c>
      <c r="G35" s="250" t="s">
        <v>267</v>
      </c>
      <c r="H35" s="251" t="s">
        <v>15</v>
      </c>
      <c r="I35" s="65" t="s">
        <v>916</v>
      </c>
      <c r="J35" t="str">
        <f>_xlfn.XLOOKUP(Tabla17[[#This Row],[PLACA]],Tabla18[Patente Bus],Tabla18[[Servicio ]])</f>
        <v>T803</v>
      </c>
      <c r="K35" t="str">
        <f>_xlfn.XLOOKUP(Tabla17[[#This Row],[Servicio]],Tabla19[CÓDIGO TS],Tabla19[TERMINAL])</f>
        <v>EL RETIRO</v>
      </c>
      <c r="O35" t="s">
        <v>976</v>
      </c>
      <c r="P35" t="s">
        <v>178</v>
      </c>
      <c r="Q35" t="s">
        <v>933</v>
      </c>
      <c r="R35">
        <v>77.010000000000005</v>
      </c>
      <c r="S35">
        <v>147.43</v>
      </c>
      <c r="T35" s="191"/>
      <c r="U35" s="191"/>
      <c r="V35" s="261" t="s">
        <v>89</v>
      </c>
      <c r="W35" s="259">
        <v>120</v>
      </c>
      <c r="X35" s="260" t="s">
        <v>952</v>
      </c>
      <c r="Z35" s="59" t="s">
        <v>76</v>
      </c>
      <c r="AA35" s="59">
        <v>2059</v>
      </c>
      <c r="AB35" s="59" t="s">
        <v>36</v>
      </c>
      <c r="AC35" s="59" t="s">
        <v>15</v>
      </c>
    </row>
    <row r="36" spans="1:29">
      <c r="A36" s="249" t="s">
        <v>78</v>
      </c>
      <c r="B36" s="249">
        <v>2060</v>
      </c>
      <c r="C36" s="249" t="s">
        <v>34</v>
      </c>
      <c r="D36" s="249" t="s">
        <v>13</v>
      </c>
      <c r="E36" s="249" t="s">
        <v>36</v>
      </c>
      <c r="F36" s="151" t="s">
        <v>915</v>
      </c>
      <c r="G36" s="250" t="s">
        <v>267</v>
      </c>
      <c r="H36" s="251" t="s">
        <v>977</v>
      </c>
      <c r="I36" s="65" t="s">
        <v>916</v>
      </c>
      <c r="J36" t="str">
        <f>_xlfn.XLOOKUP(Tabla17[[#This Row],[PLACA]],Tabla18[Patente Bus],Tabla18[[Servicio ]])</f>
        <v>T818</v>
      </c>
      <c r="K36" t="str">
        <f>_xlfn.XLOOKUP(Tabla17[[#This Row],[Servicio]],Tabla19[CÓDIGO TS],Tabla19[TERMINAL])</f>
        <v>SANTA MARTA</v>
      </c>
      <c r="O36" t="s">
        <v>978</v>
      </c>
      <c r="P36" t="s">
        <v>182</v>
      </c>
      <c r="Q36" t="s">
        <v>933</v>
      </c>
      <c r="R36">
        <v>47.21</v>
      </c>
      <c r="S36">
        <v>189.37</v>
      </c>
      <c r="T36" s="191"/>
      <c r="U36" s="191"/>
      <c r="V36" s="261" t="s">
        <v>979</v>
      </c>
      <c r="W36" s="259" t="s">
        <v>980</v>
      </c>
      <c r="X36" s="260" t="s">
        <v>981</v>
      </c>
    </row>
    <row r="37" spans="1:29">
      <c r="A37" s="249" t="s">
        <v>77</v>
      </c>
      <c r="B37" s="249">
        <v>2069</v>
      </c>
      <c r="C37" s="249" t="s">
        <v>34</v>
      </c>
      <c r="D37" s="249" t="s">
        <v>25</v>
      </c>
      <c r="E37" s="249" t="s">
        <v>36</v>
      </c>
      <c r="F37" s="151" t="s">
        <v>915</v>
      </c>
      <c r="G37" s="250" t="s">
        <v>267</v>
      </c>
      <c r="H37" s="251" t="s">
        <v>15</v>
      </c>
      <c r="I37" s="65" t="s">
        <v>916</v>
      </c>
      <c r="J37" t="str">
        <f>_xlfn.XLOOKUP(Tabla17[[#This Row],[PLACA]],Tabla18[Patente Bus],Tabla18[[Servicio ]])</f>
        <v>T803</v>
      </c>
      <c r="K37" t="str">
        <f>_xlfn.XLOOKUP(Tabla17[[#This Row],[Servicio]],Tabla19[CÓDIGO TS],Tabla19[TERMINAL])</f>
        <v>EL RETIRO</v>
      </c>
      <c r="O37" t="s">
        <v>982</v>
      </c>
      <c r="P37" t="s">
        <v>186</v>
      </c>
      <c r="Q37" t="s">
        <v>933</v>
      </c>
      <c r="R37">
        <v>128.11000000000001</v>
      </c>
      <c r="S37">
        <v>218.56</v>
      </c>
      <c r="T37" s="191"/>
      <c r="U37" s="191"/>
      <c r="V37" s="261" t="s">
        <v>979</v>
      </c>
      <c r="W37" s="259" t="s">
        <v>983</v>
      </c>
      <c r="X37" s="260" t="s">
        <v>984</v>
      </c>
    </row>
    <row r="38" spans="1:29">
      <c r="A38" s="249" t="s">
        <v>80</v>
      </c>
      <c r="B38" s="249">
        <v>2072</v>
      </c>
      <c r="C38" s="249" t="s">
        <v>34</v>
      </c>
      <c r="D38" s="249" t="s">
        <v>13</v>
      </c>
      <c r="E38" s="249" t="s">
        <v>36</v>
      </c>
      <c r="F38" s="151" t="s">
        <v>915</v>
      </c>
      <c r="G38" s="250" t="s">
        <v>267</v>
      </c>
      <c r="H38" s="251" t="s">
        <v>15</v>
      </c>
      <c r="I38" s="65" t="s">
        <v>985</v>
      </c>
      <c r="J38" t="e">
        <f>_xlfn.XLOOKUP(Tabla17[[#This Row],[PLACA]],Tabla18[Patente Bus],Tabla18[[Servicio ]])</f>
        <v>#N/A</v>
      </c>
      <c r="K38" t="e">
        <f>_xlfn.XLOOKUP(Tabla17[[#This Row],[Servicio]],Tabla19[CÓDIGO TS],Tabla19[TERMINAL])</f>
        <v>#N/A</v>
      </c>
      <c r="O38" t="s">
        <v>986</v>
      </c>
      <c r="P38" t="s">
        <v>202</v>
      </c>
      <c r="Q38" t="s">
        <v>933</v>
      </c>
      <c r="R38">
        <v>63.65</v>
      </c>
      <c r="S38">
        <v>228.36</v>
      </c>
      <c r="T38" s="191"/>
      <c r="U38" s="191"/>
      <c r="V38" s="261" t="s">
        <v>979</v>
      </c>
      <c r="W38" s="259" t="s">
        <v>987</v>
      </c>
      <c r="X38" s="260" t="s">
        <v>988</v>
      </c>
    </row>
    <row r="39" spans="1:29">
      <c r="A39" s="249" t="s">
        <v>79</v>
      </c>
      <c r="B39" s="249">
        <v>2073</v>
      </c>
      <c r="C39" s="249" t="s">
        <v>34</v>
      </c>
      <c r="D39" s="249" t="s">
        <v>13</v>
      </c>
      <c r="E39" s="249" t="s">
        <v>36</v>
      </c>
      <c r="F39" s="151" t="s">
        <v>915</v>
      </c>
      <c r="G39" s="250" t="s">
        <v>267</v>
      </c>
      <c r="H39" s="251" t="s">
        <v>15</v>
      </c>
      <c r="I39" s="65" t="s">
        <v>916</v>
      </c>
      <c r="J39" t="str">
        <f>_xlfn.XLOOKUP(Tabla17[[#This Row],[PLACA]],Tabla18[Patente Bus],Tabla18[[Servicio ]])</f>
        <v>T803</v>
      </c>
      <c r="K39" t="str">
        <f>_xlfn.XLOOKUP(Tabla17[[#This Row],[Servicio]],Tabla19[CÓDIGO TS],Tabla19[TERMINAL])</f>
        <v>EL RETIRO</v>
      </c>
      <c r="O39" t="s">
        <v>989</v>
      </c>
      <c r="P39" t="s">
        <v>203</v>
      </c>
      <c r="Q39" t="s">
        <v>933</v>
      </c>
      <c r="R39">
        <v>61.63</v>
      </c>
      <c r="S39">
        <v>215.75</v>
      </c>
      <c r="V39" s="261" t="s">
        <v>979</v>
      </c>
      <c r="W39" s="259" t="s">
        <v>990</v>
      </c>
      <c r="X39" s="260" t="s">
        <v>991</v>
      </c>
    </row>
    <row r="40" spans="1:29">
      <c r="O40" t="s">
        <v>992</v>
      </c>
      <c r="P40" t="s">
        <v>216</v>
      </c>
      <c r="Q40" t="s">
        <v>933</v>
      </c>
      <c r="R40">
        <v>89.04</v>
      </c>
      <c r="S40">
        <v>239.53</v>
      </c>
      <c r="V40" s="261" t="s">
        <v>979</v>
      </c>
      <c r="W40" s="259" t="s">
        <v>993</v>
      </c>
      <c r="X40" s="260" t="s">
        <v>994</v>
      </c>
    </row>
    <row r="41" spans="1:29">
      <c r="O41" t="s">
        <v>995</v>
      </c>
      <c r="P41" t="s">
        <v>217</v>
      </c>
      <c r="Q41" t="s">
        <v>933</v>
      </c>
      <c r="R41">
        <v>76.790000000000006</v>
      </c>
      <c r="S41">
        <v>171.72</v>
      </c>
      <c r="V41" s="261" t="s">
        <v>493</v>
      </c>
      <c r="W41" s="259">
        <v>102</v>
      </c>
      <c r="X41" s="260" t="s">
        <v>996</v>
      </c>
    </row>
    <row r="42" spans="1:29">
      <c r="O42" t="s">
        <v>997</v>
      </c>
      <c r="P42" t="s">
        <v>220</v>
      </c>
      <c r="Q42" t="s">
        <v>933</v>
      </c>
      <c r="R42">
        <v>51.12</v>
      </c>
      <c r="S42">
        <v>167.43</v>
      </c>
      <c r="V42" s="261" t="s">
        <v>493</v>
      </c>
      <c r="W42" s="259">
        <v>712</v>
      </c>
      <c r="X42" s="260" t="s">
        <v>998</v>
      </c>
    </row>
    <row r="43" spans="1:29">
      <c r="O43" t="s">
        <v>999</v>
      </c>
      <c r="P43" t="s">
        <v>222</v>
      </c>
      <c r="Q43" t="s">
        <v>933</v>
      </c>
      <c r="R43">
        <v>40.19</v>
      </c>
      <c r="S43">
        <v>225.93</v>
      </c>
      <c r="V43" s="261" t="s">
        <v>493</v>
      </c>
      <c r="W43" s="259" t="s">
        <v>1000</v>
      </c>
      <c r="X43" s="260" t="s">
        <v>1001</v>
      </c>
    </row>
    <row r="44" spans="1:29">
      <c r="C44" t="str">
        <f>_xlfn.CONCAT(C45:C73)</f>
        <v>CL2097;CL2098;CL2099;CL2100;CL2101;CL2102;CL2103;CL2104;CL2105;CL2106;CL2107;CL2108;CL2109;CL2110;CL2113;</v>
      </c>
      <c r="D44" s="266"/>
      <c r="F44" t="str">
        <f>_xlfn.CONCAT(F45:F62)</f>
        <v>LDJW34;LDJW35;LDJW36;LDJW37;LDJW38;LDJW39;LDJW40;LDJW41;LDJW42;LDJW43;LDJW44;LDJW45;LDJW46;LDJW47;LJDL48;;;;</v>
      </c>
      <c r="O44" t="s">
        <v>932</v>
      </c>
      <c r="P44" t="s">
        <v>389</v>
      </c>
      <c r="Q44" t="s">
        <v>933</v>
      </c>
      <c r="R44">
        <v>49.51</v>
      </c>
      <c r="S44">
        <v>176.83999999999901</v>
      </c>
      <c r="V44" s="261" t="s">
        <v>493</v>
      </c>
      <c r="W44" s="259" t="s">
        <v>1002</v>
      </c>
      <c r="X44" s="260" t="s">
        <v>1003</v>
      </c>
    </row>
    <row r="45" spans="1:29">
      <c r="A45" t="s">
        <v>1004</v>
      </c>
      <c r="B45" s="249">
        <v>2097</v>
      </c>
      <c r="C45" t="str">
        <f>IF(B45&lt;&gt;"",A45&amp;B45&amp;";","")</f>
        <v>CL2097;</v>
      </c>
      <c r="E45" s="248" t="s">
        <v>373</v>
      </c>
      <c r="F45" s="33" t="str">
        <f>E45&amp;";"</f>
        <v>LDJW34;</v>
      </c>
      <c r="O45" t="s">
        <v>1005</v>
      </c>
      <c r="P45" t="s">
        <v>144</v>
      </c>
      <c r="Q45" t="s">
        <v>933</v>
      </c>
      <c r="R45">
        <v>21.65</v>
      </c>
      <c r="S45">
        <v>155.69</v>
      </c>
      <c r="V45" s="261" t="s">
        <v>493</v>
      </c>
      <c r="W45" s="259" t="s">
        <v>1006</v>
      </c>
      <c r="X45" s="260" t="s">
        <v>1007</v>
      </c>
    </row>
    <row r="46" spans="1:29">
      <c r="A46" t="s">
        <v>1004</v>
      </c>
      <c r="B46" s="249">
        <v>2098</v>
      </c>
      <c r="C46" t="str">
        <f t="shared" ref="C46:C73" si="2">IF(B46&lt;&gt;"",A46&amp;B46&amp;";","")</f>
        <v>CL2098;</v>
      </c>
      <c r="E46" s="248" t="s">
        <v>374</v>
      </c>
      <c r="F46" s="33" t="str">
        <f t="shared" ref="F46:F62" si="3">E46&amp;";"</f>
        <v>LDJW35;</v>
      </c>
      <c r="O46" t="s">
        <v>1008</v>
      </c>
      <c r="P46" t="s">
        <v>392</v>
      </c>
      <c r="Q46" t="s">
        <v>933</v>
      </c>
      <c r="R46">
        <v>43.56</v>
      </c>
      <c r="S46">
        <v>126.1</v>
      </c>
      <c r="V46" s="261" t="s">
        <v>493</v>
      </c>
      <c r="W46" s="259" t="s">
        <v>1009</v>
      </c>
      <c r="X46" s="260" t="s">
        <v>1010</v>
      </c>
    </row>
    <row r="47" spans="1:29">
      <c r="A47" t="s">
        <v>1004</v>
      </c>
      <c r="B47" s="249">
        <v>2099</v>
      </c>
      <c r="C47" t="str">
        <f t="shared" si="2"/>
        <v>CL2099;</v>
      </c>
      <c r="E47" s="248" t="s">
        <v>375</v>
      </c>
      <c r="F47" s="33" t="str">
        <f t="shared" si="3"/>
        <v>LDJW36;</v>
      </c>
      <c r="O47" t="s">
        <v>1011</v>
      </c>
      <c r="P47" t="s">
        <v>151</v>
      </c>
      <c r="Q47" t="s">
        <v>933</v>
      </c>
      <c r="R47">
        <v>21.78</v>
      </c>
      <c r="S47">
        <v>25.28</v>
      </c>
      <c r="V47" s="261" t="s">
        <v>493</v>
      </c>
      <c r="W47" s="260" t="s">
        <v>1012</v>
      </c>
      <c r="X47" s="260" t="s">
        <v>1013</v>
      </c>
    </row>
    <row r="48" spans="1:29">
      <c r="A48" t="s">
        <v>1004</v>
      </c>
      <c r="B48" s="249">
        <v>2100</v>
      </c>
      <c r="C48" t="str">
        <f t="shared" si="2"/>
        <v>CL2100;</v>
      </c>
      <c r="E48" s="248" t="s">
        <v>376</v>
      </c>
      <c r="F48" s="33" t="str">
        <f t="shared" si="3"/>
        <v>LDJW37;</v>
      </c>
      <c r="O48" t="s">
        <v>942</v>
      </c>
      <c r="P48" t="s">
        <v>255</v>
      </c>
      <c r="Q48" t="s">
        <v>933</v>
      </c>
      <c r="R48">
        <v>22.05</v>
      </c>
      <c r="S48">
        <v>128.62</v>
      </c>
      <c r="V48" s="261" t="s">
        <v>493</v>
      </c>
      <c r="W48" s="260" t="s">
        <v>1014</v>
      </c>
      <c r="X48" s="260" t="s">
        <v>1015</v>
      </c>
    </row>
    <row r="49" spans="1:24">
      <c r="A49" t="s">
        <v>1004</v>
      </c>
      <c r="B49" s="249">
        <v>2101</v>
      </c>
      <c r="C49" t="str">
        <f t="shared" si="2"/>
        <v>CL2101;</v>
      </c>
      <c r="E49" s="248" t="s">
        <v>377</v>
      </c>
      <c r="F49" s="33" t="str">
        <f t="shared" si="3"/>
        <v>LDJW38;</v>
      </c>
      <c r="O49" t="s">
        <v>1016</v>
      </c>
      <c r="P49" t="s">
        <v>257</v>
      </c>
      <c r="Q49" t="s">
        <v>933</v>
      </c>
      <c r="R49">
        <v>43.74</v>
      </c>
      <c r="S49">
        <v>103.38</v>
      </c>
      <c r="V49" s="261" t="s">
        <v>674</v>
      </c>
      <c r="W49" s="260" t="s">
        <v>1017</v>
      </c>
      <c r="X49" s="260" t="s">
        <v>1018</v>
      </c>
    </row>
    <row r="50" spans="1:24">
      <c r="A50" t="s">
        <v>1004</v>
      </c>
      <c r="B50" s="249">
        <v>2102</v>
      </c>
      <c r="C50" t="str">
        <f t="shared" si="2"/>
        <v>CL2102;</v>
      </c>
      <c r="E50" s="248" t="s">
        <v>378</v>
      </c>
      <c r="F50" s="33" t="str">
        <f t="shared" si="3"/>
        <v>LDJW39;</v>
      </c>
      <c r="O50" t="s">
        <v>948</v>
      </c>
      <c r="P50" t="s">
        <v>141</v>
      </c>
      <c r="Q50" t="s">
        <v>933</v>
      </c>
      <c r="R50">
        <v>18.440000000000001</v>
      </c>
      <c r="S50">
        <v>81.069999999999993</v>
      </c>
      <c r="V50" s="261" t="s">
        <v>674</v>
      </c>
      <c r="W50" s="260">
        <v>124</v>
      </c>
      <c r="X50" s="260" t="s">
        <v>1019</v>
      </c>
    </row>
    <row r="51" spans="1:24">
      <c r="A51" t="s">
        <v>1004</v>
      </c>
      <c r="B51" s="249">
        <v>2103</v>
      </c>
      <c r="C51" t="str">
        <f t="shared" si="2"/>
        <v>CL2103;</v>
      </c>
      <c r="E51" s="248" t="s">
        <v>379</v>
      </c>
      <c r="F51" s="33" t="str">
        <f t="shared" si="3"/>
        <v>LDJW40;</v>
      </c>
      <c r="O51" t="s">
        <v>951</v>
      </c>
      <c r="P51" t="s">
        <v>140</v>
      </c>
      <c r="Q51" t="s">
        <v>933</v>
      </c>
      <c r="R51">
        <v>21.7</v>
      </c>
      <c r="S51">
        <v>196.21</v>
      </c>
      <c r="V51" s="261" t="s">
        <v>674</v>
      </c>
      <c r="W51" s="260" t="s">
        <v>1020</v>
      </c>
      <c r="X51" s="260" t="s">
        <v>1021</v>
      </c>
    </row>
    <row r="52" spans="1:24">
      <c r="A52" t="s">
        <v>1004</v>
      </c>
      <c r="B52" s="249">
        <v>2104</v>
      </c>
      <c r="C52" t="str">
        <f t="shared" si="2"/>
        <v>CL2104;</v>
      </c>
      <c r="E52" s="248" t="s">
        <v>380</v>
      </c>
      <c r="F52" s="33" t="str">
        <f t="shared" si="3"/>
        <v>LDJW41;</v>
      </c>
      <c r="O52" t="s">
        <v>1022</v>
      </c>
      <c r="P52" t="s">
        <v>138</v>
      </c>
      <c r="Q52" t="s">
        <v>933</v>
      </c>
      <c r="R52">
        <v>20.46</v>
      </c>
      <c r="S52">
        <v>186.21</v>
      </c>
      <c r="V52" s="261" t="s">
        <v>674</v>
      </c>
      <c r="W52" s="260" t="s">
        <v>1023</v>
      </c>
      <c r="X52" s="260" t="s">
        <v>1024</v>
      </c>
    </row>
    <row r="53" spans="1:24">
      <c r="A53" t="s">
        <v>1004</v>
      </c>
      <c r="B53" s="249">
        <v>2105</v>
      </c>
      <c r="C53" t="str">
        <f t="shared" si="2"/>
        <v>CL2105;</v>
      </c>
      <c r="E53" s="248" t="s">
        <v>381</v>
      </c>
      <c r="F53" s="33" t="str">
        <f t="shared" si="3"/>
        <v>LDJW42;</v>
      </c>
      <c r="O53" t="s">
        <v>953</v>
      </c>
      <c r="P53" t="s">
        <v>134</v>
      </c>
      <c r="Q53" t="s">
        <v>933</v>
      </c>
      <c r="R53">
        <v>43.63</v>
      </c>
      <c r="S53">
        <v>273.66000000000003</v>
      </c>
      <c r="V53" s="261" t="s">
        <v>674</v>
      </c>
      <c r="W53" s="260" t="s">
        <v>1025</v>
      </c>
      <c r="X53" s="260" t="s">
        <v>1026</v>
      </c>
    </row>
    <row r="54" spans="1:24">
      <c r="A54" t="s">
        <v>1004</v>
      </c>
      <c r="B54" s="249">
        <v>2106</v>
      </c>
      <c r="C54" t="str">
        <f t="shared" si="2"/>
        <v>CL2106;</v>
      </c>
      <c r="E54" s="248" t="s">
        <v>382</v>
      </c>
      <c r="F54" s="33" t="str">
        <f t="shared" si="3"/>
        <v>LDJW43;</v>
      </c>
      <c r="O54" t="s">
        <v>1027</v>
      </c>
      <c r="P54" t="s">
        <v>162</v>
      </c>
      <c r="Q54" t="s">
        <v>933</v>
      </c>
      <c r="R54">
        <v>21.9</v>
      </c>
      <c r="S54">
        <v>199.62</v>
      </c>
      <c r="V54" s="261" t="s">
        <v>674</v>
      </c>
      <c r="W54" s="260" t="s">
        <v>1028</v>
      </c>
      <c r="X54" s="260" t="s">
        <v>1029</v>
      </c>
    </row>
    <row r="55" spans="1:24">
      <c r="A55" t="s">
        <v>1004</v>
      </c>
      <c r="B55" s="249">
        <v>2107</v>
      </c>
      <c r="C55" t="str">
        <f t="shared" si="2"/>
        <v>CL2107;</v>
      </c>
      <c r="E55" s="248" t="s">
        <v>383</v>
      </c>
      <c r="F55" s="33" t="str">
        <f t="shared" si="3"/>
        <v>LDJW44;</v>
      </c>
      <c r="O55" t="s">
        <v>967</v>
      </c>
      <c r="P55" t="s">
        <v>170</v>
      </c>
      <c r="Q55" t="s">
        <v>933</v>
      </c>
      <c r="R55">
        <v>43.69</v>
      </c>
      <c r="S55">
        <v>128.49</v>
      </c>
      <c r="V55" s="261" t="s">
        <v>674</v>
      </c>
      <c r="W55" s="260" t="s">
        <v>1030</v>
      </c>
      <c r="X55" s="260" t="s">
        <v>1031</v>
      </c>
    </row>
    <row r="56" spans="1:24">
      <c r="A56" t="s">
        <v>1004</v>
      </c>
      <c r="B56" s="249">
        <v>2108</v>
      </c>
      <c r="C56" t="str">
        <f t="shared" si="2"/>
        <v>CL2108;</v>
      </c>
      <c r="E56" s="248" t="s">
        <v>384</v>
      </c>
      <c r="F56" s="33" t="str">
        <f t="shared" si="3"/>
        <v>LDJW45;</v>
      </c>
      <c r="O56" t="s">
        <v>1032</v>
      </c>
      <c r="P56" t="s">
        <v>171</v>
      </c>
      <c r="Q56" t="s">
        <v>933</v>
      </c>
      <c r="R56">
        <v>65.42</v>
      </c>
      <c r="S56">
        <v>142.21</v>
      </c>
      <c r="V56" s="261" t="s">
        <v>674</v>
      </c>
      <c r="W56" s="260" t="s">
        <v>1033</v>
      </c>
      <c r="X56" s="260" t="s">
        <v>1034</v>
      </c>
    </row>
    <row r="57" spans="1:24">
      <c r="A57" t="s">
        <v>1004</v>
      </c>
      <c r="B57" s="249">
        <v>2109</v>
      </c>
      <c r="C57" t="str">
        <f t="shared" si="2"/>
        <v>CL2109;</v>
      </c>
      <c r="E57" s="248" t="s">
        <v>385</v>
      </c>
      <c r="F57" s="33" t="str">
        <f t="shared" si="3"/>
        <v>LDJW46;</v>
      </c>
      <c r="O57" t="s">
        <v>1035</v>
      </c>
      <c r="P57" t="s">
        <v>174</v>
      </c>
      <c r="Q57" t="s">
        <v>933</v>
      </c>
      <c r="R57">
        <v>15.97</v>
      </c>
      <c r="S57">
        <v>109.039999999999</v>
      </c>
      <c r="V57" s="261" t="s">
        <v>674</v>
      </c>
      <c r="W57" s="260" t="s">
        <v>1036</v>
      </c>
      <c r="X57" s="260" t="s">
        <v>1037</v>
      </c>
    </row>
    <row r="58" spans="1:24">
      <c r="A58" t="s">
        <v>1004</v>
      </c>
      <c r="B58" s="249">
        <v>2110</v>
      </c>
      <c r="C58" t="str">
        <f t="shared" si="2"/>
        <v>CL2110;</v>
      </c>
      <c r="E58" s="248" t="s">
        <v>386</v>
      </c>
      <c r="F58" s="33" t="str">
        <f t="shared" si="3"/>
        <v>LDJW47;</v>
      </c>
      <c r="O58" t="s">
        <v>973</v>
      </c>
      <c r="P58" t="s">
        <v>176</v>
      </c>
      <c r="Q58" t="s">
        <v>933</v>
      </c>
      <c r="R58">
        <v>43.59</v>
      </c>
      <c r="S58">
        <v>214.47</v>
      </c>
      <c r="V58" s="261" t="s">
        <v>897</v>
      </c>
      <c r="W58" s="260" t="s">
        <v>1038</v>
      </c>
      <c r="X58" s="260" t="s">
        <v>1039</v>
      </c>
    </row>
    <row r="59" spans="1:24">
      <c r="A59" t="s">
        <v>1004</v>
      </c>
      <c r="B59" s="249">
        <v>2113</v>
      </c>
      <c r="C59" t="str">
        <f t="shared" si="2"/>
        <v>CL2113;</v>
      </c>
      <c r="E59" s="248" t="s">
        <v>387</v>
      </c>
      <c r="F59" s="33" t="str">
        <f t="shared" si="3"/>
        <v>LJDL48;</v>
      </c>
      <c r="O59" t="s">
        <v>1040</v>
      </c>
      <c r="P59" t="s">
        <v>181</v>
      </c>
      <c r="Q59" t="s">
        <v>933</v>
      </c>
      <c r="R59">
        <v>131.06</v>
      </c>
      <c r="S59">
        <v>218.37</v>
      </c>
      <c r="V59" s="261" t="s">
        <v>897</v>
      </c>
      <c r="W59" s="262" t="s">
        <v>1041</v>
      </c>
      <c r="X59" s="260" t="s">
        <v>1042</v>
      </c>
    </row>
    <row r="60" spans="1:24">
      <c r="A60" t="s">
        <v>1004</v>
      </c>
      <c r="C60" t="str">
        <f t="shared" si="2"/>
        <v/>
      </c>
      <c r="E60" s="248"/>
      <c r="F60" s="33" t="str">
        <f t="shared" si="3"/>
        <v>;</v>
      </c>
      <c r="O60" t="s">
        <v>978</v>
      </c>
      <c r="P60" t="s">
        <v>182</v>
      </c>
      <c r="Q60" t="s">
        <v>933</v>
      </c>
      <c r="R60">
        <v>107.39</v>
      </c>
      <c r="S60">
        <v>123.73</v>
      </c>
      <c r="V60" s="261" t="s">
        <v>897</v>
      </c>
      <c r="W60" s="260" t="s">
        <v>1043</v>
      </c>
      <c r="X60" s="260" t="s">
        <v>1044</v>
      </c>
    </row>
    <row r="61" spans="1:24">
      <c r="A61" t="s">
        <v>1004</v>
      </c>
      <c r="C61" t="str">
        <f t="shared" si="2"/>
        <v/>
      </c>
      <c r="E61" s="248"/>
      <c r="F61" s="33" t="str">
        <f t="shared" si="3"/>
        <v>;</v>
      </c>
      <c r="O61" t="s">
        <v>1045</v>
      </c>
      <c r="P61" t="s">
        <v>183</v>
      </c>
      <c r="Q61" t="s">
        <v>933</v>
      </c>
      <c r="R61">
        <v>43.78</v>
      </c>
      <c r="S61">
        <v>115.49</v>
      </c>
      <c r="V61" s="261" t="s">
        <v>897</v>
      </c>
      <c r="W61" s="260">
        <v>722</v>
      </c>
      <c r="X61" s="260" t="s">
        <v>1046</v>
      </c>
    </row>
    <row r="62" spans="1:24">
      <c r="A62" t="s">
        <v>1004</v>
      </c>
      <c r="C62" t="str">
        <f t="shared" si="2"/>
        <v/>
      </c>
      <c r="E62" s="248"/>
      <c r="F62" s="33" t="str">
        <f t="shared" si="3"/>
        <v>;</v>
      </c>
      <c r="O62" t="s">
        <v>1047</v>
      </c>
      <c r="P62" t="s">
        <v>188</v>
      </c>
      <c r="Q62" t="s">
        <v>933</v>
      </c>
      <c r="R62">
        <v>87.2</v>
      </c>
      <c r="S62">
        <v>222.23</v>
      </c>
      <c r="V62" s="261" t="s">
        <v>897</v>
      </c>
      <c r="W62" s="260" t="s">
        <v>1048</v>
      </c>
      <c r="X62" s="260" t="s">
        <v>1049</v>
      </c>
    </row>
    <row r="63" spans="1:24">
      <c r="A63" t="s">
        <v>1004</v>
      </c>
      <c r="C63" t="str">
        <f t="shared" si="2"/>
        <v/>
      </c>
      <c r="O63" t="s">
        <v>1050</v>
      </c>
      <c r="P63" t="s">
        <v>192</v>
      </c>
      <c r="Q63" t="s">
        <v>933</v>
      </c>
      <c r="R63">
        <v>21.79</v>
      </c>
      <c r="S63">
        <v>210.47</v>
      </c>
      <c r="V63" s="261" t="s">
        <v>897</v>
      </c>
      <c r="W63" s="260" t="s">
        <v>1051</v>
      </c>
      <c r="X63" s="260" t="s">
        <v>1052</v>
      </c>
    </row>
    <row r="64" spans="1:24">
      <c r="A64" t="s">
        <v>1004</v>
      </c>
      <c r="C64" t="str">
        <f t="shared" si="2"/>
        <v/>
      </c>
      <c r="O64" t="s">
        <v>1053</v>
      </c>
      <c r="P64" t="s">
        <v>196</v>
      </c>
      <c r="Q64" t="s">
        <v>933</v>
      </c>
      <c r="R64">
        <v>21.86</v>
      </c>
      <c r="S64">
        <v>95.59</v>
      </c>
      <c r="V64" s="261" t="s">
        <v>897</v>
      </c>
      <c r="W64" s="260" t="s">
        <v>1054</v>
      </c>
      <c r="X64" s="260" t="s">
        <v>1055</v>
      </c>
    </row>
    <row r="65" spans="1:24">
      <c r="A65" t="s">
        <v>1004</v>
      </c>
      <c r="C65" t="str">
        <f t="shared" si="2"/>
        <v/>
      </c>
      <c r="O65" t="s">
        <v>1056</v>
      </c>
      <c r="P65" t="s">
        <v>201</v>
      </c>
      <c r="Q65" t="s">
        <v>933</v>
      </c>
      <c r="R65">
        <v>43.66</v>
      </c>
      <c r="S65">
        <v>165.79</v>
      </c>
      <c r="V65" s="261" t="s">
        <v>897</v>
      </c>
      <c r="W65" s="260" t="s">
        <v>1057</v>
      </c>
      <c r="X65" s="260" t="s">
        <v>1058</v>
      </c>
    </row>
    <row r="66" spans="1:24">
      <c r="A66" t="s">
        <v>1004</v>
      </c>
      <c r="C66" t="str">
        <f t="shared" si="2"/>
        <v/>
      </c>
      <c r="O66" t="s">
        <v>989</v>
      </c>
      <c r="P66" t="s">
        <v>203</v>
      </c>
      <c r="Q66" t="s">
        <v>933</v>
      </c>
      <c r="R66">
        <v>87.23</v>
      </c>
      <c r="S66">
        <v>145.72</v>
      </c>
      <c r="V66" s="261" t="s">
        <v>897</v>
      </c>
      <c r="W66" s="260" t="s">
        <v>1059</v>
      </c>
      <c r="X66" s="260" t="s">
        <v>1060</v>
      </c>
    </row>
    <row r="67" spans="1:24">
      <c r="A67" t="s">
        <v>1004</v>
      </c>
      <c r="C67" t="str">
        <f t="shared" si="2"/>
        <v/>
      </c>
      <c r="O67" t="s">
        <v>1061</v>
      </c>
      <c r="P67" t="s">
        <v>210</v>
      </c>
      <c r="Q67" t="s">
        <v>933</v>
      </c>
      <c r="R67">
        <v>29.47</v>
      </c>
      <c r="S67">
        <v>144.34</v>
      </c>
      <c r="V67" s="261" t="s">
        <v>897</v>
      </c>
      <c r="W67" s="260" t="s">
        <v>1062</v>
      </c>
      <c r="X67" s="260" t="s">
        <v>1063</v>
      </c>
    </row>
    <row r="68" spans="1:24">
      <c r="A68" t="s">
        <v>1004</v>
      </c>
      <c r="C68" t="str">
        <f t="shared" si="2"/>
        <v/>
      </c>
      <c r="O68" t="s">
        <v>1064</v>
      </c>
      <c r="P68" t="s">
        <v>211</v>
      </c>
      <c r="Q68" t="s">
        <v>933</v>
      </c>
      <c r="R68">
        <v>65.260000000000005</v>
      </c>
      <c r="S68">
        <v>184.62</v>
      </c>
      <c r="V68" s="261" t="s">
        <v>897</v>
      </c>
      <c r="W68" s="260" t="s">
        <v>1065</v>
      </c>
      <c r="X68" s="260" t="s">
        <v>1066</v>
      </c>
    </row>
    <row r="69" spans="1:24">
      <c r="A69" t="s">
        <v>1004</v>
      </c>
      <c r="C69" t="str">
        <f t="shared" si="2"/>
        <v/>
      </c>
      <c r="O69" t="s">
        <v>1067</v>
      </c>
      <c r="P69" t="s">
        <v>212</v>
      </c>
      <c r="Q69" t="s">
        <v>933</v>
      </c>
      <c r="R69">
        <v>21.88</v>
      </c>
      <c r="S69">
        <v>212.59</v>
      </c>
      <c r="V69" s="263" t="s">
        <v>897</v>
      </c>
      <c r="W69" s="264" t="s">
        <v>1068</v>
      </c>
      <c r="X69" s="260" t="s">
        <v>1069</v>
      </c>
    </row>
    <row r="70" spans="1:24">
      <c r="A70" t="s">
        <v>1004</v>
      </c>
      <c r="C70" t="str">
        <f t="shared" si="2"/>
        <v/>
      </c>
      <c r="O70" t="s">
        <v>1070</v>
      </c>
      <c r="P70" t="s">
        <v>213</v>
      </c>
      <c r="Q70" t="s">
        <v>933</v>
      </c>
      <c r="R70">
        <v>43.47</v>
      </c>
      <c r="S70">
        <v>152.91</v>
      </c>
    </row>
    <row r="71" spans="1:24">
      <c r="A71" t="s">
        <v>1004</v>
      </c>
      <c r="C71" t="str">
        <f t="shared" si="2"/>
        <v/>
      </c>
      <c r="O71" t="s">
        <v>1071</v>
      </c>
      <c r="P71" t="s">
        <v>215</v>
      </c>
      <c r="Q71" t="s">
        <v>933</v>
      </c>
      <c r="R71">
        <v>65.540000000000006</v>
      </c>
      <c r="S71">
        <v>213.77</v>
      </c>
    </row>
    <row r="72" spans="1:24">
      <c r="A72" t="s">
        <v>1004</v>
      </c>
      <c r="C72" t="str">
        <f t="shared" si="2"/>
        <v/>
      </c>
      <c r="O72" t="s">
        <v>1072</v>
      </c>
      <c r="P72" t="s">
        <v>218</v>
      </c>
      <c r="Q72" t="s">
        <v>933</v>
      </c>
      <c r="R72">
        <v>87.29</v>
      </c>
      <c r="S72">
        <v>160.52000000000001</v>
      </c>
    </row>
    <row r="73" spans="1:24">
      <c r="A73" t="s">
        <v>1004</v>
      </c>
      <c r="C73" t="str">
        <f t="shared" si="2"/>
        <v/>
      </c>
      <c r="O73" t="s">
        <v>1073</v>
      </c>
      <c r="P73" t="s">
        <v>219</v>
      </c>
      <c r="Q73" t="s">
        <v>933</v>
      </c>
      <c r="R73">
        <v>43.71</v>
      </c>
      <c r="S73">
        <v>221.36</v>
      </c>
    </row>
    <row r="74" spans="1:24">
      <c r="O74" t="s">
        <v>1074</v>
      </c>
      <c r="P74" t="s">
        <v>221</v>
      </c>
      <c r="Q74" t="s">
        <v>933</v>
      </c>
      <c r="R74">
        <v>21.78</v>
      </c>
      <c r="S74">
        <v>181.44</v>
      </c>
    </row>
    <row r="75" spans="1:24">
      <c r="O75" t="s">
        <v>999</v>
      </c>
      <c r="P75" t="s">
        <v>222</v>
      </c>
      <c r="Q75" t="s">
        <v>933</v>
      </c>
      <c r="R75">
        <v>65.95</v>
      </c>
      <c r="S75">
        <v>228.1</v>
      </c>
    </row>
    <row r="76" spans="1:24">
      <c r="O76" t="s">
        <v>1075</v>
      </c>
      <c r="P76" t="s">
        <v>63</v>
      </c>
      <c r="Q76" t="s">
        <v>935</v>
      </c>
      <c r="R76">
        <v>36.26</v>
      </c>
      <c r="S76">
        <v>140.67999999999901</v>
      </c>
    </row>
    <row r="77" spans="1:24">
      <c r="O77" t="s">
        <v>1076</v>
      </c>
      <c r="P77" t="s">
        <v>66</v>
      </c>
      <c r="Q77" t="s">
        <v>935</v>
      </c>
      <c r="R77">
        <v>15.93</v>
      </c>
      <c r="S77">
        <v>320.58999999999997</v>
      </c>
    </row>
    <row r="78" spans="1:24">
      <c r="O78" t="s">
        <v>1077</v>
      </c>
      <c r="P78" t="s">
        <v>67</v>
      </c>
      <c r="Q78" t="s">
        <v>935</v>
      </c>
      <c r="R78">
        <v>142.30000000000001</v>
      </c>
      <c r="S78">
        <v>142.30000000000001</v>
      </c>
    </row>
    <row r="79" spans="1:24">
      <c r="O79" t="s">
        <v>1078</v>
      </c>
      <c r="P79" t="s">
        <v>68</v>
      </c>
      <c r="Q79" t="s">
        <v>935</v>
      </c>
      <c r="R79">
        <v>73.069999999999993</v>
      </c>
      <c r="S79">
        <v>215.32</v>
      </c>
    </row>
    <row r="80" spans="1:24">
      <c r="O80" t="s">
        <v>1079</v>
      </c>
      <c r="P80" t="s">
        <v>69</v>
      </c>
      <c r="Q80" t="s">
        <v>935</v>
      </c>
      <c r="R80">
        <v>70.959999999999994</v>
      </c>
      <c r="S80">
        <v>117.24</v>
      </c>
    </row>
    <row r="81" spans="15:19">
      <c r="O81" t="s">
        <v>1080</v>
      </c>
      <c r="P81" t="s">
        <v>70</v>
      </c>
      <c r="Q81" t="s">
        <v>935</v>
      </c>
      <c r="R81">
        <v>36.43</v>
      </c>
      <c r="S81">
        <v>150.43</v>
      </c>
    </row>
    <row r="82" spans="15:19">
      <c r="O82" t="s">
        <v>1081</v>
      </c>
      <c r="P82" t="s">
        <v>71</v>
      </c>
      <c r="Q82" t="s">
        <v>935</v>
      </c>
      <c r="R82">
        <v>71.84</v>
      </c>
      <c r="S82">
        <v>200.44</v>
      </c>
    </row>
    <row r="83" spans="15:19">
      <c r="O83" t="s">
        <v>1082</v>
      </c>
      <c r="P83" t="s">
        <v>72</v>
      </c>
      <c r="Q83" t="s">
        <v>935</v>
      </c>
      <c r="R83">
        <v>35.81</v>
      </c>
      <c r="S83">
        <v>35.81</v>
      </c>
    </row>
    <row r="84" spans="15:19">
      <c r="O84" t="s">
        <v>1083</v>
      </c>
      <c r="P84" t="s">
        <v>74</v>
      </c>
      <c r="Q84" t="s">
        <v>935</v>
      </c>
      <c r="R84">
        <v>71.87</v>
      </c>
      <c r="S84">
        <v>236.71</v>
      </c>
    </row>
    <row r="85" spans="15:19">
      <c r="O85" t="s">
        <v>1084</v>
      </c>
      <c r="P85" t="s">
        <v>75</v>
      </c>
      <c r="Q85" t="s">
        <v>935</v>
      </c>
      <c r="R85">
        <v>101.67</v>
      </c>
      <c r="S85">
        <v>101.67</v>
      </c>
    </row>
    <row r="86" spans="15:19">
      <c r="O86" t="s">
        <v>1085</v>
      </c>
      <c r="P86" t="s">
        <v>76</v>
      </c>
      <c r="Q86" t="s">
        <v>935</v>
      </c>
      <c r="R86">
        <v>70.959999999999994</v>
      </c>
      <c r="S86">
        <v>176.71</v>
      </c>
    </row>
    <row r="87" spans="15:19">
      <c r="O87" t="s">
        <v>1086</v>
      </c>
      <c r="P87" t="s">
        <v>37</v>
      </c>
      <c r="Q87" t="s">
        <v>935</v>
      </c>
      <c r="R87">
        <v>35.840000000000003</v>
      </c>
      <c r="S87">
        <v>83</v>
      </c>
    </row>
    <row r="88" spans="15:19">
      <c r="O88" t="s">
        <v>1087</v>
      </c>
      <c r="P88" t="s">
        <v>77</v>
      </c>
      <c r="Q88" t="s">
        <v>935</v>
      </c>
      <c r="R88">
        <v>107.87</v>
      </c>
      <c r="S88">
        <v>251.65</v>
      </c>
    </row>
    <row r="89" spans="15:19">
      <c r="O89" t="s">
        <v>1088</v>
      </c>
      <c r="P89" t="s">
        <v>47</v>
      </c>
      <c r="Q89" t="s">
        <v>935</v>
      </c>
      <c r="R89">
        <v>70.58</v>
      </c>
      <c r="S89">
        <v>194.84</v>
      </c>
    </row>
    <row r="90" spans="15:19">
      <c r="O90" t="s">
        <v>1089</v>
      </c>
      <c r="P90" t="s">
        <v>79</v>
      </c>
      <c r="Q90" t="s">
        <v>935</v>
      </c>
      <c r="R90">
        <v>127.1</v>
      </c>
      <c r="S90">
        <v>300.56</v>
      </c>
    </row>
    <row r="91" spans="15:19">
      <c r="O91" t="s">
        <v>1090</v>
      </c>
      <c r="P91" t="s">
        <v>95</v>
      </c>
      <c r="Q91" t="s">
        <v>935</v>
      </c>
      <c r="R91">
        <v>35.979999999999997</v>
      </c>
      <c r="S91">
        <v>117.479999999999</v>
      </c>
    </row>
    <row r="92" spans="15:19">
      <c r="O92" t="s">
        <v>1091</v>
      </c>
      <c r="P92" t="s">
        <v>99</v>
      </c>
      <c r="Q92" t="s">
        <v>935</v>
      </c>
      <c r="R92">
        <v>36.06</v>
      </c>
      <c r="S92">
        <v>289.62</v>
      </c>
    </row>
    <row r="93" spans="15:19">
      <c r="O93" t="s">
        <v>1092</v>
      </c>
      <c r="P93" t="s">
        <v>106</v>
      </c>
      <c r="Q93" t="s">
        <v>935</v>
      </c>
      <c r="R93">
        <v>5.7</v>
      </c>
      <c r="S93">
        <v>123.95</v>
      </c>
    </row>
    <row r="94" spans="15:19">
      <c r="O94" t="s">
        <v>1093</v>
      </c>
      <c r="P94" t="s">
        <v>50</v>
      </c>
      <c r="Q94" t="s">
        <v>935</v>
      </c>
      <c r="R94">
        <v>36.64</v>
      </c>
      <c r="S94">
        <v>243.19</v>
      </c>
    </row>
    <row r="95" spans="15:19">
      <c r="O95" t="s">
        <v>1094</v>
      </c>
      <c r="P95" t="s">
        <v>55</v>
      </c>
      <c r="Q95" t="s">
        <v>935</v>
      </c>
      <c r="R95">
        <v>22.18</v>
      </c>
      <c r="S95">
        <v>248.15</v>
      </c>
    </row>
    <row r="96" spans="15:19">
      <c r="O96" t="s">
        <v>1095</v>
      </c>
      <c r="P96" t="s">
        <v>56</v>
      </c>
      <c r="Q96" t="s">
        <v>935</v>
      </c>
      <c r="R96">
        <v>36.409999999999997</v>
      </c>
      <c r="S96">
        <v>90.61</v>
      </c>
    </row>
    <row r="97" spans="15:19">
      <c r="O97" t="s">
        <v>1096</v>
      </c>
      <c r="P97" t="s">
        <v>58</v>
      </c>
      <c r="Q97" t="s">
        <v>935</v>
      </c>
      <c r="R97">
        <v>36.72</v>
      </c>
      <c r="S97">
        <v>198.91</v>
      </c>
    </row>
    <row r="98" spans="15:19">
      <c r="O98" t="s">
        <v>1097</v>
      </c>
      <c r="P98" t="s">
        <v>163</v>
      </c>
      <c r="Q98" t="s">
        <v>935</v>
      </c>
      <c r="R98">
        <v>70.42</v>
      </c>
      <c r="S98">
        <v>193.87</v>
      </c>
    </row>
    <row r="99" spans="15:19">
      <c r="O99" t="s">
        <v>1098</v>
      </c>
      <c r="P99" t="s">
        <v>175</v>
      </c>
      <c r="Q99" t="s">
        <v>935</v>
      </c>
      <c r="R99">
        <v>35.92</v>
      </c>
      <c r="S99">
        <v>149.05000000000001</v>
      </c>
    </row>
    <row r="100" spans="15:19">
      <c r="O100" t="s">
        <v>1099</v>
      </c>
      <c r="P100" t="s">
        <v>180</v>
      </c>
      <c r="Q100" t="s">
        <v>935</v>
      </c>
      <c r="R100">
        <v>72.010000000000005</v>
      </c>
      <c r="S100">
        <v>148.41999999999999</v>
      </c>
    </row>
    <row r="101" spans="15:19">
      <c r="O101" t="s">
        <v>1045</v>
      </c>
      <c r="P101" t="s">
        <v>183</v>
      </c>
      <c r="Q101" t="s">
        <v>935</v>
      </c>
      <c r="R101">
        <v>35.75</v>
      </c>
      <c r="S101">
        <v>150.81</v>
      </c>
    </row>
    <row r="102" spans="15:19">
      <c r="O102" t="s">
        <v>1100</v>
      </c>
      <c r="P102" t="s">
        <v>185</v>
      </c>
      <c r="Q102" t="s">
        <v>935</v>
      </c>
      <c r="R102">
        <v>107.82</v>
      </c>
      <c r="S102">
        <v>152.13999999999999</v>
      </c>
    </row>
    <row r="103" spans="15:19">
      <c r="O103" t="s">
        <v>1101</v>
      </c>
      <c r="P103" t="s">
        <v>189</v>
      </c>
      <c r="Q103" t="s">
        <v>935</v>
      </c>
      <c r="R103">
        <v>71.69</v>
      </c>
      <c r="S103">
        <v>143.19</v>
      </c>
    </row>
    <row r="104" spans="15:19">
      <c r="O104" t="s">
        <v>1102</v>
      </c>
      <c r="P104" t="s">
        <v>190</v>
      </c>
      <c r="Q104" t="s">
        <v>935</v>
      </c>
      <c r="R104">
        <v>52.87</v>
      </c>
      <c r="S104">
        <v>208.18</v>
      </c>
    </row>
    <row r="105" spans="15:19">
      <c r="O105" t="s">
        <v>1103</v>
      </c>
      <c r="P105" t="s">
        <v>191</v>
      </c>
      <c r="Q105" t="s">
        <v>935</v>
      </c>
      <c r="R105">
        <v>140.66999999999999</v>
      </c>
      <c r="S105">
        <v>271.039999999999</v>
      </c>
    </row>
    <row r="106" spans="15:19">
      <c r="O106" t="s">
        <v>1050</v>
      </c>
      <c r="P106" t="s">
        <v>192</v>
      </c>
      <c r="Q106" t="s">
        <v>935</v>
      </c>
      <c r="R106">
        <v>30.95</v>
      </c>
      <c r="S106">
        <v>235.32</v>
      </c>
    </row>
    <row r="107" spans="15:19">
      <c r="O107" t="s">
        <v>1104</v>
      </c>
      <c r="P107" t="s">
        <v>195</v>
      </c>
      <c r="Q107" t="s">
        <v>935</v>
      </c>
      <c r="R107">
        <v>36.54</v>
      </c>
      <c r="S107">
        <v>181.14</v>
      </c>
    </row>
    <row r="108" spans="15:19">
      <c r="O108" t="s">
        <v>1105</v>
      </c>
      <c r="P108" t="s">
        <v>197</v>
      </c>
      <c r="Q108" t="s">
        <v>935</v>
      </c>
      <c r="R108">
        <v>36.11</v>
      </c>
      <c r="S108">
        <v>155.63999999999999</v>
      </c>
    </row>
    <row r="109" spans="15:19">
      <c r="O109" t="s">
        <v>1106</v>
      </c>
      <c r="P109" t="s">
        <v>198</v>
      </c>
      <c r="Q109" t="s">
        <v>935</v>
      </c>
      <c r="R109">
        <v>35.909999999999997</v>
      </c>
      <c r="S109">
        <v>249</v>
      </c>
    </row>
    <row r="110" spans="15:19">
      <c r="O110" t="s">
        <v>1107</v>
      </c>
      <c r="P110" t="s">
        <v>204</v>
      </c>
      <c r="Q110" t="s">
        <v>935</v>
      </c>
      <c r="R110">
        <v>108.19</v>
      </c>
      <c r="S110">
        <v>236.21</v>
      </c>
    </row>
    <row r="111" spans="15:19">
      <c r="O111" t="s">
        <v>1108</v>
      </c>
      <c r="P111" t="s">
        <v>207</v>
      </c>
      <c r="Q111" t="s">
        <v>935</v>
      </c>
      <c r="R111">
        <v>142.06</v>
      </c>
      <c r="S111">
        <v>144.61000000000001</v>
      </c>
    </row>
    <row r="112" spans="15:19">
      <c r="O112" t="s">
        <v>1109</v>
      </c>
      <c r="P112" t="s">
        <v>208</v>
      </c>
      <c r="Q112" t="s">
        <v>935</v>
      </c>
      <c r="R112">
        <v>38.270000000000003</v>
      </c>
      <c r="S112">
        <v>227.53</v>
      </c>
    </row>
    <row r="113" spans="15:19">
      <c r="O113" t="s">
        <v>1061</v>
      </c>
      <c r="P113" t="s">
        <v>210</v>
      </c>
      <c r="Q113" t="s">
        <v>935</v>
      </c>
      <c r="R113">
        <v>35.880000000000003</v>
      </c>
      <c r="S113">
        <v>189.76</v>
      </c>
    </row>
    <row r="114" spans="15:19">
      <c r="O114" t="s">
        <v>1064</v>
      </c>
      <c r="P114" t="s">
        <v>211</v>
      </c>
      <c r="Q114" t="s">
        <v>935</v>
      </c>
      <c r="R114">
        <v>106.62</v>
      </c>
      <c r="S114">
        <v>190.57</v>
      </c>
    </row>
    <row r="115" spans="15:19">
      <c r="O115" t="s">
        <v>1110</v>
      </c>
      <c r="P115" t="s">
        <v>214</v>
      </c>
      <c r="Q115" t="s">
        <v>935</v>
      </c>
      <c r="R115">
        <v>107.92</v>
      </c>
      <c r="S115">
        <v>148.21</v>
      </c>
    </row>
    <row r="116" spans="15:19">
      <c r="O116" t="s">
        <v>1073</v>
      </c>
      <c r="P116" t="s">
        <v>219</v>
      </c>
      <c r="Q116" t="s">
        <v>935</v>
      </c>
      <c r="R116">
        <v>142.44999999999999</v>
      </c>
      <c r="S116">
        <v>154.51999999999899</v>
      </c>
    </row>
    <row r="117" spans="15:19">
      <c r="O117" t="s">
        <v>1074</v>
      </c>
      <c r="P117" t="s">
        <v>221</v>
      </c>
      <c r="Q117" t="s">
        <v>935</v>
      </c>
      <c r="R117">
        <v>72.09</v>
      </c>
      <c r="S117">
        <v>174.19</v>
      </c>
    </row>
    <row r="118" spans="15:19">
      <c r="O118" t="s">
        <v>1075</v>
      </c>
      <c r="P118" t="s">
        <v>63</v>
      </c>
      <c r="Q118" t="s">
        <v>935</v>
      </c>
      <c r="R118">
        <v>182.89</v>
      </c>
      <c r="S118">
        <v>284.70999999999998</v>
      </c>
    </row>
    <row r="119" spans="15:19">
      <c r="O119" t="s">
        <v>1111</v>
      </c>
      <c r="P119" t="s">
        <v>65</v>
      </c>
      <c r="Q119" t="s">
        <v>935</v>
      </c>
      <c r="R119">
        <v>72.83</v>
      </c>
      <c r="S119">
        <v>301.69</v>
      </c>
    </row>
    <row r="120" spans="15:19">
      <c r="O120" t="s">
        <v>1076</v>
      </c>
      <c r="P120" t="s">
        <v>66</v>
      </c>
      <c r="Q120" t="s">
        <v>935</v>
      </c>
      <c r="R120">
        <v>77.62</v>
      </c>
      <c r="S120">
        <v>250.8</v>
      </c>
    </row>
    <row r="121" spans="15:19">
      <c r="O121" t="s">
        <v>1077</v>
      </c>
      <c r="P121" t="s">
        <v>67</v>
      </c>
      <c r="Q121" t="s">
        <v>935</v>
      </c>
      <c r="R121">
        <v>180.53</v>
      </c>
      <c r="S121">
        <v>250.32</v>
      </c>
    </row>
    <row r="122" spans="15:19">
      <c r="O122" t="s">
        <v>1078</v>
      </c>
      <c r="P122" t="s">
        <v>68</v>
      </c>
      <c r="Q122" t="s">
        <v>935</v>
      </c>
      <c r="R122">
        <v>73.38</v>
      </c>
      <c r="S122">
        <v>264.14</v>
      </c>
    </row>
    <row r="123" spans="15:19">
      <c r="O123" t="s">
        <v>1079</v>
      </c>
      <c r="P123" t="s">
        <v>69</v>
      </c>
      <c r="Q123" t="s">
        <v>935</v>
      </c>
      <c r="R123">
        <v>36.51</v>
      </c>
      <c r="S123">
        <v>74.569999999999993</v>
      </c>
    </row>
    <row r="124" spans="15:19">
      <c r="O124" t="s">
        <v>1080</v>
      </c>
      <c r="P124" t="s">
        <v>70</v>
      </c>
      <c r="Q124" t="s">
        <v>935</v>
      </c>
      <c r="R124">
        <v>73.14</v>
      </c>
      <c r="S124">
        <v>247.26</v>
      </c>
    </row>
    <row r="125" spans="15:19">
      <c r="O125" t="s">
        <v>1081</v>
      </c>
      <c r="P125" t="s">
        <v>71</v>
      </c>
      <c r="Q125" t="s">
        <v>935</v>
      </c>
      <c r="R125">
        <v>109.34</v>
      </c>
      <c r="S125">
        <v>273.76</v>
      </c>
    </row>
    <row r="126" spans="15:19">
      <c r="O126" t="s">
        <v>1082</v>
      </c>
      <c r="P126" t="s">
        <v>72</v>
      </c>
      <c r="Q126" t="s">
        <v>935</v>
      </c>
      <c r="R126">
        <v>146.22999999999999</v>
      </c>
      <c r="S126">
        <v>184.35999999999899</v>
      </c>
    </row>
    <row r="127" spans="15:19">
      <c r="O127" t="s">
        <v>1083</v>
      </c>
      <c r="P127" t="s">
        <v>74</v>
      </c>
      <c r="Q127" t="s">
        <v>935</v>
      </c>
      <c r="R127">
        <v>144.49</v>
      </c>
      <c r="S127">
        <v>252.48</v>
      </c>
    </row>
    <row r="128" spans="15:19">
      <c r="O128" t="s">
        <v>1112</v>
      </c>
      <c r="P128" t="s">
        <v>64</v>
      </c>
      <c r="Q128" t="s">
        <v>935</v>
      </c>
      <c r="R128">
        <v>73</v>
      </c>
      <c r="S128">
        <v>213.79999999999899</v>
      </c>
    </row>
    <row r="129" spans="15:19">
      <c r="O129" t="s">
        <v>1084</v>
      </c>
      <c r="P129" t="s">
        <v>75</v>
      </c>
      <c r="Q129" t="s">
        <v>935</v>
      </c>
      <c r="R129">
        <v>36.520000000000003</v>
      </c>
      <c r="S129">
        <v>332.61</v>
      </c>
    </row>
    <row r="130" spans="15:19">
      <c r="O130" t="s">
        <v>1085</v>
      </c>
      <c r="P130" t="s">
        <v>76</v>
      </c>
      <c r="Q130" t="s">
        <v>935</v>
      </c>
      <c r="R130">
        <v>146.41</v>
      </c>
      <c r="S130">
        <v>271.24</v>
      </c>
    </row>
    <row r="131" spans="15:19">
      <c r="O131" t="s">
        <v>1086</v>
      </c>
      <c r="P131" t="s">
        <v>37</v>
      </c>
      <c r="Q131" t="s">
        <v>935</v>
      </c>
      <c r="R131">
        <v>82.62</v>
      </c>
      <c r="S131">
        <v>203.32</v>
      </c>
    </row>
    <row r="132" spans="15:19">
      <c r="O132" t="s">
        <v>1088</v>
      </c>
      <c r="P132" t="s">
        <v>47</v>
      </c>
      <c r="Q132" t="s">
        <v>935</v>
      </c>
      <c r="R132">
        <v>147.99</v>
      </c>
      <c r="S132">
        <v>222.55</v>
      </c>
    </row>
    <row r="133" spans="15:19">
      <c r="O133" t="s">
        <v>1089</v>
      </c>
      <c r="P133" t="s">
        <v>79</v>
      </c>
      <c r="Q133" t="s">
        <v>935</v>
      </c>
      <c r="R133">
        <v>36.369999999999997</v>
      </c>
      <c r="S133">
        <v>230.67</v>
      </c>
    </row>
    <row r="134" spans="15:19">
      <c r="O134" t="s">
        <v>1090</v>
      </c>
      <c r="P134" t="s">
        <v>95</v>
      </c>
      <c r="Q134" t="s">
        <v>935</v>
      </c>
      <c r="R134">
        <v>73.28</v>
      </c>
      <c r="S134">
        <v>184.57</v>
      </c>
    </row>
    <row r="135" spans="15:19">
      <c r="O135" t="s">
        <v>1113</v>
      </c>
      <c r="P135" t="s">
        <v>98</v>
      </c>
      <c r="Q135" t="s">
        <v>935</v>
      </c>
      <c r="R135">
        <v>36.4</v>
      </c>
      <c r="S135">
        <v>167.33</v>
      </c>
    </row>
    <row r="136" spans="15:19">
      <c r="O136" t="s">
        <v>1114</v>
      </c>
      <c r="P136" t="s">
        <v>24</v>
      </c>
      <c r="Q136" t="s">
        <v>935</v>
      </c>
      <c r="R136">
        <v>36.6</v>
      </c>
      <c r="S136">
        <v>238.1</v>
      </c>
    </row>
    <row r="137" spans="15:19">
      <c r="O137" t="s">
        <v>1115</v>
      </c>
      <c r="P137" t="s">
        <v>104</v>
      </c>
      <c r="Q137" t="s">
        <v>935</v>
      </c>
      <c r="R137">
        <v>36.380000000000003</v>
      </c>
      <c r="S137">
        <v>189.43</v>
      </c>
    </row>
    <row r="138" spans="15:19">
      <c r="O138" t="s">
        <v>1116</v>
      </c>
      <c r="P138" t="s">
        <v>53</v>
      </c>
      <c r="Q138" t="s">
        <v>935</v>
      </c>
      <c r="R138">
        <v>36.630000000000003</v>
      </c>
      <c r="S138">
        <v>232.5</v>
      </c>
    </row>
    <row r="139" spans="15:19">
      <c r="O139" t="s">
        <v>1117</v>
      </c>
      <c r="P139" t="s">
        <v>114</v>
      </c>
      <c r="Q139" t="s">
        <v>935</v>
      </c>
      <c r="R139">
        <v>36.590000000000003</v>
      </c>
      <c r="S139">
        <v>234.45</v>
      </c>
    </row>
    <row r="140" spans="15:19">
      <c r="O140" t="s">
        <v>955</v>
      </c>
      <c r="P140" t="s">
        <v>158</v>
      </c>
      <c r="Q140" t="s">
        <v>935</v>
      </c>
      <c r="R140">
        <v>73</v>
      </c>
      <c r="S140">
        <v>227.77</v>
      </c>
    </row>
    <row r="141" spans="15:19">
      <c r="O141" t="s">
        <v>1118</v>
      </c>
      <c r="P141" t="s">
        <v>159</v>
      </c>
      <c r="Q141" t="s">
        <v>935</v>
      </c>
      <c r="R141">
        <v>3.77</v>
      </c>
      <c r="S141">
        <v>131.56</v>
      </c>
    </row>
    <row r="142" spans="15:19">
      <c r="O142" t="s">
        <v>1027</v>
      </c>
      <c r="P142" t="s">
        <v>162</v>
      </c>
      <c r="Q142" t="s">
        <v>935</v>
      </c>
      <c r="R142">
        <v>117.34</v>
      </c>
      <c r="S142">
        <v>199.62</v>
      </c>
    </row>
    <row r="143" spans="15:19">
      <c r="O143" t="s">
        <v>964</v>
      </c>
      <c r="P143" t="s">
        <v>168</v>
      </c>
      <c r="Q143" t="s">
        <v>935</v>
      </c>
      <c r="R143">
        <v>40.950000000000003</v>
      </c>
      <c r="S143">
        <v>186.35999999999899</v>
      </c>
    </row>
    <row r="144" spans="15:19">
      <c r="O144" t="s">
        <v>1119</v>
      </c>
      <c r="P144" t="s">
        <v>184</v>
      </c>
      <c r="Q144" t="s">
        <v>935</v>
      </c>
      <c r="R144">
        <v>36.75</v>
      </c>
      <c r="S144">
        <v>193.06</v>
      </c>
    </row>
    <row r="145" spans="15:19">
      <c r="O145" t="s">
        <v>1100</v>
      </c>
      <c r="P145" t="s">
        <v>185</v>
      </c>
      <c r="Q145" t="s">
        <v>935</v>
      </c>
      <c r="R145">
        <v>146.47</v>
      </c>
      <c r="S145">
        <v>218.7</v>
      </c>
    </row>
    <row r="146" spans="15:19">
      <c r="O146" t="s">
        <v>982</v>
      </c>
      <c r="P146" t="s">
        <v>186</v>
      </c>
      <c r="Q146" t="s">
        <v>935</v>
      </c>
      <c r="R146">
        <v>73.11</v>
      </c>
      <c r="S146">
        <v>200.89</v>
      </c>
    </row>
    <row r="147" spans="15:19">
      <c r="O147" t="s">
        <v>1120</v>
      </c>
      <c r="P147" t="s">
        <v>187</v>
      </c>
      <c r="Q147" t="s">
        <v>935</v>
      </c>
      <c r="R147">
        <v>73.14</v>
      </c>
      <c r="S147">
        <v>236.73999999999899</v>
      </c>
    </row>
    <row r="148" spans="15:19">
      <c r="O148" t="s">
        <v>1121</v>
      </c>
      <c r="P148" t="s">
        <v>193</v>
      </c>
      <c r="Q148" t="s">
        <v>935</v>
      </c>
      <c r="R148">
        <v>146.12</v>
      </c>
      <c r="S148">
        <v>269.64</v>
      </c>
    </row>
    <row r="149" spans="15:19">
      <c r="O149" t="s">
        <v>1105</v>
      </c>
      <c r="P149" t="s">
        <v>197</v>
      </c>
      <c r="Q149" t="s">
        <v>935</v>
      </c>
      <c r="R149">
        <v>73.16</v>
      </c>
      <c r="S149">
        <v>228.75</v>
      </c>
    </row>
    <row r="150" spans="15:19">
      <c r="O150" t="s">
        <v>1106</v>
      </c>
      <c r="P150" t="s">
        <v>198</v>
      </c>
      <c r="Q150" t="s">
        <v>935</v>
      </c>
      <c r="R150">
        <v>146.4</v>
      </c>
      <c r="S150">
        <v>261.95999999999998</v>
      </c>
    </row>
    <row r="151" spans="15:19">
      <c r="O151" t="s">
        <v>1122</v>
      </c>
      <c r="P151" t="s">
        <v>206</v>
      </c>
      <c r="Q151" t="s">
        <v>935</v>
      </c>
      <c r="R151">
        <v>109.64</v>
      </c>
      <c r="S151">
        <v>269.63</v>
      </c>
    </row>
    <row r="152" spans="15:19">
      <c r="O152" t="s">
        <v>1109</v>
      </c>
      <c r="P152" t="s">
        <v>208</v>
      </c>
      <c r="Q152" t="s">
        <v>935</v>
      </c>
      <c r="R152">
        <v>77.33</v>
      </c>
      <c r="S152">
        <v>234.83</v>
      </c>
    </row>
    <row r="153" spans="15:19">
      <c r="O153" t="s">
        <v>1123</v>
      </c>
      <c r="P153" t="s">
        <v>209</v>
      </c>
      <c r="Q153" t="s">
        <v>935</v>
      </c>
      <c r="R153">
        <v>40.08</v>
      </c>
      <c r="S153">
        <v>263.14999999999998</v>
      </c>
    </row>
    <row r="154" spans="15:19">
      <c r="O154" t="s">
        <v>1067</v>
      </c>
      <c r="P154" t="s">
        <v>212</v>
      </c>
      <c r="Q154" t="s">
        <v>935</v>
      </c>
      <c r="R154">
        <v>75.11</v>
      </c>
      <c r="S154">
        <v>212.59</v>
      </c>
    </row>
    <row r="155" spans="15:19">
      <c r="O155" t="s">
        <v>995</v>
      </c>
      <c r="P155" t="s">
        <v>217</v>
      </c>
      <c r="Q155" t="s">
        <v>935</v>
      </c>
      <c r="R155">
        <v>72.98</v>
      </c>
      <c r="S155">
        <v>252.81</v>
      </c>
    </row>
    <row r="156" spans="15:19">
      <c r="O156" t="s">
        <v>997</v>
      </c>
      <c r="P156" t="s">
        <v>220</v>
      </c>
      <c r="Q156" t="s">
        <v>935</v>
      </c>
      <c r="R156">
        <v>36.479999999999997</v>
      </c>
      <c r="S156">
        <v>203.03</v>
      </c>
    </row>
    <row r="157" spans="15:19">
      <c r="O157" t="s">
        <v>1111</v>
      </c>
      <c r="P157" t="s">
        <v>65</v>
      </c>
      <c r="Q157" t="s">
        <v>943</v>
      </c>
      <c r="R157">
        <v>28.27</v>
      </c>
      <c r="S157">
        <v>128.09</v>
      </c>
    </row>
    <row r="158" spans="15:19">
      <c r="O158" t="s">
        <v>1079</v>
      </c>
      <c r="P158" t="s">
        <v>69</v>
      </c>
      <c r="Q158" t="s">
        <v>943</v>
      </c>
      <c r="R158">
        <v>28.46</v>
      </c>
      <c r="S158">
        <v>117.24</v>
      </c>
    </row>
    <row r="159" spans="15:19">
      <c r="O159" t="s">
        <v>1124</v>
      </c>
      <c r="P159" t="s">
        <v>73</v>
      </c>
      <c r="Q159" t="s">
        <v>943</v>
      </c>
      <c r="R159">
        <v>27.59</v>
      </c>
      <c r="S159">
        <v>176.87</v>
      </c>
    </row>
    <row r="160" spans="15:19">
      <c r="O160" t="s">
        <v>1083</v>
      </c>
      <c r="P160" t="s">
        <v>74</v>
      </c>
      <c r="Q160" t="s">
        <v>943</v>
      </c>
      <c r="R160">
        <v>52.4</v>
      </c>
      <c r="S160">
        <v>236.71</v>
      </c>
    </row>
    <row r="161" spans="15:19">
      <c r="O161" t="s">
        <v>1086</v>
      </c>
      <c r="P161" t="s">
        <v>37</v>
      </c>
      <c r="Q161" t="s">
        <v>943</v>
      </c>
      <c r="R161">
        <v>28.24</v>
      </c>
      <c r="S161">
        <v>83</v>
      </c>
    </row>
    <row r="162" spans="15:19">
      <c r="O162" t="s">
        <v>1088</v>
      </c>
      <c r="P162" t="s">
        <v>47</v>
      </c>
      <c r="Q162" t="s">
        <v>943</v>
      </c>
      <c r="R162">
        <v>56.85</v>
      </c>
      <c r="S162">
        <v>194.84</v>
      </c>
    </row>
    <row r="163" spans="15:19">
      <c r="O163" t="s">
        <v>1090</v>
      </c>
      <c r="P163" t="s">
        <v>95</v>
      </c>
      <c r="Q163" t="s">
        <v>943</v>
      </c>
      <c r="R163">
        <v>28.36</v>
      </c>
      <c r="S163">
        <v>117.479999999999</v>
      </c>
    </row>
    <row r="164" spans="15:19">
      <c r="O164" t="s">
        <v>1125</v>
      </c>
      <c r="P164" t="s">
        <v>101</v>
      </c>
      <c r="Q164" t="s">
        <v>943</v>
      </c>
      <c r="R164">
        <v>191.36</v>
      </c>
      <c r="S164">
        <v>225.5</v>
      </c>
    </row>
    <row r="165" spans="15:19">
      <c r="O165" t="s">
        <v>1126</v>
      </c>
      <c r="P165" t="s">
        <v>102</v>
      </c>
      <c r="Q165" t="s">
        <v>943</v>
      </c>
      <c r="R165">
        <v>185.64</v>
      </c>
      <c r="S165">
        <v>210.11999999999901</v>
      </c>
    </row>
    <row r="166" spans="15:19">
      <c r="O166" t="s">
        <v>1127</v>
      </c>
      <c r="P166" t="s">
        <v>103</v>
      </c>
      <c r="Q166" t="s">
        <v>943</v>
      </c>
      <c r="R166">
        <v>228.25</v>
      </c>
      <c r="S166">
        <v>241.75</v>
      </c>
    </row>
    <row r="167" spans="15:19">
      <c r="O167" t="s">
        <v>1115</v>
      </c>
      <c r="P167" t="s">
        <v>104</v>
      </c>
      <c r="Q167" t="s">
        <v>943</v>
      </c>
      <c r="R167">
        <v>202.52</v>
      </c>
      <c r="S167">
        <v>202.52</v>
      </c>
    </row>
    <row r="168" spans="15:19">
      <c r="O168" t="s">
        <v>1128</v>
      </c>
      <c r="P168" t="s">
        <v>105</v>
      </c>
      <c r="Q168" t="s">
        <v>943</v>
      </c>
      <c r="R168">
        <v>122.93</v>
      </c>
      <c r="S168">
        <v>130.69</v>
      </c>
    </row>
    <row r="169" spans="15:19">
      <c r="O169" t="s">
        <v>1092</v>
      </c>
      <c r="P169" t="s">
        <v>106</v>
      </c>
      <c r="Q169" t="s">
        <v>943</v>
      </c>
      <c r="R169">
        <v>109.9</v>
      </c>
      <c r="S169">
        <v>123.95</v>
      </c>
    </row>
    <row r="170" spans="15:19">
      <c r="O170" t="s">
        <v>1129</v>
      </c>
      <c r="P170" t="s">
        <v>107</v>
      </c>
      <c r="Q170" t="s">
        <v>943</v>
      </c>
      <c r="R170">
        <v>115.31</v>
      </c>
      <c r="S170">
        <v>115.31</v>
      </c>
    </row>
    <row r="171" spans="15:19">
      <c r="O171" t="s">
        <v>1130</v>
      </c>
      <c r="P171" t="s">
        <v>40</v>
      </c>
      <c r="Q171" t="s">
        <v>943</v>
      </c>
      <c r="R171">
        <v>85.94</v>
      </c>
      <c r="S171">
        <v>85.94</v>
      </c>
    </row>
    <row r="172" spans="15:19">
      <c r="O172" t="s">
        <v>1131</v>
      </c>
      <c r="P172" t="s">
        <v>42</v>
      </c>
      <c r="Q172" t="s">
        <v>943</v>
      </c>
      <c r="R172">
        <v>99.21</v>
      </c>
      <c r="S172">
        <v>99.21</v>
      </c>
    </row>
    <row r="173" spans="15:19">
      <c r="O173" t="s">
        <v>1132</v>
      </c>
      <c r="P173" t="s">
        <v>111</v>
      </c>
      <c r="Q173" t="s">
        <v>943</v>
      </c>
      <c r="R173">
        <v>221.42</v>
      </c>
      <c r="S173">
        <v>252.17999999999901</v>
      </c>
    </row>
    <row r="174" spans="15:19">
      <c r="O174" t="s">
        <v>1133</v>
      </c>
      <c r="P174" t="s">
        <v>43</v>
      </c>
      <c r="Q174" t="s">
        <v>943</v>
      </c>
      <c r="R174">
        <v>81.96</v>
      </c>
      <c r="S174">
        <v>153.57</v>
      </c>
    </row>
    <row r="175" spans="15:19">
      <c r="O175" t="s">
        <v>1134</v>
      </c>
      <c r="P175" t="s">
        <v>44</v>
      </c>
      <c r="Q175" t="s">
        <v>943</v>
      </c>
      <c r="R175">
        <v>194.86</v>
      </c>
      <c r="S175">
        <v>206.63</v>
      </c>
    </row>
    <row r="176" spans="15:19">
      <c r="O176" t="s">
        <v>1135</v>
      </c>
      <c r="P176" t="s">
        <v>46</v>
      </c>
      <c r="Q176" t="s">
        <v>943</v>
      </c>
      <c r="R176">
        <v>241.41</v>
      </c>
      <c r="S176">
        <v>243.24</v>
      </c>
    </row>
    <row r="177" spans="15:19">
      <c r="O177" t="s">
        <v>1136</v>
      </c>
      <c r="P177" t="s">
        <v>109</v>
      </c>
      <c r="Q177" t="s">
        <v>943</v>
      </c>
      <c r="R177">
        <v>165.38</v>
      </c>
      <c r="S177">
        <v>175.06</v>
      </c>
    </row>
    <row r="178" spans="15:19">
      <c r="O178" t="s">
        <v>1137</v>
      </c>
      <c r="P178" t="s">
        <v>49</v>
      </c>
      <c r="Q178" t="s">
        <v>943</v>
      </c>
      <c r="R178">
        <v>130.77000000000001</v>
      </c>
      <c r="S178">
        <v>164.24</v>
      </c>
    </row>
    <row r="179" spans="15:19">
      <c r="O179" t="s">
        <v>1138</v>
      </c>
      <c r="P179" t="s">
        <v>112</v>
      </c>
      <c r="Q179" t="s">
        <v>943</v>
      </c>
      <c r="R179">
        <v>168.34</v>
      </c>
      <c r="S179">
        <v>168.34</v>
      </c>
    </row>
    <row r="180" spans="15:19">
      <c r="O180" t="s">
        <v>1093</v>
      </c>
      <c r="P180" t="s">
        <v>50</v>
      </c>
      <c r="Q180" t="s">
        <v>943</v>
      </c>
      <c r="R180">
        <v>206.55</v>
      </c>
      <c r="S180">
        <v>243.19</v>
      </c>
    </row>
    <row r="181" spans="15:19">
      <c r="O181" t="s">
        <v>1139</v>
      </c>
      <c r="P181" t="s">
        <v>51</v>
      </c>
      <c r="Q181" t="s">
        <v>943</v>
      </c>
      <c r="R181">
        <v>221.48</v>
      </c>
      <c r="S181">
        <v>221.48</v>
      </c>
    </row>
    <row r="182" spans="15:19">
      <c r="O182" t="s">
        <v>1140</v>
      </c>
      <c r="P182" t="s">
        <v>52</v>
      </c>
      <c r="Q182" t="s">
        <v>943</v>
      </c>
      <c r="R182">
        <v>33.26</v>
      </c>
      <c r="S182">
        <v>34.239999999999903</v>
      </c>
    </row>
    <row r="183" spans="15:19">
      <c r="O183" t="s">
        <v>1116</v>
      </c>
      <c r="P183" t="s">
        <v>53</v>
      </c>
      <c r="Q183" t="s">
        <v>943</v>
      </c>
      <c r="R183">
        <v>196.43</v>
      </c>
      <c r="S183">
        <v>196.43</v>
      </c>
    </row>
    <row r="184" spans="15:19">
      <c r="O184" t="s">
        <v>1141</v>
      </c>
      <c r="P184" t="s">
        <v>113</v>
      </c>
      <c r="Q184" t="s">
        <v>943</v>
      </c>
      <c r="R184">
        <v>108.89</v>
      </c>
      <c r="S184">
        <v>108.89</v>
      </c>
    </row>
    <row r="185" spans="15:19">
      <c r="O185" t="s">
        <v>1117</v>
      </c>
      <c r="P185" t="s">
        <v>114</v>
      </c>
      <c r="Q185" t="s">
        <v>943</v>
      </c>
      <c r="R185">
        <v>27.46</v>
      </c>
      <c r="S185">
        <v>35.68</v>
      </c>
    </row>
    <row r="186" spans="15:19">
      <c r="O186" t="s">
        <v>1142</v>
      </c>
      <c r="P186" t="s">
        <v>54</v>
      </c>
      <c r="Q186" t="s">
        <v>943</v>
      </c>
      <c r="R186">
        <v>222.28</v>
      </c>
      <c r="S186">
        <v>222.28</v>
      </c>
    </row>
    <row r="187" spans="15:19">
      <c r="O187" t="s">
        <v>1094</v>
      </c>
      <c r="P187" t="s">
        <v>55</v>
      </c>
      <c r="Q187" t="s">
        <v>943</v>
      </c>
      <c r="R187">
        <v>225.97</v>
      </c>
      <c r="S187">
        <v>248.15</v>
      </c>
    </row>
    <row r="188" spans="15:19">
      <c r="O188" t="s">
        <v>1095</v>
      </c>
      <c r="P188" t="s">
        <v>56</v>
      </c>
      <c r="Q188" t="s">
        <v>943</v>
      </c>
      <c r="R188">
        <v>54.2</v>
      </c>
      <c r="S188">
        <v>90.61</v>
      </c>
    </row>
    <row r="189" spans="15:19">
      <c r="O189" t="s">
        <v>1143</v>
      </c>
      <c r="P189" t="s">
        <v>116</v>
      </c>
      <c r="Q189" t="s">
        <v>943</v>
      </c>
      <c r="R189">
        <v>165.83</v>
      </c>
      <c r="S189">
        <v>165.83</v>
      </c>
    </row>
    <row r="190" spans="15:19">
      <c r="O190" t="s">
        <v>1144</v>
      </c>
      <c r="P190" t="s">
        <v>57</v>
      </c>
      <c r="Q190" t="s">
        <v>943</v>
      </c>
      <c r="R190">
        <v>108.31</v>
      </c>
      <c r="S190">
        <v>108.31</v>
      </c>
    </row>
    <row r="191" spans="15:19">
      <c r="O191" t="s">
        <v>1096</v>
      </c>
      <c r="P191" t="s">
        <v>58</v>
      </c>
      <c r="Q191" t="s">
        <v>943</v>
      </c>
      <c r="R191">
        <v>162.19</v>
      </c>
      <c r="S191">
        <v>198.91</v>
      </c>
    </row>
    <row r="192" spans="15:19">
      <c r="O192" t="s">
        <v>1145</v>
      </c>
      <c r="P192" t="s">
        <v>59</v>
      </c>
      <c r="Q192" t="s">
        <v>943</v>
      </c>
      <c r="R192">
        <v>137.29</v>
      </c>
      <c r="S192">
        <v>185.67</v>
      </c>
    </row>
    <row r="193" spans="15:19">
      <c r="O193" t="s">
        <v>1146</v>
      </c>
      <c r="P193" t="s">
        <v>118</v>
      </c>
      <c r="Q193" t="s">
        <v>943</v>
      </c>
      <c r="R193">
        <v>142.06</v>
      </c>
      <c r="S193">
        <v>142.06</v>
      </c>
    </row>
    <row r="194" spans="15:19">
      <c r="O194" t="s">
        <v>1147</v>
      </c>
      <c r="P194" t="s">
        <v>61</v>
      </c>
      <c r="Q194" t="s">
        <v>943</v>
      </c>
      <c r="R194">
        <v>159.78</v>
      </c>
      <c r="S194">
        <v>159.78</v>
      </c>
    </row>
    <row r="195" spans="15:19">
      <c r="O195" t="s">
        <v>1080</v>
      </c>
      <c r="P195" t="s">
        <v>70</v>
      </c>
      <c r="Q195" t="s">
        <v>943</v>
      </c>
      <c r="R195">
        <v>27.1</v>
      </c>
      <c r="S195">
        <v>247.26</v>
      </c>
    </row>
    <row r="196" spans="15:19">
      <c r="O196" t="s">
        <v>1124</v>
      </c>
      <c r="P196" t="s">
        <v>73</v>
      </c>
      <c r="Q196" t="s">
        <v>943</v>
      </c>
      <c r="R196">
        <v>27.14</v>
      </c>
      <c r="S196">
        <v>113.06</v>
      </c>
    </row>
    <row r="197" spans="15:19">
      <c r="O197" t="s">
        <v>1083</v>
      </c>
      <c r="P197" t="s">
        <v>74</v>
      </c>
      <c r="Q197" t="s">
        <v>943</v>
      </c>
      <c r="R197">
        <v>54.89</v>
      </c>
      <c r="S197">
        <v>252.48</v>
      </c>
    </row>
    <row r="198" spans="15:19">
      <c r="O198" t="s">
        <v>1148</v>
      </c>
      <c r="P198" t="s">
        <v>93</v>
      </c>
      <c r="Q198" t="s">
        <v>943</v>
      </c>
      <c r="R198">
        <v>27.59</v>
      </c>
      <c r="S198">
        <v>49.65</v>
      </c>
    </row>
    <row r="199" spans="15:19">
      <c r="O199" t="s">
        <v>1090</v>
      </c>
      <c r="P199" t="s">
        <v>95</v>
      </c>
      <c r="Q199" t="s">
        <v>943</v>
      </c>
      <c r="R199">
        <v>27.66</v>
      </c>
      <c r="S199">
        <v>184.57</v>
      </c>
    </row>
    <row r="200" spans="15:19">
      <c r="O200" t="s">
        <v>1149</v>
      </c>
      <c r="P200" t="s">
        <v>90</v>
      </c>
      <c r="Q200" t="s">
        <v>943</v>
      </c>
      <c r="R200">
        <v>27.39</v>
      </c>
      <c r="S200">
        <v>65.289999999999907</v>
      </c>
    </row>
    <row r="201" spans="15:19">
      <c r="O201" t="s">
        <v>1150</v>
      </c>
      <c r="P201" t="s">
        <v>91</v>
      </c>
      <c r="Q201" t="s">
        <v>943</v>
      </c>
      <c r="R201">
        <v>54.74</v>
      </c>
      <c r="S201">
        <v>165.79</v>
      </c>
    </row>
    <row r="202" spans="15:19">
      <c r="O202" t="s">
        <v>1091</v>
      </c>
      <c r="P202" t="s">
        <v>99</v>
      </c>
      <c r="Q202" t="s">
        <v>943</v>
      </c>
      <c r="R202">
        <v>27.51</v>
      </c>
      <c r="S202">
        <v>176.87</v>
      </c>
    </row>
    <row r="203" spans="15:19">
      <c r="O203" t="s">
        <v>1151</v>
      </c>
      <c r="P203" t="s">
        <v>100</v>
      </c>
      <c r="Q203" t="s">
        <v>943</v>
      </c>
      <c r="R203">
        <v>11.29</v>
      </c>
      <c r="S203">
        <v>13.1</v>
      </c>
    </row>
    <row r="204" spans="15:19">
      <c r="O204" t="s">
        <v>1125</v>
      </c>
      <c r="P204" t="s">
        <v>101</v>
      </c>
      <c r="Q204" t="s">
        <v>943</v>
      </c>
      <c r="R204">
        <v>191.46</v>
      </c>
      <c r="S204">
        <v>226.6</v>
      </c>
    </row>
    <row r="205" spans="15:19">
      <c r="O205" t="s">
        <v>1126</v>
      </c>
      <c r="P205" t="s">
        <v>102</v>
      </c>
      <c r="Q205" t="s">
        <v>943</v>
      </c>
      <c r="R205">
        <v>218.86</v>
      </c>
      <c r="S205">
        <v>218.86</v>
      </c>
    </row>
    <row r="206" spans="15:19">
      <c r="O206" t="s">
        <v>1127</v>
      </c>
      <c r="P206" t="s">
        <v>103</v>
      </c>
      <c r="Q206" t="s">
        <v>943</v>
      </c>
      <c r="R206">
        <v>187.2</v>
      </c>
      <c r="S206">
        <v>225.72</v>
      </c>
    </row>
    <row r="207" spans="15:19">
      <c r="O207" t="s">
        <v>1115</v>
      </c>
      <c r="P207" t="s">
        <v>104</v>
      </c>
      <c r="Q207" t="s">
        <v>943</v>
      </c>
      <c r="R207">
        <v>153.05000000000001</v>
      </c>
      <c r="S207">
        <v>189.43</v>
      </c>
    </row>
    <row r="208" spans="15:19">
      <c r="O208" t="s">
        <v>1128</v>
      </c>
      <c r="P208" t="s">
        <v>105</v>
      </c>
      <c r="Q208" t="s">
        <v>943</v>
      </c>
      <c r="R208">
        <v>211.55</v>
      </c>
      <c r="S208">
        <v>249.51</v>
      </c>
    </row>
    <row r="209" spans="15:19">
      <c r="O209" t="s">
        <v>1092</v>
      </c>
      <c r="P209" t="s">
        <v>106</v>
      </c>
      <c r="Q209" t="s">
        <v>943</v>
      </c>
      <c r="R209">
        <v>136.99</v>
      </c>
      <c r="S209">
        <v>136.99</v>
      </c>
    </row>
    <row r="210" spans="15:19">
      <c r="O210" t="s">
        <v>1129</v>
      </c>
      <c r="P210" t="s">
        <v>107</v>
      </c>
      <c r="Q210" t="s">
        <v>943</v>
      </c>
      <c r="R210">
        <v>219.11</v>
      </c>
      <c r="S210">
        <v>219.11</v>
      </c>
    </row>
    <row r="211" spans="15:19">
      <c r="O211" t="s">
        <v>1130</v>
      </c>
      <c r="P211" t="s">
        <v>40</v>
      </c>
      <c r="Q211" t="s">
        <v>943</v>
      </c>
      <c r="R211">
        <v>255.39</v>
      </c>
      <c r="S211">
        <v>270.539999999999</v>
      </c>
    </row>
    <row r="212" spans="15:19">
      <c r="O212" t="s">
        <v>1132</v>
      </c>
      <c r="P212" t="s">
        <v>111</v>
      </c>
      <c r="Q212" t="s">
        <v>943</v>
      </c>
      <c r="R212">
        <v>164.23</v>
      </c>
      <c r="S212">
        <v>165.11999999999901</v>
      </c>
    </row>
    <row r="213" spans="15:19">
      <c r="O213" t="s">
        <v>1133</v>
      </c>
      <c r="P213" t="s">
        <v>43</v>
      </c>
      <c r="Q213" t="s">
        <v>943</v>
      </c>
      <c r="R213">
        <v>109.87</v>
      </c>
      <c r="S213">
        <v>144.97</v>
      </c>
    </row>
    <row r="214" spans="15:19">
      <c r="O214" t="s">
        <v>1134</v>
      </c>
      <c r="P214" t="s">
        <v>44</v>
      </c>
      <c r="Q214" t="s">
        <v>943</v>
      </c>
      <c r="R214">
        <v>218.82</v>
      </c>
      <c r="S214">
        <v>218.82</v>
      </c>
    </row>
    <row r="215" spans="15:19">
      <c r="O215" t="s">
        <v>1135</v>
      </c>
      <c r="P215" t="s">
        <v>46</v>
      </c>
      <c r="Q215" t="s">
        <v>943</v>
      </c>
      <c r="R215">
        <v>191.7</v>
      </c>
      <c r="S215">
        <v>191.7</v>
      </c>
    </row>
    <row r="216" spans="15:19">
      <c r="O216" t="s">
        <v>1152</v>
      </c>
      <c r="P216" t="s">
        <v>48</v>
      </c>
      <c r="Q216" t="s">
        <v>943</v>
      </c>
      <c r="R216">
        <v>196.12</v>
      </c>
      <c r="S216">
        <v>196.12</v>
      </c>
    </row>
    <row r="217" spans="15:19">
      <c r="O217" t="s">
        <v>1136</v>
      </c>
      <c r="P217" t="s">
        <v>109</v>
      </c>
      <c r="Q217" t="s">
        <v>943</v>
      </c>
      <c r="R217">
        <v>192.01</v>
      </c>
      <c r="S217">
        <v>247.63</v>
      </c>
    </row>
    <row r="218" spans="15:19">
      <c r="O218" t="s">
        <v>1137</v>
      </c>
      <c r="P218" t="s">
        <v>49</v>
      </c>
      <c r="Q218" t="s">
        <v>943</v>
      </c>
      <c r="R218">
        <v>219.12</v>
      </c>
      <c r="S218">
        <v>267.56</v>
      </c>
    </row>
    <row r="219" spans="15:19">
      <c r="O219" t="s">
        <v>1138</v>
      </c>
      <c r="P219" t="s">
        <v>112</v>
      </c>
      <c r="Q219" t="s">
        <v>943</v>
      </c>
      <c r="R219">
        <v>191.66</v>
      </c>
      <c r="S219">
        <v>191.66</v>
      </c>
    </row>
    <row r="220" spans="15:19">
      <c r="O220" t="s">
        <v>1093</v>
      </c>
      <c r="P220" t="s">
        <v>50</v>
      </c>
      <c r="Q220" t="s">
        <v>943</v>
      </c>
      <c r="R220">
        <v>200.46</v>
      </c>
      <c r="S220">
        <v>217.98</v>
      </c>
    </row>
    <row r="221" spans="15:19">
      <c r="O221" t="s">
        <v>1139</v>
      </c>
      <c r="P221" t="s">
        <v>51</v>
      </c>
      <c r="Q221" t="s">
        <v>943</v>
      </c>
      <c r="R221">
        <v>283.91000000000003</v>
      </c>
      <c r="S221">
        <v>283.91000000000003</v>
      </c>
    </row>
    <row r="222" spans="15:19">
      <c r="O222" t="s">
        <v>1140</v>
      </c>
      <c r="P222" t="s">
        <v>52</v>
      </c>
      <c r="Q222" t="s">
        <v>943</v>
      </c>
      <c r="R222">
        <v>164.56</v>
      </c>
      <c r="S222">
        <v>178.01</v>
      </c>
    </row>
    <row r="223" spans="15:19">
      <c r="O223" t="s">
        <v>1116</v>
      </c>
      <c r="P223" t="s">
        <v>53</v>
      </c>
      <c r="Q223" t="s">
        <v>943</v>
      </c>
      <c r="R223">
        <v>136.88</v>
      </c>
      <c r="S223">
        <v>232.5</v>
      </c>
    </row>
    <row r="224" spans="15:19">
      <c r="O224" t="s">
        <v>1141</v>
      </c>
      <c r="P224" t="s">
        <v>113</v>
      </c>
      <c r="Q224" t="s">
        <v>943</v>
      </c>
      <c r="R224">
        <v>137.02000000000001</v>
      </c>
      <c r="S224">
        <v>137.02000000000001</v>
      </c>
    </row>
    <row r="225" spans="15:19">
      <c r="O225" t="s">
        <v>1117</v>
      </c>
      <c r="P225" t="s">
        <v>114</v>
      </c>
      <c r="Q225" t="s">
        <v>943</v>
      </c>
      <c r="R225">
        <v>197.86</v>
      </c>
      <c r="S225">
        <v>234.45</v>
      </c>
    </row>
    <row r="226" spans="15:19">
      <c r="O226" t="s">
        <v>1142</v>
      </c>
      <c r="P226" t="s">
        <v>54</v>
      </c>
      <c r="Q226" t="s">
        <v>943</v>
      </c>
      <c r="R226">
        <v>218.53</v>
      </c>
      <c r="S226">
        <v>218.53</v>
      </c>
    </row>
    <row r="227" spans="15:19">
      <c r="O227" t="s">
        <v>1094</v>
      </c>
      <c r="P227" t="s">
        <v>55</v>
      </c>
      <c r="Q227" t="s">
        <v>943</v>
      </c>
      <c r="R227">
        <v>240.9</v>
      </c>
      <c r="S227">
        <v>240.9</v>
      </c>
    </row>
    <row r="228" spans="15:19">
      <c r="O228" t="s">
        <v>1143</v>
      </c>
      <c r="P228" t="s">
        <v>116</v>
      </c>
      <c r="Q228" t="s">
        <v>943</v>
      </c>
      <c r="R228">
        <v>176.39</v>
      </c>
      <c r="S228">
        <v>207.76999999999899</v>
      </c>
    </row>
    <row r="229" spans="15:19">
      <c r="O229" t="s">
        <v>1153</v>
      </c>
      <c r="P229" t="s">
        <v>117</v>
      </c>
      <c r="Q229" t="s">
        <v>943</v>
      </c>
      <c r="R229">
        <v>157.65</v>
      </c>
      <c r="S229">
        <v>171.01</v>
      </c>
    </row>
    <row r="230" spans="15:19">
      <c r="O230" t="s">
        <v>1096</v>
      </c>
      <c r="P230" t="s">
        <v>58</v>
      </c>
      <c r="Q230" t="s">
        <v>943</v>
      </c>
      <c r="R230">
        <v>272.01</v>
      </c>
      <c r="S230">
        <v>272.01</v>
      </c>
    </row>
    <row r="231" spans="15:19">
      <c r="O231" t="s">
        <v>1145</v>
      </c>
      <c r="P231" t="s">
        <v>59</v>
      </c>
      <c r="Q231" t="s">
        <v>943</v>
      </c>
      <c r="R231">
        <v>191.78</v>
      </c>
      <c r="S231">
        <v>191.78</v>
      </c>
    </row>
    <row r="232" spans="15:19">
      <c r="O232" t="s">
        <v>1146</v>
      </c>
      <c r="P232" t="s">
        <v>118</v>
      </c>
      <c r="Q232" t="s">
        <v>943</v>
      </c>
      <c r="R232">
        <v>218.62</v>
      </c>
      <c r="S232">
        <v>218.62</v>
      </c>
    </row>
    <row r="233" spans="15:19">
      <c r="O233" t="s">
        <v>1147</v>
      </c>
      <c r="P233" t="s">
        <v>61</v>
      </c>
      <c r="Q233" t="s">
        <v>943</v>
      </c>
      <c r="R233">
        <v>234.26</v>
      </c>
      <c r="S233">
        <v>273.05</v>
      </c>
    </row>
    <row r="234" spans="15:19">
      <c r="O234" t="s">
        <v>1111</v>
      </c>
      <c r="P234" t="s">
        <v>65</v>
      </c>
      <c r="Q234" t="s">
        <v>1154</v>
      </c>
      <c r="R234">
        <v>57.17</v>
      </c>
      <c r="S234">
        <v>128.09</v>
      </c>
    </row>
    <row r="235" spans="15:19">
      <c r="O235" t="s">
        <v>1080</v>
      </c>
      <c r="P235" t="s">
        <v>70</v>
      </c>
      <c r="Q235" t="s">
        <v>1154</v>
      </c>
      <c r="R235">
        <v>37.99</v>
      </c>
      <c r="S235">
        <v>150.43</v>
      </c>
    </row>
    <row r="236" spans="15:19">
      <c r="O236" t="s">
        <v>1124</v>
      </c>
      <c r="P236" t="s">
        <v>73</v>
      </c>
      <c r="Q236" t="s">
        <v>1154</v>
      </c>
      <c r="R236">
        <v>114.15</v>
      </c>
      <c r="S236">
        <v>176.87</v>
      </c>
    </row>
    <row r="237" spans="15:19">
      <c r="O237" t="s">
        <v>1086</v>
      </c>
      <c r="P237" t="s">
        <v>37</v>
      </c>
      <c r="Q237" t="s">
        <v>1154</v>
      </c>
      <c r="R237">
        <v>18.920000000000002</v>
      </c>
      <c r="S237">
        <v>83</v>
      </c>
    </row>
    <row r="238" spans="15:19">
      <c r="O238" t="s">
        <v>1148</v>
      </c>
      <c r="P238" t="s">
        <v>93</v>
      </c>
      <c r="Q238" t="s">
        <v>1154</v>
      </c>
      <c r="R238">
        <v>95.67</v>
      </c>
      <c r="S238">
        <v>127.82</v>
      </c>
    </row>
    <row r="239" spans="15:19">
      <c r="O239" t="s">
        <v>1155</v>
      </c>
      <c r="P239" t="s">
        <v>94</v>
      </c>
      <c r="Q239" t="s">
        <v>1154</v>
      </c>
      <c r="R239">
        <v>57.04</v>
      </c>
      <c r="S239">
        <v>57.04</v>
      </c>
    </row>
    <row r="240" spans="15:19">
      <c r="O240" t="s">
        <v>1090</v>
      </c>
      <c r="P240" t="s">
        <v>95</v>
      </c>
      <c r="Q240" t="s">
        <v>1154</v>
      </c>
      <c r="R240">
        <v>18.989999999999998</v>
      </c>
      <c r="S240">
        <v>117.479999999999</v>
      </c>
    </row>
    <row r="241" spans="15:19">
      <c r="O241" t="s">
        <v>1149</v>
      </c>
      <c r="P241" t="s">
        <v>90</v>
      </c>
      <c r="Q241" t="s">
        <v>1154</v>
      </c>
      <c r="R241">
        <v>110.85</v>
      </c>
      <c r="S241">
        <v>110.85</v>
      </c>
    </row>
    <row r="242" spans="15:19">
      <c r="O242" t="s">
        <v>1113</v>
      </c>
      <c r="P242" t="s">
        <v>98</v>
      </c>
      <c r="Q242" t="s">
        <v>1154</v>
      </c>
      <c r="R242">
        <v>56.94</v>
      </c>
      <c r="S242">
        <v>277.7</v>
      </c>
    </row>
    <row r="243" spans="15:19">
      <c r="O243" t="s">
        <v>1150</v>
      </c>
      <c r="P243" t="s">
        <v>91</v>
      </c>
      <c r="Q243" t="s">
        <v>1154</v>
      </c>
      <c r="R243">
        <v>134.08000000000001</v>
      </c>
      <c r="S243">
        <v>201.23</v>
      </c>
    </row>
    <row r="244" spans="15:19">
      <c r="O244" t="s">
        <v>1156</v>
      </c>
      <c r="P244" t="s">
        <v>408</v>
      </c>
      <c r="Q244" t="s">
        <v>1058</v>
      </c>
      <c r="R244">
        <v>16.8</v>
      </c>
      <c r="S244">
        <v>307.05</v>
      </c>
    </row>
    <row r="245" spans="15:19">
      <c r="O245" t="s">
        <v>1157</v>
      </c>
      <c r="P245" t="s">
        <v>419</v>
      </c>
      <c r="Q245" t="s">
        <v>1058</v>
      </c>
      <c r="R245">
        <v>79.959999999999994</v>
      </c>
      <c r="S245">
        <v>350.44</v>
      </c>
    </row>
    <row r="246" spans="15:19">
      <c r="O246" t="s">
        <v>1158</v>
      </c>
      <c r="P246" t="s">
        <v>306</v>
      </c>
      <c r="Q246" t="s">
        <v>1058</v>
      </c>
      <c r="R246">
        <v>16.86</v>
      </c>
      <c r="S246">
        <v>147.46</v>
      </c>
    </row>
    <row r="247" spans="15:19">
      <c r="O247" t="s">
        <v>1159</v>
      </c>
      <c r="P247" t="s">
        <v>377</v>
      </c>
      <c r="Q247" t="s">
        <v>1058</v>
      </c>
      <c r="R247">
        <v>17.05</v>
      </c>
      <c r="S247">
        <v>81.41</v>
      </c>
    </row>
    <row r="248" spans="15:19">
      <c r="O248" t="s">
        <v>1160</v>
      </c>
      <c r="P248" t="s">
        <v>379</v>
      </c>
      <c r="Q248" t="s">
        <v>1058</v>
      </c>
      <c r="R248">
        <v>47.53</v>
      </c>
      <c r="S248">
        <v>147.71</v>
      </c>
    </row>
    <row r="249" spans="15:19">
      <c r="O249" t="s">
        <v>1161</v>
      </c>
      <c r="P249" t="s">
        <v>84</v>
      </c>
      <c r="Q249" t="s">
        <v>1058</v>
      </c>
      <c r="R249">
        <v>33.85</v>
      </c>
      <c r="S249">
        <v>98.61</v>
      </c>
    </row>
    <row r="250" spans="15:19">
      <c r="O250" t="s">
        <v>1162</v>
      </c>
      <c r="P250" t="s">
        <v>318</v>
      </c>
      <c r="Q250" t="s">
        <v>1058</v>
      </c>
      <c r="R250">
        <v>67.150000000000006</v>
      </c>
      <c r="S250">
        <v>206.93</v>
      </c>
    </row>
    <row r="251" spans="15:19">
      <c r="O251" t="s">
        <v>1163</v>
      </c>
      <c r="P251" t="s">
        <v>321</v>
      </c>
      <c r="Q251" t="s">
        <v>1058</v>
      </c>
      <c r="R251">
        <v>118.76</v>
      </c>
      <c r="S251">
        <v>219.04</v>
      </c>
    </row>
    <row r="252" spans="15:19">
      <c r="O252" t="s">
        <v>1164</v>
      </c>
      <c r="P252" t="s">
        <v>344</v>
      </c>
      <c r="Q252" t="s">
        <v>1058</v>
      </c>
      <c r="R252">
        <v>116.31</v>
      </c>
      <c r="S252">
        <v>184.66</v>
      </c>
    </row>
    <row r="253" spans="15:19">
      <c r="O253" t="s">
        <v>1165</v>
      </c>
      <c r="P253" t="s">
        <v>358</v>
      </c>
      <c r="Q253" t="s">
        <v>1058</v>
      </c>
      <c r="R253">
        <v>168.11</v>
      </c>
      <c r="S253">
        <v>269.88</v>
      </c>
    </row>
    <row r="254" spans="15:19">
      <c r="O254" t="s">
        <v>1166</v>
      </c>
      <c r="P254" t="s">
        <v>359</v>
      </c>
      <c r="Q254" t="s">
        <v>1058</v>
      </c>
      <c r="R254">
        <v>33.76</v>
      </c>
      <c r="S254">
        <v>244.72</v>
      </c>
    </row>
    <row r="255" spans="15:19">
      <c r="O255" t="s">
        <v>1167</v>
      </c>
      <c r="P255" t="s">
        <v>361</v>
      </c>
      <c r="Q255" t="s">
        <v>1058</v>
      </c>
      <c r="R255">
        <v>115.32</v>
      </c>
      <c r="S255">
        <v>242.73999999999899</v>
      </c>
    </row>
    <row r="256" spans="15:19">
      <c r="O256" t="s">
        <v>1168</v>
      </c>
      <c r="P256" t="s">
        <v>366</v>
      </c>
      <c r="Q256" t="s">
        <v>1058</v>
      </c>
      <c r="R256">
        <v>117.29</v>
      </c>
      <c r="S256">
        <v>241.82</v>
      </c>
    </row>
    <row r="257" spans="15:19">
      <c r="O257" t="s">
        <v>1169</v>
      </c>
      <c r="P257" t="s">
        <v>371</v>
      </c>
      <c r="Q257" t="s">
        <v>1058</v>
      </c>
      <c r="R257">
        <v>99.59</v>
      </c>
      <c r="S257">
        <v>158.08000000000001</v>
      </c>
    </row>
    <row r="258" spans="15:19">
      <c r="O258" t="s">
        <v>1170</v>
      </c>
      <c r="P258" t="s">
        <v>407</v>
      </c>
      <c r="Q258" t="s">
        <v>1058</v>
      </c>
      <c r="R258">
        <v>67.569999999999993</v>
      </c>
      <c r="S258">
        <v>247.81</v>
      </c>
    </row>
    <row r="259" spans="15:19">
      <c r="O259" t="s">
        <v>1171</v>
      </c>
      <c r="P259" t="s">
        <v>411</v>
      </c>
      <c r="Q259" t="s">
        <v>1058</v>
      </c>
      <c r="R259">
        <v>18.329999999999998</v>
      </c>
      <c r="S259">
        <v>200.24999999999901</v>
      </c>
    </row>
    <row r="260" spans="15:19">
      <c r="O260" t="s">
        <v>1172</v>
      </c>
      <c r="P260" t="s">
        <v>310</v>
      </c>
      <c r="Q260" t="s">
        <v>1058</v>
      </c>
      <c r="R260">
        <v>16.87</v>
      </c>
      <c r="S260">
        <v>194.63</v>
      </c>
    </row>
    <row r="261" spans="15:19">
      <c r="O261" t="s">
        <v>1173</v>
      </c>
      <c r="P261" t="s">
        <v>296</v>
      </c>
      <c r="Q261" t="s">
        <v>1058</v>
      </c>
      <c r="R261">
        <v>34.270000000000003</v>
      </c>
      <c r="S261">
        <v>79.84</v>
      </c>
    </row>
    <row r="262" spans="15:19">
      <c r="O262" t="s">
        <v>1174</v>
      </c>
      <c r="P262" t="s">
        <v>300</v>
      </c>
      <c r="Q262" t="s">
        <v>1058</v>
      </c>
      <c r="R262">
        <v>33.450000000000003</v>
      </c>
      <c r="S262">
        <v>127.12</v>
      </c>
    </row>
    <row r="263" spans="15:19">
      <c r="O263" t="s">
        <v>1175</v>
      </c>
      <c r="P263" t="s">
        <v>301</v>
      </c>
      <c r="Q263" t="s">
        <v>1058</v>
      </c>
      <c r="R263">
        <v>33.74</v>
      </c>
      <c r="S263">
        <v>165.87</v>
      </c>
    </row>
    <row r="264" spans="15:19">
      <c r="O264" t="s">
        <v>1176</v>
      </c>
      <c r="P264" t="s">
        <v>381</v>
      </c>
      <c r="Q264" t="s">
        <v>1058</v>
      </c>
      <c r="R264">
        <v>67.63</v>
      </c>
      <c r="S264">
        <v>106.399999999999</v>
      </c>
    </row>
    <row r="265" spans="15:19">
      <c r="O265" t="s">
        <v>1177</v>
      </c>
      <c r="P265" t="s">
        <v>387</v>
      </c>
      <c r="Q265" t="s">
        <v>1058</v>
      </c>
      <c r="R265">
        <v>16.989999999999998</v>
      </c>
      <c r="S265">
        <v>122.57</v>
      </c>
    </row>
    <row r="266" spans="15:19">
      <c r="O266" t="s">
        <v>1161</v>
      </c>
      <c r="P266" t="s">
        <v>84</v>
      </c>
      <c r="Q266" t="s">
        <v>1058</v>
      </c>
      <c r="R266">
        <v>17.059999999999999</v>
      </c>
      <c r="S266">
        <v>122.78</v>
      </c>
    </row>
    <row r="267" spans="15:19">
      <c r="O267" t="s">
        <v>1178</v>
      </c>
      <c r="P267" t="s">
        <v>85</v>
      </c>
      <c r="Q267" t="s">
        <v>1058</v>
      </c>
      <c r="R267">
        <v>135.04</v>
      </c>
      <c r="S267">
        <v>174.15</v>
      </c>
    </row>
    <row r="268" spans="15:19">
      <c r="O268" t="s">
        <v>1162</v>
      </c>
      <c r="P268" t="s">
        <v>318</v>
      </c>
      <c r="Q268" t="s">
        <v>1058</v>
      </c>
      <c r="R268">
        <v>131.66</v>
      </c>
      <c r="S268">
        <v>256.31</v>
      </c>
    </row>
    <row r="269" spans="15:19">
      <c r="O269" t="s">
        <v>1179</v>
      </c>
      <c r="P269" t="s">
        <v>324</v>
      </c>
      <c r="Q269" t="s">
        <v>1058</v>
      </c>
      <c r="R269">
        <v>163.62</v>
      </c>
      <c r="S269">
        <v>171.21</v>
      </c>
    </row>
    <row r="270" spans="15:19">
      <c r="O270" t="s">
        <v>1180</v>
      </c>
      <c r="P270" t="s">
        <v>326</v>
      </c>
      <c r="Q270" t="s">
        <v>1058</v>
      </c>
      <c r="R270">
        <v>16.940000000000001</v>
      </c>
      <c r="S270">
        <v>165.71</v>
      </c>
    </row>
    <row r="271" spans="15:19">
      <c r="O271" t="s">
        <v>1181</v>
      </c>
      <c r="P271" t="s">
        <v>329</v>
      </c>
      <c r="Q271" t="s">
        <v>1058</v>
      </c>
      <c r="R271">
        <v>16.850000000000001</v>
      </c>
      <c r="S271">
        <v>190.2</v>
      </c>
    </row>
    <row r="272" spans="15:19">
      <c r="O272" t="s">
        <v>1182</v>
      </c>
      <c r="P272" t="s">
        <v>341</v>
      </c>
      <c r="Q272" t="s">
        <v>1058</v>
      </c>
      <c r="R272">
        <v>29.93</v>
      </c>
      <c r="S272">
        <v>228.51</v>
      </c>
    </row>
    <row r="273" spans="15:19">
      <c r="O273" t="s">
        <v>1183</v>
      </c>
      <c r="P273" t="s">
        <v>351</v>
      </c>
      <c r="Q273" t="s">
        <v>1058</v>
      </c>
      <c r="R273">
        <v>100.69</v>
      </c>
      <c r="S273">
        <v>243.07999999999899</v>
      </c>
    </row>
    <row r="274" spans="15:19">
      <c r="O274" t="s">
        <v>1184</v>
      </c>
      <c r="P274" t="s">
        <v>353</v>
      </c>
      <c r="Q274" t="s">
        <v>1058</v>
      </c>
      <c r="R274">
        <v>17.11</v>
      </c>
      <c r="S274">
        <v>192.64</v>
      </c>
    </row>
    <row r="275" spans="15:19">
      <c r="O275" t="s">
        <v>1185</v>
      </c>
      <c r="P275" t="s">
        <v>354</v>
      </c>
      <c r="Q275" t="s">
        <v>1058</v>
      </c>
      <c r="R275">
        <v>33.61</v>
      </c>
      <c r="S275">
        <v>233.68</v>
      </c>
    </row>
    <row r="276" spans="15:19">
      <c r="O276" t="s">
        <v>1186</v>
      </c>
      <c r="P276" t="s">
        <v>363</v>
      </c>
      <c r="Q276" t="s">
        <v>1058</v>
      </c>
      <c r="R276">
        <v>16.739999999999998</v>
      </c>
      <c r="S276">
        <v>125.1</v>
      </c>
    </row>
    <row r="277" spans="15:19">
      <c r="O277" t="s">
        <v>1187</v>
      </c>
      <c r="P277" t="s">
        <v>365</v>
      </c>
      <c r="Q277" t="s">
        <v>1058</v>
      </c>
      <c r="R277">
        <v>118.71</v>
      </c>
      <c r="S277">
        <v>200.75</v>
      </c>
    </row>
    <row r="278" spans="15:19">
      <c r="O278" t="s">
        <v>1188</v>
      </c>
      <c r="P278" t="s">
        <v>373</v>
      </c>
      <c r="Q278" t="s">
        <v>1042</v>
      </c>
      <c r="R278">
        <v>58.19</v>
      </c>
      <c r="S278">
        <v>79.759999999999906</v>
      </c>
    </row>
    <row r="279" spans="15:19">
      <c r="O279" t="s">
        <v>1189</v>
      </c>
      <c r="P279" t="s">
        <v>277</v>
      </c>
      <c r="Q279" t="s">
        <v>1042</v>
      </c>
      <c r="R279">
        <v>160.15</v>
      </c>
      <c r="S279">
        <v>160.31</v>
      </c>
    </row>
    <row r="280" spans="15:19">
      <c r="O280" t="s">
        <v>1190</v>
      </c>
      <c r="P280" t="s">
        <v>279</v>
      </c>
      <c r="Q280" t="s">
        <v>1042</v>
      </c>
      <c r="R280">
        <v>205.87</v>
      </c>
      <c r="S280">
        <v>214.99</v>
      </c>
    </row>
    <row r="281" spans="15:19">
      <c r="O281" t="s">
        <v>1191</v>
      </c>
      <c r="P281" t="s">
        <v>273</v>
      </c>
      <c r="Q281" t="s">
        <v>1042</v>
      </c>
      <c r="R281">
        <v>145.63999999999999</v>
      </c>
      <c r="S281">
        <v>145.63999999999999</v>
      </c>
    </row>
    <row r="282" spans="15:19">
      <c r="O282" t="s">
        <v>1192</v>
      </c>
      <c r="P282" t="s">
        <v>275</v>
      </c>
      <c r="Q282" t="s">
        <v>1042</v>
      </c>
      <c r="R282">
        <v>79.73</v>
      </c>
      <c r="S282">
        <v>116.54</v>
      </c>
    </row>
    <row r="283" spans="15:19">
      <c r="O283" t="s">
        <v>1193</v>
      </c>
      <c r="P283" t="s">
        <v>266</v>
      </c>
      <c r="Q283" t="s">
        <v>1042</v>
      </c>
      <c r="R283">
        <v>67.59</v>
      </c>
      <c r="S283">
        <v>67.59</v>
      </c>
    </row>
    <row r="284" spans="15:19">
      <c r="O284" t="s">
        <v>1194</v>
      </c>
      <c r="P284" t="s">
        <v>271</v>
      </c>
      <c r="Q284" t="s">
        <v>1042</v>
      </c>
      <c r="R284">
        <v>203.74</v>
      </c>
      <c r="S284">
        <v>213.99</v>
      </c>
    </row>
    <row r="285" spans="15:19">
      <c r="O285" t="s">
        <v>1195</v>
      </c>
      <c r="P285" t="s">
        <v>283</v>
      </c>
      <c r="Q285" t="s">
        <v>1042</v>
      </c>
      <c r="R285">
        <v>71.89</v>
      </c>
      <c r="S285">
        <v>78.290000000000006</v>
      </c>
    </row>
    <row r="286" spans="15:19">
      <c r="O286" t="s">
        <v>1196</v>
      </c>
      <c r="P286" t="s">
        <v>280</v>
      </c>
      <c r="Q286" t="s">
        <v>1042</v>
      </c>
      <c r="R286">
        <v>187.89</v>
      </c>
      <c r="S286">
        <v>189.51999999999899</v>
      </c>
    </row>
    <row r="287" spans="15:19">
      <c r="O287" t="s">
        <v>1197</v>
      </c>
      <c r="P287" t="s">
        <v>278</v>
      </c>
      <c r="Q287" t="s">
        <v>1042</v>
      </c>
      <c r="R287">
        <v>172.34</v>
      </c>
      <c r="S287">
        <v>172.34</v>
      </c>
    </row>
    <row r="288" spans="15:19">
      <c r="O288" t="s">
        <v>1198</v>
      </c>
      <c r="P288" t="s">
        <v>282</v>
      </c>
      <c r="Q288" t="s">
        <v>1042</v>
      </c>
      <c r="R288">
        <v>0.94</v>
      </c>
      <c r="S288">
        <v>3.56</v>
      </c>
    </row>
    <row r="289" spans="15:19">
      <c r="O289" t="s">
        <v>1199</v>
      </c>
      <c r="P289" t="s">
        <v>286</v>
      </c>
      <c r="Q289" t="s">
        <v>1042</v>
      </c>
      <c r="R289">
        <v>111.05</v>
      </c>
      <c r="S289">
        <v>117.95</v>
      </c>
    </row>
    <row r="290" spans="15:19">
      <c r="O290" t="s">
        <v>1200</v>
      </c>
      <c r="P290" t="s">
        <v>281</v>
      </c>
      <c r="Q290" t="s">
        <v>1042</v>
      </c>
      <c r="R290">
        <v>159.06</v>
      </c>
      <c r="S290">
        <v>160.26</v>
      </c>
    </row>
    <row r="291" spans="15:19">
      <c r="O291" t="s">
        <v>1201</v>
      </c>
      <c r="P291" t="s">
        <v>284</v>
      </c>
      <c r="Q291" t="s">
        <v>1042</v>
      </c>
      <c r="R291">
        <v>86.06</v>
      </c>
      <c r="S291">
        <v>86.06</v>
      </c>
    </row>
    <row r="292" spans="15:19">
      <c r="O292" t="s">
        <v>1202</v>
      </c>
      <c r="P292" t="s">
        <v>288</v>
      </c>
      <c r="Q292" t="s">
        <v>1042</v>
      </c>
      <c r="R292">
        <v>158.43</v>
      </c>
      <c r="S292">
        <v>158.54</v>
      </c>
    </row>
    <row r="293" spans="15:19">
      <c r="O293" t="s">
        <v>1203</v>
      </c>
      <c r="P293" t="s">
        <v>313</v>
      </c>
      <c r="Q293" t="s">
        <v>1042</v>
      </c>
      <c r="R293">
        <v>55.41</v>
      </c>
      <c r="S293">
        <v>182.14999999999901</v>
      </c>
    </row>
    <row r="294" spans="15:19">
      <c r="O294" t="s">
        <v>1204</v>
      </c>
      <c r="P294" t="s">
        <v>314</v>
      </c>
      <c r="Q294" t="s">
        <v>1042</v>
      </c>
      <c r="R294">
        <v>58.47</v>
      </c>
      <c r="S294">
        <v>106.52</v>
      </c>
    </row>
    <row r="295" spans="15:19">
      <c r="O295" t="s">
        <v>1179</v>
      </c>
      <c r="P295" t="s">
        <v>324</v>
      </c>
      <c r="Q295" t="s">
        <v>1042</v>
      </c>
      <c r="R295">
        <v>28.58</v>
      </c>
      <c r="S295">
        <v>230.38</v>
      </c>
    </row>
    <row r="296" spans="15:19">
      <c r="O296" t="s">
        <v>1181</v>
      </c>
      <c r="P296" t="s">
        <v>329</v>
      </c>
      <c r="Q296" t="s">
        <v>1042</v>
      </c>
      <c r="R296">
        <v>12.31</v>
      </c>
      <c r="S296">
        <v>188.07</v>
      </c>
    </row>
    <row r="297" spans="15:19">
      <c r="O297" t="s">
        <v>1205</v>
      </c>
      <c r="P297" t="s">
        <v>330</v>
      </c>
      <c r="Q297" t="s">
        <v>1042</v>
      </c>
      <c r="R297">
        <v>40.61</v>
      </c>
      <c r="S297">
        <v>265.17</v>
      </c>
    </row>
    <row r="298" spans="15:19">
      <c r="O298" t="s">
        <v>1206</v>
      </c>
      <c r="P298" t="s">
        <v>332</v>
      </c>
      <c r="Q298" t="s">
        <v>1042</v>
      </c>
      <c r="R298">
        <v>86.66</v>
      </c>
      <c r="S298">
        <v>156.16999999999999</v>
      </c>
    </row>
    <row r="299" spans="15:19">
      <c r="O299" t="s">
        <v>1207</v>
      </c>
      <c r="P299" t="s">
        <v>340</v>
      </c>
      <c r="Q299" t="s">
        <v>1042</v>
      </c>
      <c r="R299">
        <v>28.5</v>
      </c>
      <c r="S299">
        <v>222.76999999999899</v>
      </c>
    </row>
    <row r="300" spans="15:19">
      <c r="O300" t="s">
        <v>1208</v>
      </c>
      <c r="P300" t="s">
        <v>368</v>
      </c>
      <c r="Q300" t="s">
        <v>1042</v>
      </c>
      <c r="R300">
        <v>28.55</v>
      </c>
      <c r="S300">
        <v>173.64</v>
      </c>
    </row>
    <row r="301" spans="15:19">
      <c r="O301" t="s">
        <v>1157</v>
      </c>
      <c r="P301" t="s">
        <v>419</v>
      </c>
      <c r="Q301" t="s">
        <v>1042</v>
      </c>
      <c r="R301">
        <v>12.44</v>
      </c>
      <c r="S301">
        <v>119.96</v>
      </c>
    </row>
    <row r="302" spans="15:19">
      <c r="O302" t="s">
        <v>1209</v>
      </c>
      <c r="P302" t="s">
        <v>312</v>
      </c>
      <c r="Q302" t="s">
        <v>1042</v>
      </c>
      <c r="R302">
        <v>57.23</v>
      </c>
      <c r="S302">
        <v>272.02999999999997</v>
      </c>
    </row>
    <row r="303" spans="15:19">
      <c r="O303" t="s">
        <v>1210</v>
      </c>
      <c r="P303" t="s">
        <v>292</v>
      </c>
      <c r="Q303" t="s">
        <v>1042</v>
      </c>
      <c r="R303">
        <v>28.56</v>
      </c>
      <c r="S303">
        <v>159.57</v>
      </c>
    </row>
    <row r="304" spans="15:19">
      <c r="O304" t="s">
        <v>1189</v>
      </c>
      <c r="P304" t="s">
        <v>277</v>
      </c>
      <c r="Q304" t="s">
        <v>1042</v>
      </c>
      <c r="R304">
        <v>136.63</v>
      </c>
      <c r="S304">
        <v>136.63</v>
      </c>
    </row>
    <row r="305" spans="15:19">
      <c r="O305" t="s">
        <v>1190</v>
      </c>
      <c r="P305" t="s">
        <v>279</v>
      </c>
      <c r="Q305" t="s">
        <v>1042</v>
      </c>
      <c r="R305">
        <v>128.9</v>
      </c>
      <c r="S305">
        <v>134.51</v>
      </c>
    </row>
    <row r="306" spans="15:19">
      <c r="O306" t="s">
        <v>1191</v>
      </c>
      <c r="P306" t="s">
        <v>273</v>
      </c>
      <c r="Q306" t="s">
        <v>1042</v>
      </c>
      <c r="R306">
        <v>56.91</v>
      </c>
      <c r="S306">
        <v>56.91</v>
      </c>
    </row>
    <row r="307" spans="15:19">
      <c r="O307" t="s">
        <v>1192</v>
      </c>
      <c r="P307" t="s">
        <v>275</v>
      </c>
      <c r="Q307" t="s">
        <v>1042</v>
      </c>
      <c r="R307">
        <v>36.85</v>
      </c>
      <c r="S307">
        <v>36.85</v>
      </c>
    </row>
    <row r="308" spans="15:19">
      <c r="O308" t="s">
        <v>1193</v>
      </c>
      <c r="P308" t="s">
        <v>266</v>
      </c>
      <c r="Q308" t="s">
        <v>1042</v>
      </c>
      <c r="R308">
        <v>57.3</v>
      </c>
      <c r="S308">
        <v>57.3</v>
      </c>
    </row>
    <row r="309" spans="15:19">
      <c r="O309" t="s">
        <v>1194</v>
      </c>
      <c r="P309" t="s">
        <v>271</v>
      </c>
      <c r="Q309" t="s">
        <v>1042</v>
      </c>
      <c r="R309">
        <v>197.53</v>
      </c>
      <c r="S309">
        <v>198.28</v>
      </c>
    </row>
    <row r="310" spans="15:19">
      <c r="O310" t="s">
        <v>1196</v>
      </c>
      <c r="P310" t="s">
        <v>280</v>
      </c>
      <c r="Q310" t="s">
        <v>1042</v>
      </c>
      <c r="R310">
        <v>140.94</v>
      </c>
      <c r="S310">
        <v>173.29</v>
      </c>
    </row>
    <row r="311" spans="15:19">
      <c r="O311" t="s">
        <v>1197</v>
      </c>
      <c r="P311" t="s">
        <v>278</v>
      </c>
      <c r="Q311" t="s">
        <v>1042</v>
      </c>
      <c r="R311">
        <v>171.42</v>
      </c>
      <c r="S311">
        <v>171.42</v>
      </c>
    </row>
    <row r="312" spans="15:19">
      <c r="O312" t="s">
        <v>1198</v>
      </c>
      <c r="P312" t="s">
        <v>282</v>
      </c>
      <c r="Q312" t="s">
        <v>1042</v>
      </c>
      <c r="R312">
        <v>163.84</v>
      </c>
      <c r="S312">
        <v>163.84</v>
      </c>
    </row>
    <row r="313" spans="15:19">
      <c r="O313" t="s">
        <v>1199</v>
      </c>
      <c r="P313" t="s">
        <v>286</v>
      </c>
      <c r="Q313" t="s">
        <v>1042</v>
      </c>
      <c r="R313">
        <v>201.25</v>
      </c>
      <c r="S313">
        <v>205.99</v>
      </c>
    </row>
    <row r="314" spans="15:19">
      <c r="O314" t="s">
        <v>1200</v>
      </c>
      <c r="P314" t="s">
        <v>281</v>
      </c>
      <c r="Q314" t="s">
        <v>1042</v>
      </c>
      <c r="R314">
        <v>82.38</v>
      </c>
      <c r="S314">
        <v>82.38</v>
      </c>
    </row>
    <row r="315" spans="15:19">
      <c r="O315" t="s">
        <v>1201</v>
      </c>
      <c r="P315" t="s">
        <v>284</v>
      </c>
      <c r="Q315" t="s">
        <v>1042</v>
      </c>
      <c r="R315">
        <v>169.79</v>
      </c>
      <c r="S315">
        <v>169.79</v>
      </c>
    </row>
    <row r="316" spans="15:19">
      <c r="O316" t="s">
        <v>1211</v>
      </c>
      <c r="P316" t="s">
        <v>287</v>
      </c>
      <c r="Q316" t="s">
        <v>1042</v>
      </c>
      <c r="R316">
        <v>139.19</v>
      </c>
      <c r="S316">
        <v>139.44999999999999</v>
      </c>
    </row>
    <row r="317" spans="15:19">
      <c r="O317" t="s">
        <v>1203</v>
      </c>
      <c r="P317" t="s">
        <v>313</v>
      </c>
      <c r="Q317" t="s">
        <v>1042</v>
      </c>
      <c r="R317">
        <v>27.66</v>
      </c>
      <c r="S317">
        <v>157.24</v>
      </c>
    </row>
    <row r="318" spans="15:19">
      <c r="O318" t="s">
        <v>1180</v>
      </c>
      <c r="P318" t="s">
        <v>326</v>
      </c>
      <c r="Q318" t="s">
        <v>1042</v>
      </c>
      <c r="R318">
        <v>15.4</v>
      </c>
      <c r="S318">
        <v>165.71</v>
      </c>
    </row>
    <row r="319" spans="15:19">
      <c r="O319" t="s">
        <v>1212</v>
      </c>
      <c r="P319" t="s">
        <v>328</v>
      </c>
      <c r="Q319" t="s">
        <v>1042</v>
      </c>
      <c r="R319">
        <v>28.53</v>
      </c>
      <c r="S319">
        <v>189.15</v>
      </c>
    </row>
    <row r="320" spans="15:19">
      <c r="O320" t="s">
        <v>1207</v>
      </c>
      <c r="P320" t="s">
        <v>340</v>
      </c>
      <c r="Q320" t="s">
        <v>1042</v>
      </c>
      <c r="R320">
        <v>8.67</v>
      </c>
      <c r="S320">
        <v>127.66</v>
      </c>
    </row>
    <row r="321" spans="15:19">
      <c r="O321" t="s">
        <v>1213</v>
      </c>
      <c r="P321" t="s">
        <v>345</v>
      </c>
      <c r="Q321" t="s">
        <v>1042</v>
      </c>
      <c r="R321">
        <v>56.85</v>
      </c>
      <c r="S321">
        <v>265.41000000000003</v>
      </c>
    </row>
    <row r="322" spans="15:19">
      <c r="O322" t="s">
        <v>1214</v>
      </c>
      <c r="P322" t="s">
        <v>347</v>
      </c>
      <c r="Q322" t="s">
        <v>1042</v>
      </c>
      <c r="R322">
        <v>114.43</v>
      </c>
      <c r="S322">
        <v>114.69</v>
      </c>
    </row>
    <row r="323" spans="15:19">
      <c r="O323" t="s">
        <v>1215</v>
      </c>
      <c r="P323" t="s">
        <v>348</v>
      </c>
      <c r="Q323" t="s">
        <v>1042</v>
      </c>
      <c r="R323">
        <v>101.44</v>
      </c>
      <c r="S323">
        <v>251.66</v>
      </c>
    </row>
    <row r="324" spans="15:19">
      <c r="O324" t="s">
        <v>1165</v>
      </c>
      <c r="P324" t="s">
        <v>358</v>
      </c>
      <c r="Q324" t="s">
        <v>1042</v>
      </c>
      <c r="R324">
        <v>13.15</v>
      </c>
      <c r="S324">
        <v>181.68</v>
      </c>
    </row>
    <row r="325" spans="15:19">
      <c r="O325" t="s">
        <v>1216</v>
      </c>
      <c r="P325" t="s">
        <v>369</v>
      </c>
      <c r="Q325" t="s">
        <v>1042</v>
      </c>
      <c r="R325">
        <v>28.51</v>
      </c>
      <c r="S325">
        <v>160.54</v>
      </c>
    </row>
    <row r="326" spans="15:19">
      <c r="O326" t="s">
        <v>1217</v>
      </c>
      <c r="P326" t="s">
        <v>372</v>
      </c>
      <c r="Q326" t="s">
        <v>1042</v>
      </c>
      <c r="R326">
        <v>28.7</v>
      </c>
      <c r="S326">
        <v>113.6</v>
      </c>
    </row>
    <row r="327" spans="15:19">
      <c r="O327" t="s">
        <v>1218</v>
      </c>
      <c r="P327" t="s">
        <v>11</v>
      </c>
      <c r="Q327" t="s">
        <v>941</v>
      </c>
      <c r="R327">
        <v>240.32</v>
      </c>
      <c r="S327">
        <v>277.87</v>
      </c>
    </row>
    <row r="328" spans="15:19">
      <c r="O328" t="s">
        <v>1219</v>
      </c>
      <c r="P328" t="s">
        <v>21</v>
      </c>
      <c r="Q328" t="s">
        <v>941</v>
      </c>
      <c r="R328">
        <v>157.03</v>
      </c>
      <c r="S328">
        <v>191.88</v>
      </c>
    </row>
    <row r="329" spans="15:19">
      <c r="O329" t="s">
        <v>1220</v>
      </c>
      <c r="P329" t="s">
        <v>23</v>
      </c>
      <c r="Q329" t="s">
        <v>941</v>
      </c>
      <c r="R329">
        <v>125.83</v>
      </c>
      <c r="S329">
        <v>225.48</v>
      </c>
    </row>
    <row r="330" spans="15:19">
      <c r="O330" t="s">
        <v>1114</v>
      </c>
      <c r="P330" t="s">
        <v>24</v>
      </c>
      <c r="Q330" t="s">
        <v>941</v>
      </c>
      <c r="R330">
        <v>180.49</v>
      </c>
      <c r="S330">
        <v>188.22</v>
      </c>
    </row>
    <row r="331" spans="15:19">
      <c r="O331" t="s">
        <v>1221</v>
      </c>
      <c r="P331" t="s">
        <v>27</v>
      </c>
      <c r="Q331" t="s">
        <v>941</v>
      </c>
      <c r="R331">
        <v>180.59</v>
      </c>
      <c r="S331">
        <v>318.409999999999</v>
      </c>
    </row>
    <row r="332" spans="15:19">
      <c r="O332" t="s">
        <v>1222</v>
      </c>
      <c r="P332" t="s">
        <v>28</v>
      </c>
      <c r="Q332" t="s">
        <v>941</v>
      </c>
      <c r="R332">
        <v>240.94</v>
      </c>
      <c r="S332">
        <v>367.45</v>
      </c>
    </row>
    <row r="333" spans="15:19">
      <c r="O333" t="s">
        <v>1223</v>
      </c>
      <c r="P333" t="s">
        <v>32</v>
      </c>
      <c r="Q333" t="s">
        <v>941</v>
      </c>
      <c r="R333">
        <v>264.05</v>
      </c>
      <c r="S333">
        <v>285.76</v>
      </c>
    </row>
    <row r="334" spans="15:19">
      <c r="O334" t="s">
        <v>1218</v>
      </c>
      <c r="P334" t="s">
        <v>11</v>
      </c>
      <c r="Q334" t="s">
        <v>941</v>
      </c>
      <c r="R334">
        <v>227.53</v>
      </c>
      <c r="S334">
        <v>231.95</v>
      </c>
    </row>
    <row r="335" spans="15:19">
      <c r="O335" t="s">
        <v>1219</v>
      </c>
      <c r="P335" t="s">
        <v>21</v>
      </c>
      <c r="Q335" t="s">
        <v>941</v>
      </c>
      <c r="R335">
        <v>142.59</v>
      </c>
      <c r="S335">
        <v>189.2</v>
      </c>
    </row>
    <row r="336" spans="15:19">
      <c r="O336" t="s">
        <v>1220</v>
      </c>
      <c r="P336" t="s">
        <v>23</v>
      </c>
      <c r="Q336" t="s">
        <v>941</v>
      </c>
      <c r="R336">
        <v>142.26</v>
      </c>
      <c r="S336">
        <v>147.35999999999899</v>
      </c>
    </row>
    <row r="337" spans="15:19">
      <c r="O337" t="s">
        <v>1114</v>
      </c>
      <c r="P337" t="s">
        <v>24</v>
      </c>
      <c r="Q337" t="s">
        <v>941</v>
      </c>
      <c r="R337">
        <v>57.24</v>
      </c>
      <c r="S337">
        <v>238.1</v>
      </c>
    </row>
    <row r="338" spans="15:19">
      <c r="O338" t="s">
        <v>1221</v>
      </c>
      <c r="P338" t="s">
        <v>27</v>
      </c>
      <c r="Q338" t="s">
        <v>941</v>
      </c>
      <c r="R338">
        <v>170.81</v>
      </c>
      <c r="S338">
        <v>225.56</v>
      </c>
    </row>
    <row r="339" spans="15:19">
      <c r="O339" t="s">
        <v>1222</v>
      </c>
      <c r="P339" t="s">
        <v>28</v>
      </c>
      <c r="Q339" t="s">
        <v>941</v>
      </c>
      <c r="R339">
        <v>226.24</v>
      </c>
      <c r="S339">
        <v>244.46</v>
      </c>
    </row>
    <row r="340" spans="15:19">
      <c r="O340" t="s">
        <v>1223</v>
      </c>
      <c r="P340" t="s">
        <v>32</v>
      </c>
      <c r="Q340" t="s">
        <v>941</v>
      </c>
      <c r="R340">
        <v>227.96</v>
      </c>
      <c r="S340">
        <v>304.70999999999998</v>
      </c>
    </row>
    <row r="341" spans="15:19">
      <c r="O341" t="s">
        <v>1224</v>
      </c>
      <c r="P341" t="s">
        <v>33</v>
      </c>
      <c r="Q341" t="s">
        <v>941</v>
      </c>
      <c r="R341">
        <v>113.63</v>
      </c>
      <c r="S341">
        <v>210.25</v>
      </c>
    </row>
    <row r="342" spans="15:19">
      <c r="O342" t="s">
        <v>1188</v>
      </c>
      <c r="P342" t="s">
        <v>373</v>
      </c>
      <c r="Q342" t="s">
        <v>1052</v>
      </c>
      <c r="R342">
        <v>21.57</v>
      </c>
      <c r="S342">
        <v>79.759999999999906</v>
      </c>
    </row>
    <row r="343" spans="15:19">
      <c r="O343" t="s">
        <v>1225</v>
      </c>
      <c r="P343" t="s">
        <v>86</v>
      </c>
      <c r="Q343" t="s">
        <v>1052</v>
      </c>
      <c r="R343">
        <v>64.34</v>
      </c>
      <c r="S343">
        <v>98.05</v>
      </c>
    </row>
    <row r="344" spans="15:19">
      <c r="O344" t="s">
        <v>1203</v>
      </c>
      <c r="P344" t="s">
        <v>313</v>
      </c>
      <c r="Q344" t="s">
        <v>1052</v>
      </c>
      <c r="R344">
        <v>126.74</v>
      </c>
      <c r="S344">
        <v>182.14999999999901</v>
      </c>
    </row>
    <row r="345" spans="15:19">
      <c r="O345" t="s">
        <v>1226</v>
      </c>
      <c r="P345" t="s">
        <v>317</v>
      </c>
      <c r="Q345" t="s">
        <v>1052</v>
      </c>
      <c r="R345">
        <v>107.27</v>
      </c>
      <c r="S345">
        <v>223.32</v>
      </c>
    </row>
    <row r="346" spans="15:19">
      <c r="O346" t="s">
        <v>1179</v>
      </c>
      <c r="P346" t="s">
        <v>324</v>
      </c>
      <c r="Q346" t="s">
        <v>1052</v>
      </c>
      <c r="R346">
        <v>21.31</v>
      </c>
      <c r="S346">
        <v>230.38</v>
      </c>
    </row>
    <row r="347" spans="15:19">
      <c r="O347" t="s">
        <v>1205</v>
      </c>
      <c r="P347" t="s">
        <v>330</v>
      </c>
      <c r="Q347" t="s">
        <v>1052</v>
      </c>
      <c r="R347">
        <v>42.52</v>
      </c>
      <c r="S347">
        <v>265.17</v>
      </c>
    </row>
    <row r="348" spans="15:19">
      <c r="O348" t="s">
        <v>1227</v>
      </c>
      <c r="P348" t="s">
        <v>338</v>
      </c>
      <c r="Q348" t="s">
        <v>1052</v>
      </c>
      <c r="R348">
        <v>85.74</v>
      </c>
      <c r="S348">
        <v>258.97000000000003</v>
      </c>
    </row>
    <row r="349" spans="15:19">
      <c r="O349" t="s">
        <v>1228</v>
      </c>
      <c r="P349" t="s">
        <v>339</v>
      </c>
      <c r="Q349" t="s">
        <v>1052</v>
      </c>
      <c r="R349">
        <v>52.63</v>
      </c>
      <c r="S349">
        <v>261.3</v>
      </c>
    </row>
    <row r="350" spans="15:19">
      <c r="O350" t="s">
        <v>1207</v>
      </c>
      <c r="P350" t="s">
        <v>340</v>
      </c>
      <c r="Q350" t="s">
        <v>1052</v>
      </c>
      <c r="R350">
        <v>83.46</v>
      </c>
      <c r="S350">
        <v>222.76999999999899</v>
      </c>
    </row>
    <row r="351" spans="15:19">
      <c r="O351" t="s">
        <v>1229</v>
      </c>
      <c r="P351" t="s">
        <v>342</v>
      </c>
      <c r="Q351" t="s">
        <v>1052</v>
      </c>
      <c r="R351">
        <v>107.45</v>
      </c>
      <c r="S351">
        <v>190.66</v>
      </c>
    </row>
    <row r="352" spans="15:19">
      <c r="O352" t="s">
        <v>1230</v>
      </c>
      <c r="P352" t="s">
        <v>343</v>
      </c>
      <c r="Q352" t="s">
        <v>1052</v>
      </c>
      <c r="R352">
        <v>42.68</v>
      </c>
      <c r="S352">
        <v>262.89999999999998</v>
      </c>
    </row>
    <row r="353" spans="15:19">
      <c r="O353" t="s">
        <v>1213</v>
      </c>
      <c r="P353" t="s">
        <v>345</v>
      </c>
      <c r="Q353" t="s">
        <v>1052</v>
      </c>
      <c r="R353">
        <v>0.04</v>
      </c>
      <c r="S353">
        <v>272.039999999999</v>
      </c>
    </row>
    <row r="354" spans="15:19">
      <c r="O354" t="s">
        <v>1214</v>
      </c>
      <c r="P354" t="s">
        <v>347</v>
      </c>
      <c r="Q354" t="s">
        <v>1052</v>
      </c>
      <c r="R354">
        <v>85.63</v>
      </c>
      <c r="S354">
        <v>183.01999999999899</v>
      </c>
    </row>
    <row r="355" spans="15:19">
      <c r="O355" t="s">
        <v>1215</v>
      </c>
      <c r="P355" t="s">
        <v>348</v>
      </c>
      <c r="Q355" t="s">
        <v>1052</v>
      </c>
      <c r="R355">
        <v>201.35</v>
      </c>
      <c r="S355">
        <v>201.35</v>
      </c>
    </row>
    <row r="356" spans="15:19">
      <c r="O356" t="s">
        <v>1231</v>
      </c>
      <c r="P356" t="s">
        <v>350</v>
      </c>
      <c r="Q356" t="s">
        <v>1052</v>
      </c>
      <c r="R356">
        <v>61.76</v>
      </c>
      <c r="S356">
        <v>182.38</v>
      </c>
    </row>
    <row r="357" spans="15:19">
      <c r="O357" t="s">
        <v>1184</v>
      </c>
      <c r="P357" t="s">
        <v>353</v>
      </c>
      <c r="Q357" t="s">
        <v>1052</v>
      </c>
      <c r="R357">
        <v>85.93</v>
      </c>
      <c r="S357">
        <v>263.77999999999997</v>
      </c>
    </row>
    <row r="358" spans="15:19">
      <c r="O358" t="s">
        <v>1232</v>
      </c>
      <c r="P358" t="s">
        <v>364</v>
      </c>
      <c r="Q358" t="s">
        <v>1052</v>
      </c>
      <c r="R358">
        <v>85.36</v>
      </c>
      <c r="S358">
        <v>199.5</v>
      </c>
    </row>
    <row r="359" spans="15:19">
      <c r="O359" t="s">
        <v>1208</v>
      </c>
      <c r="P359" t="s">
        <v>368</v>
      </c>
      <c r="Q359" t="s">
        <v>1052</v>
      </c>
      <c r="R359">
        <v>21.32</v>
      </c>
      <c r="S359">
        <v>173.64</v>
      </c>
    </row>
    <row r="360" spans="15:19">
      <c r="O360" t="s">
        <v>1169</v>
      </c>
      <c r="P360" t="s">
        <v>371</v>
      </c>
      <c r="Q360" t="s">
        <v>1052</v>
      </c>
      <c r="R360">
        <v>21.48</v>
      </c>
      <c r="S360">
        <v>158.08000000000001</v>
      </c>
    </row>
    <row r="361" spans="15:19">
      <c r="O361" t="s">
        <v>1172</v>
      </c>
      <c r="P361" t="s">
        <v>310</v>
      </c>
      <c r="Q361" t="s">
        <v>1052</v>
      </c>
      <c r="R361">
        <v>1.6</v>
      </c>
      <c r="S361">
        <v>194.63</v>
      </c>
    </row>
    <row r="362" spans="15:19">
      <c r="O362" t="s">
        <v>1188</v>
      </c>
      <c r="P362" t="s">
        <v>373</v>
      </c>
      <c r="Q362" t="s">
        <v>1052</v>
      </c>
      <c r="R362">
        <v>42.42</v>
      </c>
      <c r="S362">
        <v>42.42</v>
      </c>
    </row>
    <row r="363" spans="15:19">
      <c r="O363" t="s">
        <v>1176</v>
      </c>
      <c r="P363" t="s">
        <v>381</v>
      </c>
      <c r="Q363" t="s">
        <v>1052</v>
      </c>
      <c r="R363">
        <v>21.24</v>
      </c>
      <c r="S363">
        <v>106.399999999999</v>
      </c>
    </row>
    <row r="364" spans="15:19">
      <c r="O364" t="s">
        <v>1233</v>
      </c>
      <c r="P364" t="s">
        <v>383</v>
      </c>
      <c r="Q364" t="s">
        <v>1052</v>
      </c>
      <c r="R364">
        <v>21.24</v>
      </c>
      <c r="S364">
        <v>98.16</v>
      </c>
    </row>
    <row r="365" spans="15:19">
      <c r="O365" t="s">
        <v>1234</v>
      </c>
      <c r="P365" t="s">
        <v>384</v>
      </c>
      <c r="Q365" t="s">
        <v>1052</v>
      </c>
      <c r="R365">
        <v>63.74</v>
      </c>
      <c r="S365">
        <v>97.64</v>
      </c>
    </row>
    <row r="366" spans="15:19">
      <c r="O366" t="s">
        <v>1162</v>
      </c>
      <c r="P366" t="s">
        <v>318</v>
      </c>
      <c r="Q366" t="s">
        <v>1052</v>
      </c>
      <c r="R366">
        <v>21.39</v>
      </c>
      <c r="S366">
        <v>256.31</v>
      </c>
    </row>
    <row r="367" spans="15:19">
      <c r="O367" t="s">
        <v>1163</v>
      </c>
      <c r="P367" t="s">
        <v>321</v>
      </c>
      <c r="Q367" t="s">
        <v>1052</v>
      </c>
      <c r="R367">
        <v>63.62</v>
      </c>
      <c r="S367">
        <v>172.23999999999899</v>
      </c>
    </row>
    <row r="368" spans="15:19">
      <c r="O368" t="s">
        <v>1235</v>
      </c>
      <c r="P368" t="s">
        <v>333</v>
      </c>
      <c r="Q368" t="s">
        <v>1052</v>
      </c>
      <c r="R368">
        <v>6.86</v>
      </c>
      <c r="S368">
        <v>7.83</v>
      </c>
    </row>
    <row r="369" spans="15:19">
      <c r="O369" t="s">
        <v>1236</v>
      </c>
      <c r="P369" t="s">
        <v>334</v>
      </c>
      <c r="Q369" t="s">
        <v>1052</v>
      </c>
      <c r="R369">
        <v>0.31</v>
      </c>
      <c r="S369">
        <v>128.26</v>
      </c>
    </row>
    <row r="370" spans="15:19">
      <c r="O370" t="s">
        <v>1228</v>
      </c>
      <c r="P370" t="s">
        <v>339</v>
      </c>
      <c r="Q370" t="s">
        <v>1052</v>
      </c>
      <c r="R370">
        <v>106.33</v>
      </c>
      <c r="S370">
        <v>106.33</v>
      </c>
    </row>
    <row r="371" spans="15:19">
      <c r="O371" t="s">
        <v>1207</v>
      </c>
      <c r="P371" t="s">
        <v>340</v>
      </c>
      <c r="Q371" t="s">
        <v>1052</v>
      </c>
      <c r="R371">
        <v>63.57</v>
      </c>
      <c r="S371">
        <v>127.66</v>
      </c>
    </row>
    <row r="372" spans="15:19">
      <c r="O372" t="s">
        <v>1229</v>
      </c>
      <c r="P372" t="s">
        <v>342</v>
      </c>
      <c r="Q372" t="s">
        <v>1052</v>
      </c>
      <c r="R372">
        <v>106.15</v>
      </c>
      <c r="S372">
        <v>186.32</v>
      </c>
    </row>
    <row r="373" spans="15:19">
      <c r="O373" t="s">
        <v>1213</v>
      </c>
      <c r="P373" t="s">
        <v>345</v>
      </c>
      <c r="Q373" t="s">
        <v>1052</v>
      </c>
      <c r="R373">
        <v>39.78</v>
      </c>
      <c r="S373">
        <v>265.41000000000003</v>
      </c>
    </row>
    <row r="374" spans="15:19">
      <c r="O374" t="s">
        <v>1237</v>
      </c>
      <c r="P374" t="s">
        <v>346</v>
      </c>
      <c r="Q374" t="s">
        <v>1052</v>
      </c>
      <c r="R374">
        <v>85.07</v>
      </c>
      <c r="S374">
        <v>100.69</v>
      </c>
    </row>
    <row r="375" spans="15:19">
      <c r="O375" t="s">
        <v>1215</v>
      </c>
      <c r="P375" t="s">
        <v>348</v>
      </c>
      <c r="Q375" t="s">
        <v>1052</v>
      </c>
      <c r="R375">
        <v>7.97</v>
      </c>
      <c r="S375">
        <v>251.66</v>
      </c>
    </row>
    <row r="376" spans="15:19">
      <c r="O376" t="s">
        <v>1183</v>
      </c>
      <c r="P376" t="s">
        <v>351</v>
      </c>
      <c r="Q376" t="s">
        <v>1052</v>
      </c>
      <c r="R376">
        <v>21.24</v>
      </c>
      <c r="S376">
        <v>243.07999999999899</v>
      </c>
    </row>
    <row r="377" spans="15:19">
      <c r="O377" t="s">
        <v>1238</v>
      </c>
      <c r="P377" t="s">
        <v>355</v>
      </c>
      <c r="Q377" t="s">
        <v>1052</v>
      </c>
      <c r="R377">
        <v>209.29</v>
      </c>
      <c r="S377">
        <v>209.29</v>
      </c>
    </row>
    <row r="378" spans="15:19">
      <c r="O378" t="s">
        <v>1239</v>
      </c>
      <c r="P378" t="s">
        <v>356</v>
      </c>
      <c r="Q378" t="s">
        <v>1052</v>
      </c>
      <c r="R378">
        <v>63.74</v>
      </c>
      <c r="S378">
        <v>201.44</v>
      </c>
    </row>
    <row r="379" spans="15:19">
      <c r="O379" t="s">
        <v>1165</v>
      </c>
      <c r="P379" t="s">
        <v>358</v>
      </c>
      <c r="Q379" t="s">
        <v>1052</v>
      </c>
      <c r="R379">
        <v>127.73</v>
      </c>
      <c r="S379">
        <v>181.68</v>
      </c>
    </row>
    <row r="380" spans="15:19">
      <c r="O380" t="s">
        <v>1240</v>
      </c>
      <c r="P380" t="s">
        <v>360</v>
      </c>
      <c r="Q380" t="s">
        <v>1052</v>
      </c>
      <c r="R380">
        <v>106.17</v>
      </c>
      <c r="S380">
        <v>211.23</v>
      </c>
    </row>
    <row r="381" spans="15:19">
      <c r="O381" t="s">
        <v>1167</v>
      </c>
      <c r="P381" t="s">
        <v>361</v>
      </c>
      <c r="Q381" t="s">
        <v>1052</v>
      </c>
      <c r="R381">
        <v>0.05</v>
      </c>
      <c r="S381">
        <v>238.28</v>
      </c>
    </row>
    <row r="382" spans="15:19">
      <c r="O382" t="s">
        <v>1187</v>
      </c>
      <c r="P382" t="s">
        <v>365</v>
      </c>
      <c r="Q382" t="s">
        <v>1052</v>
      </c>
      <c r="R382">
        <v>63.61</v>
      </c>
      <c r="S382">
        <v>200.75</v>
      </c>
    </row>
    <row r="383" spans="15:19">
      <c r="O383" t="s">
        <v>1241</v>
      </c>
      <c r="P383" t="s">
        <v>367</v>
      </c>
      <c r="Q383" t="s">
        <v>1052</v>
      </c>
      <c r="R383">
        <v>42.47</v>
      </c>
      <c r="S383">
        <v>226.5</v>
      </c>
    </row>
    <row r="384" spans="15:19">
      <c r="O384" t="s">
        <v>1217</v>
      </c>
      <c r="P384" t="s">
        <v>372</v>
      </c>
      <c r="Q384" t="s">
        <v>1052</v>
      </c>
      <c r="R384">
        <v>84.9</v>
      </c>
      <c r="S384">
        <v>113.6</v>
      </c>
    </row>
    <row r="385" spans="15:19">
      <c r="O385" t="s">
        <v>939</v>
      </c>
      <c r="P385" t="s">
        <v>391</v>
      </c>
      <c r="Q385" t="s">
        <v>952</v>
      </c>
      <c r="R385">
        <v>23.16</v>
      </c>
      <c r="S385">
        <v>161.69</v>
      </c>
    </row>
    <row r="386" spans="15:19">
      <c r="O386" t="s">
        <v>1005</v>
      </c>
      <c r="P386" t="s">
        <v>144</v>
      </c>
      <c r="Q386" t="s">
        <v>952</v>
      </c>
      <c r="R386">
        <v>12.86</v>
      </c>
      <c r="S386">
        <v>81.87</v>
      </c>
    </row>
    <row r="387" spans="15:19">
      <c r="O387" t="s">
        <v>1242</v>
      </c>
      <c r="P387" t="s">
        <v>150</v>
      </c>
      <c r="Q387" t="s">
        <v>952</v>
      </c>
      <c r="R387">
        <v>110.84</v>
      </c>
      <c r="S387">
        <v>110.84</v>
      </c>
    </row>
    <row r="388" spans="15:19">
      <c r="O388" t="s">
        <v>1243</v>
      </c>
      <c r="P388" t="s">
        <v>226</v>
      </c>
      <c r="Q388" t="s">
        <v>952</v>
      </c>
      <c r="R388">
        <v>4.74</v>
      </c>
      <c r="S388">
        <v>92.77</v>
      </c>
    </row>
    <row r="389" spans="15:19">
      <c r="O389" t="s">
        <v>1244</v>
      </c>
      <c r="P389" t="s">
        <v>227</v>
      </c>
      <c r="Q389" t="s">
        <v>952</v>
      </c>
      <c r="R389">
        <v>22.38</v>
      </c>
      <c r="S389">
        <v>149.6</v>
      </c>
    </row>
    <row r="390" spans="15:19">
      <c r="O390" t="s">
        <v>1245</v>
      </c>
      <c r="P390" t="s">
        <v>237</v>
      </c>
      <c r="Q390" t="s">
        <v>952</v>
      </c>
      <c r="R390">
        <v>22.24</v>
      </c>
      <c r="S390">
        <v>189.65</v>
      </c>
    </row>
    <row r="391" spans="15:19">
      <c r="O391" t="s">
        <v>1246</v>
      </c>
      <c r="P391" t="s">
        <v>248</v>
      </c>
      <c r="Q391" t="s">
        <v>952</v>
      </c>
      <c r="R391">
        <v>44</v>
      </c>
      <c r="S391">
        <v>227.75</v>
      </c>
    </row>
    <row r="392" spans="15:19">
      <c r="O392" t="s">
        <v>1247</v>
      </c>
      <c r="P392" t="s">
        <v>251</v>
      </c>
      <c r="Q392" t="s">
        <v>952</v>
      </c>
      <c r="R392">
        <v>10.23</v>
      </c>
      <c r="S392">
        <v>31.2</v>
      </c>
    </row>
    <row r="393" spans="15:19">
      <c r="O393" t="s">
        <v>1118</v>
      </c>
      <c r="P393" t="s">
        <v>159</v>
      </c>
      <c r="Q393" t="s">
        <v>952</v>
      </c>
      <c r="R393">
        <v>64.680000000000007</v>
      </c>
      <c r="S393">
        <v>170.3</v>
      </c>
    </row>
    <row r="394" spans="15:19">
      <c r="O394" t="s">
        <v>1027</v>
      </c>
      <c r="P394" t="s">
        <v>162</v>
      </c>
      <c r="Q394" t="s">
        <v>952</v>
      </c>
      <c r="R394">
        <v>132.04</v>
      </c>
      <c r="S394">
        <v>132.04</v>
      </c>
    </row>
    <row r="395" spans="15:19">
      <c r="O395" t="s">
        <v>1097</v>
      </c>
      <c r="P395" t="s">
        <v>163</v>
      </c>
      <c r="Q395" t="s">
        <v>952</v>
      </c>
      <c r="R395">
        <v>69.39</v>
      </c>
      <c r="S395">
        <v>193.87</v>
      </c>
    </row>
    <row r="396" spans="15:19">
      <c r="O396" t="s">
        <v>1248</v>
      </c>
      <c r="P396" t="s">
        <v>164</v>
      </c>
      <c r="Q396" t="s">
        <v>952</v>
      </c>
      <c r="R396">
        <v>197.27</v>
      </c>
      <c r="S396">
        <v>219.5</v>
      </c>
    </row>
    <row r="397" spans="15:19">
      <c r="O397" t="s">
        <v>1249</v>
      </c>
      <c r="P397" t="s">
        <v>165</v>
      </c>
      <c r="Q397" t="s">
        <v>952</v>
      </c>
      <c r="R397">
        <v>115.22</v>
      </c>
      <c r="S397">
        <v>129.22</v>
      </c>
    </row>
    <row r="398" spans="15:19">
      <c r="O398" t="s">
        <v>1032</v>
      </c>
      <c r="P398" t="s">
        <v>171</v>
      </c>
      <c r="Q398" t="s">
        <v>952</v>
      </c>
      <c r="R398">
        <v>45.75</v>
      </c>
      <c r="S398">
        <v>127.39</v>
      </c>
    </row>
    <row r="399" spans="15:19">
      <c r="O399" t="s">
        <v>969</v>
      </c>
      <c r="P399" t="s">
        <v>172</v>
      </c>
      <c r="Q399" t="s">
        <v>952</v>
      </c>
      <c r="R399">
        <v>88.74</v>
      </c>
      <c r="S399">
        <v>191.24</v>
      </c>
    </row>
    <row r="400" spans="15:19">
      <c r="O400" t="s">
        <v>973</v>
      </c>
      <c r="P400" t="s">
        <v>176</v>
      </c>
      <c r="Q400" t="s">
        <v>952</v>
      </c>
      <c r="R400">
        <v>45.75</v>
      </c>
      <c r="S400">
        <v>171.9</v>
      </c>
    </row>
    <row r="401" spans="15:19">
      <c r="O401" t="s">
        <v>1250</v>
      </c>
      <c r="P401" t="s">
        <v>177</v>
      </c>
      <c r="Q401" t="s">
        <v>952</v>
      </c>
      <c r="R401">
        <v>137.22999999999999</v>
      </c>
      <c r="S401">
        <v>137.22999999999999</v>
      </c>
    </row>
    <row r="402" spans="15:19">
      <c r="O402" t="s">
        <v>1251</v>
      </c>
      <c r="P402" t="s">
        <v>179</v>
      </c>
      <c r="Q402" t="s">
        <v>952</v>
      </c>
      <c r="R402">
        <v>194.68</v>
      </c>
      <c r="S402">
        <v>208.22</v>
      </c>
    </row>
    <row r="403" spans="15:19">
      <c r="O403" t="s">
        <v>1119</v>
      </c>
      <c r="P403" t="s">
        <v>184</v>
      </c>
      <c r="Q403" t="s">
        <v>952</v>
      </c>
      <c r="R403">
        <v>44.76</v>
      </c>
      <c r="S403">
        <v>239.07999999999899</v>
      </c>
    </row>
    <row r="404" spans="15:19">
      <c r="O404" t="s">
        <v>982</v>
      </c>
      <c r="P404" t="s">
        <v>186</v>
      </c>
      <c r="Q404" t="s">
        <v>952</v>
      </c>
      <c r="R404">
        <v>90.45</v>
      </c>
      <c r="S404">
        <v>218.56</v>
      </c>
    </row>
    <row r="405" spans="15:19">
      <c r="O405" t="s">
        <v>1120</v>
      </c>
      <c r="P405" t="s">
        <v>187</v>
      </c>
      <c r="Q405" t="s">
        <v>952</v>
      </c>
      <c r="R405">
        <v>136.02000000000001</v>
      </c>
      <c r="S405">
        <v>153.99</v>
      </c>
    </row>
    <row r="406" spans="15:19">
      <c r="O406" t="s">
        <v>1047</v>
      </c>
      <c r="P406" t="s">
        <v>188</v>
      </c>
      <c r="Q406" t="s">
        <v>952</v>
      </c>
      <c r="R406">
        <v>114.91</v>
      </c>
      <c r="S406">
        <v>204.26</v>
      </c>
    </row>
    <row r="407" spans="15:19">
      <c r="O407" t="s">
        <v>1103</v>
      </c>
      <c r="P407" t="s">
        <v>191</v>
      </c>
      <c r="Q407" t="s">
        <v>952</v>
      </c>
      <c r="R407">
        <v>7.67</v>
      </c>
      <c r="S407">
        <v>271.039999999999</v>
      </c>
    </row>
    <row r="408" spans="15:19">
      <c r="O408" t="s">
        <v>1053</v>
      </c>
      <c r="P408" t="s">
        <v>196</v>
      </c>
      <c r="Q408" t="s">
        <v>952</v>
      </c>
      <c r="R408">
        <v>87.93</v>
      </c>
      <c r="S408">
        <v>169.68</v>
      </c>
    </row>
    <row r="409" spans="15:19">
      <c r="O409" t="s">
        <v>1106</v>
      </c>
      <c r="P409" t="s">
        <v>198</v>
      </c>
      <c r="Q409" t="s">
        <v>952</v>
      </c>
      <c r="R409">
        <v>90.22</v>
      </c>
      <c r="S409">
        <v>249</v>
      </c>
    </row>
    <row r="410" spans="15:19">
      <c r="O410" t="s">
        <v>1252</v>
      </c>
      <c r="P410" t="s">
        <v>200</v>
      </c>
      <c r="Q410" t="s">
        <v>952</v>
      </c>
      <c r="R410">
        <v>132.57</v>
      </c>
      <c r="S410">
        <v>191.39999999999901</v>
      </c>
    </row>
    <row r="411" spans="15:19">
      <c r="O411" t="s">
        <v>1056</v>
      </c>
      <c r="P411" t="s">
        <v>201</v>
      </c>
      <c r="Q411" t="s">
        <v>952</v>
      </c>
      <c r="R411">
        <v>90.23</v>
      </c>
      <c r="S411">
        <v>180.81</v>
      </c>
    </row>
    <row r="412" spans="15:19">
      <c r="O412" t="s">
        <v>986</v>
      </c>
      <c r="P412" t="s">
        <v>202</v>
      </c>
      <c r="Q412" t="s">
        <v>952</v>
      </c>
      <c r="R412">
        <v>135.19</v>
      </c>
      <c r="S412">
        <v>228.36</v>
      </c>
    </row>
    <row r="413" spans="15:19">
      <c r="O413" t="s">
        <v>1107</v>
      </c>
      <c r="P413" t="s">
        <v>204</v>
      </c>
      <c r="Q413" t="s">
        <v>952</v>
      </c>
      <c r="R413">
        <v>86.39</v>
      </c>
      <c r="S413">
        <v>236.21</v>
      </c>
    </row>
    <row r="414" spans="15:19">
      <c r="O414" t="s">
        <v>1067</v>
      </c>
      <c r="P414" t="s">
        <v>212</v>
      </c>
      <c r="Q414" t="s">
        <v>952</v>
      </c>
      <c r="R414">
        <v>86.57</v>
      </c>
      <c r="S414">
        <v>216.91</v>
      </c>
    </row>
    <row r="415" spans="15:19">
      <c r="O415" t="s">
        <v>1070</v>
      </c>
      <c r="P415" t="s">
        <v>213</v>
      </c>
      <c r="Q415" t="s">
        <v>952</v>
      </c>
      <c r="R415">
        <v>205.28</v>
      </c>
      <c r="S415">
        <v>220.75</v>
      </c>
    </row>
    <row r="416" spans="15:19">
      <c r="O416" t="s">
        <v>1072</v>
      </c>
      <c r="P416" t="s">
        <v>218</v>
      </c>
      <c r="Q416" t="s">
        <v>952</v>
      </c>
      <c r="R416">
        <v>203.48</v>
      </c>
      <c r="S416">
        <v>236.98999999999899</v>
      </c>
    </row>
    <row r="417" spans="15:19">
      <c r="O417" t="s">
        <v>997</v>
      </c>
      <c r="P417" t="s">
        <v>220</v>
      </c>
      <c r="Q417" t="s">
        <v>952</v>
      </c>
      <c r="R417">
        <v>22.23</v>
      </c>
      <c r="S417">
        <v>167.43</v>
      </c>
    </row>
    <row r="418" spans="15:19">
      <c r="O418" t="s">
        <v>999</v>
      </c>
      <c r="P418" t="s">
        <v>222</v>
      </c>
      <c r="Q418" t="s">
        <v>952</v>
      </c>
      <c r="R418">
        <v>137.75</v>
      </c>
      <c r="S418">
        <v>225.93</v>
      </c>
    </row>
    <row r="419" spans="15:19">
      <c r="O419" t="s">
        <v>1253</v>
      </c>
      <c r="P419" t="s">
        <v>229</v>
      </c>
      <c r="Q419" t="s">
        <v>952</v>
      </c>
      <c r="R419">
        <v>44.42</v>
      </c>
      <c r="S419">
        <v>112.44</v>
      </c>
    </row>
    <row r="420" spans="15:19">
      <c r="O420" t="s">
        <v>1254</v>
      </c>
      <c r="P420" t="s">
        <v>245</v>
      </c>
      <c r="Q420" t="s">
        <v>952</v>
      </c>
      <c r="R420">
        <v>16.13</v>
      </c>
      <c r="S420">
        <v>17.04</v>
      </c>
    </row>
    <row r="421" spans="15:19">
      <c r="O421" t="s">
        <v>1247</v>
      </c>
      <c r="P421" t="s">
        <v>251</v>
      </c>
      <c r="Q421" t="s">
        <v>952</v>
      </c>
      <c r="R421">
        <v>10.07</v>
      </c>
      <c r="S421">
        <v>38.28</v>
      </c>
    </row>
    <row r="422" spans="15:19">
      <c r="O422" t="s">
        <v>1255</v>
      </c>
      <c r="P422" t="s">
        <v>252</v>
      </c>
      <c r="Q422" t="s">
        <v>952</v>
      </c>
      <c r="R422">
        <v>88.13</v>
      </c>
      <c r="S422">
        <v>264.20999999999998</v>
      </c>
    </row>
    <row r="423" spans="15:19">
      <c r="O423" t="s">
        <v>1118</v>
      </c>
      <c r="P423" t="s">
        <v>159</v>
      </c>
      <c r="Q423" t="s">
        <v>952</v>
      </c>
      <c r="R423">
        <v>108.32</v>
      </c>
      <c r="S423">
        <v>131.56</v>
      </c>
    </row>
    <row r="424" spans="15:19">
      <c r="O424" t="s">
        <v>1256</v>
      </c>
      <c r="P424" t="s">
        <v>160</v>
      </c>
      <c r="Q424" t="s">
        <v>952</v>
      </c>
      <c r="R424">
        <v>65.98</v>
      </c>
      <c r="S424">
        <v>85.63</v>
      </c>
    </row>
    <row r="425" spans="15:19">
      <c r="O425" t="s">
        <v>1027</v>
      </c>
      <c r="P425" t="s">
        <v>162</v>
      </c>
      <c r="Q425" t="s">
        <v>952</v>
      </c>
      <c r="R425">
        <v>44.32</v>
      </c>
      <c r="S425">
        <v>199.62</v>
      </c>
    </row>
    <row r="426" spans="15:19">
      <c r="O426" t="s">
        <v>1097</v>
      </c>
      <c r="P426" t="s">
        <v>163</v>
      </c>
      <c r="Q426" t="s">
        <v>952</v>
      </c>
      <c r="R426">
        <v>88.9</v>
      </c>
      <c r="S426">
        <v>88.9</v>
      </c>
    </row>
    <row r="427" spans="15:19">
      <c r="O427" t="s">
        <v>1249</v>
      </c>
      <c r="P427" t="s">
        <v>165</v>
      </c>
      <c r="Q427" t="s">
        <v>952</v>
      </c>
      <c r="R427">
        <v>110.49</v>
      </c>
      <c r="S427">
        <v>128.88</v>
      </c>
    </row>
    <row r="428" spans="15:19">
      <c r="O428" t="s">
        <v>961</v>
      </c>
      <c r="P428" t="s">
        <v>166</v>
      </c>
      <c r="Q428" t="s">
        <v>952</v>
      </c>
      <c r="R428">
        <v>226.41</v>
      </c>
      <c r="S428">
        <v>244.73</v>
      </c>
    </row>
    <row r="429" spans="15:19">
      <c r="O429" t="s">
        <v>1257</v>
      </c>
      <c r="P429" t="s">
        <v>167</v>
      </c>
      <c r="Q429" t="s">
        <v>952</v>
      </c>
      <c r="R429">
        <v>44.25</v>
      </c>
      <c r="S429">
        <v>58.19</v>
      </c>
    </row>
    <row r="430" spans="15:19">
      <c r="O430" t="s">
        <v>969</v>
      </c>
      <c r="P430" t="s">
        <v>172</v>
      </c>
      <c r="Q430" t="s">
        <v>952</v>
      </c>
      <c r="R430">
        <v>64.72</v>
      </c>
      <c r="S430">
        <v>89.03</v>
      </c>
    </row>
    <row r="431" spans="15:19">
      <c r="O431" t="s">
        <v>1035</v>
      </c>
      <c r="P431" t="s">
        <v>174</v>
      </c>
      <c r="Q431" t="s">
        <v>952</v>
      </c>
      <c r="R431">
        <v>86.21</v>
      </c>
      <c r="S431">
        <v>109.039999999999</v>
      </c>
    </row>
    <row r="432" spans="15:19">
      <c r="O432" t="s">
        <v>1098</v>
      </c>
      <c r="P432" t="s">
        <v>175</v>
      </c>
      <c r="Q432" t="s">
        <v>952</v>
      </c>
      <c r="R432">
        <v>88.45</v>
      </c>
      <c r="S432">
        <v>88.45</v>
      </c>
    </row>
    <row r="433" spans="15:19">
      <c r="O433" t="s">
        <v>973</v>
      </c>
      <c r="P433" t="s">
        <v>176</v>
      </c>
      <c r="Q433" t="s">
        <v>952</v>
      </c>
      <c r="R433">
        <v>89.02</v>
      </c>
      <c r="S433">
        <v>214.47</v>
      </c>
    </row>
    <row r="434" spans="15:19">
      <c r="O434" t="s">
        <v>1250</v>
      </c>
      <c r="P434" t="s">
        <v>177</v>
      </c>
      <c r="Q434" t="s">
        <v>952</v>
      </c>
      <c r="R434">
        <v>21.87</v>
      </c>
      <c r="S434">
        <v>60.17</v>
      </c>
    </row>
    <row r="435" spans="15:19">
      <c r="O435" t="s">
        <v>1251</v>
      </c>
      <c r="P435" t="s">
        <v>179</v>
      </c>
      <c r="Q435" t="s">
        <v>952</v>
      </c>
      <c r="R435">
        <v>44.22</v>
      </c>
      <c r="S435">
        <v>44.3</v>
      </c>
    </row>
    <row r="436" spans="15:19">
      <c r="O436" t="s">
        <v>982</v>
      </c>
      <c r="P436" t="s">
        <v>186</v>
      </c>
      <c r="Q436" t="s">
        <v>952</v>
      </c>
      <c r="R436">
        <v>88.71</v>
      </c>
      <c r="S436">
        <v>200.89</v>
      </c>
    </row>
    <row r="437" spans="15:19">
      <c r="O437" t="s">
        <v>1047</v>
      </c>
      <c r="P437" t="s">
        <v>188</v>
      </c>
      <c r="Q437" t="s">
        <v>952</v>
      </c>
      <c r="R437">
        <v>132.97999999999999</v>
      </c>
      <c r="S437">
        <v>222.23</v>
      </c>
    </row>
    <row r="438" spans="15:19">
      <c r="O438" t="s">
        <v>1101</v>
      </c>
      <c r="P438" t="s">
        <v>189</v>
      </c>
      <c r="Q438" t="s">
        <v>952</v>
      </c>
      <c r="R438">
        <v>43.45</v>
      </c>
      <c r="S438">
        <v>152.41</v>
      </c>
    </row>
    <row r="439" spans="15:19">
      <c r="O439" t="s">
        <v>1103</v>
      </c>
      <c r="P439" t="s">
        <v>191</v>
      </c>
      <c r="Q439" t="s">
        <v>952</v>
      </c>
      <c r="R439">
        <v>210.93</v>
      </c>
      <c r="S439">
        <v>210.93</v>
      </c>
    </row>
    <row r="440" spans="15:19">
      <c r="O440" t="s">
        <v>1258</v>
      </c>
      <c r="P440" t="s">
        <v>194</v>
      </c>
      <c r="Q440" t="s">
        <v>952</v>
      </c>
      <c r="R440">
        <v>133.01</v>
      </c>
      <c r="S440">
        <v>133.01</v>
      </c>
    </row>
    <row r="441" spans="15:19">
      <c r="O441" t="s">
        <v>1259</v>
      </c>
      <c r="P441" t="s">
        <v>199</v>
      </c>
      <c r="Q441" t="s">
        <v>952</v>
      </c>
      <c r="R441">
        <v>87.63</v>
      </c>
      <c r="S441">
        <v>87.63</v>
      </c>
    </row>
    <row r="442" spans="15:19">
      <c r="O442" t="s">
        <v>1056</v>
      </c>
      <c r="P442" t="s">
        <v>201</v>
      </c>
      <c r="Q442" t="s">
        <v>952</v>
      </c>
      <c r="R442">
        <v>44.72</v>
      </c>
      <c r="S442">
        <v>165.79</v>
      </c>
    </row>
    <row r="443" spans="15:19">
      <c r="O443" t="s">
        <v>986</v>
      </c>
      <c r="P443" t="s">
        <v>202</v>
      </c>
      <c r="Q443" t="s">
        <v>952</v>
      </c>
      <c r="R443">
        <v>176.82</v>
      </c>
      <c r="S443">
        <v>176.82</v>
      </c>
    </row>
    <row r="444" spans="15:19">
      <c r="O444" t="s">
        <v>989</v>
      </c>
      <c r="P444" t="s">
        <v>203</v>
      </c>
      <c r="Q444" t="s">
        <v>952</v>
      </c>
      <c r="R444">
        <v>42.89</v>
      </c>
      <c r="S444">
        <v>145.72</v>
      </c>
    </row>
    <row r="445" spans="15:19">
      <c r="O445" t="s">
        <v>1123</v>
      </c>
      <c r="P445" t="s">
        <v>209</v>
      </c>
      <c r="Q445" t="s">
        <v>952</v>
      </c>
      <c r="R445">
        <v>88.84</v>
      </c>
      <c r="S445">
        <v>263.14999999999998</v>
      </c>
    </row>
    <row r="446" spans="15:19">
      <c r="O446" t="s">
        <v>1064</v>
      </c>
      <c r="P446" t="s">
        <v>211</v>
      </c>
      <c r="Q446" t="s">
        <v>952</v>
      </c>
      <c r="R446">
        <v>88.68</v>
      </c>
      <c r="S446">
        <v>184.62</v>
      </c>
    </row>
    <row r="447" spans="15:19">
      <c r="O447" t="s">
        <v>1110</v>
      </c>
      <c r="P447" t="s">
        <v>214</v>
      </c>
      <c r="Q447" t="s">
        <v>952</v>
      </c>
      <c r="R447">
        <v>110.76</v>
      </c>
      <c r="S447">
        <v>132.96</v>
      </c>
    </row>
    <row r="448" spans="15:19">
      <c r="O448" t="s">
        <v>992</v>
      </c>
      <c r="P448" t="s">
        <v>216</v>
      </c>
      <c r="Q448" t="s">
        <v>952</v>
      </c>
      <c r="R448">
        <v>7.64</v>
      </c>
      <c r="S448">
        <v>114.72</v>
      </c>
    </row>
    <row r="449" spans="15:19">
      <c r="O449" t="s">
        <v>995</v>
      </c>
      <c r="P449" t="s">
        <v>217</v>
      </c>
      <c r="Q449" t="s">
        <v>952</v>
      </c>
      <c r="R449">
        <v>21.73</v>
      </c>
      <c r="S449">
        <v>252.81</v>
      </c>
    </row>
    <row r="450" spans="15:19">
      <c r="O450" t="s">
        <v>1072</v>
      </c>
      <c r="P450" t="s">
        <v>218</v>
      </c>
      <c r="Q450" t="s">
        <v>952</v>
      </c>
      <c r="R450">
        <v>65</v>
      </c>
      <c r="S450">
        <v>160.52000000000001</v>
      </c>
    </row>
    <row r="451" spans="15:19">
      <c r="O451" t="s">
        <v>1073</v>
      </c>
      <c r="P451" t="s">
        <v>219</v>
      </c>
      <c r="Q451" t="s">
        <v>952</v>
      </c>
      <c r="R451">
        <v>44.29</v>
      </c>
      <c r="S451">
        <v>221.36</v>
      </c>
    </row>
    <row r="452" spans="15:19">
      <c r="O452" t="s">
        <v>1074</v>
      </c>
      <c r="P452" t="s">
        <v>221</v>
      </c>
      <c r="Q452" t="s">
        <v>952</v>
      </c>
      <c r="R452">
        <v>40.33</v>
      </c>
      <c r="S452">
        <v>181.44</v>
      </c>
    </row>
    <row r="453" spans="15:19">
      <c r="O453" t="s">
        <v>1260</v>
      </c>
      <c r="P453" t="s">
        <v>316</v>
      </c>
      <c r="Q453" t="s">
        <v>1060</v>
      </c>
      <c r="R453">
        <v>187.38</v>
      </c>
      <c r="S453">
        <v>247.06</v>
      </c>
    </row>
    <row r="454" spans="15:19">
      <c r="O454" t="s">
        <v>1179</v>
      </c>
      <c r="P454" t="s">
        <v>324</v>
      </c>
      <c r="Q454" t="s">
        <v>1060</v>
      </c>
      <c r="R454">
        <v>143.03</v>
      </c>
      <c r="S454">
        <v>230.38</v>
      </c>
    </row>
    <row r="455" spans="15:19">
      <c r="O455" t="s">
        <v>1212</v>
      </c>
      <c r="P455" t="s">
        <v>328</v>
      </c>
      <c r="Q455" t="s">
        <v>1060</v>
      </c>
      <c r="R455">
        <v>116.58</v>
      </c>
      <c r="S455">
        <v>245.85999999999899</v>
      </c>
    </row>
    <row r="456" spans="15:19">
      <c r="O456" t="s">
        <v>1261</v>
      </c>
      <c r="P456" t="s">
        <v>331</v>
      </c>
      <c r="Q456" t="s">
        <v>1060</v>
      </c>
      <c r="R456">
        <v>143.91999999999999</v>
      </c>
      <c r="S456">
        <v>278.07</v>
      </c>
    </row>
    <row r="457" spans="15:19">
      <c r="O457" t="s">
        <v>1262</v>
      </c>
      <c r="P457" t="s">
        <v>336</v>
      </c>
      <c r="Q457" t="s">
        <v>1060</v>
      </c>
      <c r="R457">
        <v>146.29</v>
      </c>
      <c r="S457">
        <v>267.27</v>
      </c>
    </row>
    <row r="458" spans="15:19">
      <c r="O458" t="s">
        <v>1227</v>
      </c>
      <c r="P458" t="s">
        <v>338</v>
      </c>
      <c r="Q458" t="s">
        <v>1060</v>
      </c>
      <c r="R458">
        <v>168.81</v>
      </c>
      <c r="S458">
        <v>258.97000000000003</v>
      </c>
    </row>
    <row r="459" spans="15:19">
      <c r="O459" t="s">
        <v>1228</v>
      </c>
      <c r="P459" t="s">
        <v>339</v>
      </c>
      <c r="Q459" t="s">
        <v>1060</v>
      </c>
      <c r="R459">
        <v>167.32</v>
      </c>
      <c r="S459">
        <v>261.3</v>
      </c>
    </row>
    <row r="460" spans="15:19">
      <c r="O460" t="s">
        <v>1182</v>
      </c>
      <c r="P460" t="s">
        <v>341</v>
      </c>
      <c r="Q460" t="s">
        <v>1060</v>
      </c>
      <c r="R460">
        <v>43.81</v>
      </c>
      <c r="S460">
        <v>204.71</v>
      </c>
    </row>
    <row r="461" spans="15:19">
      <c r="O461" t="s">
        <v>1213</v>
      </c>
      <c r="P461" t="s">
        <v>345</v>
      </c>
      <c r="Q461" t="s">
        <v>1060</v>
      </c>
      <c r="R461">
        <v>202.1</v>
      </c>
      <c r="S461">
        <v>272.039999999999</v>
      </c>
    </row>
    <row r="462" spans="15:19">
      <c r="O462" t="s">
        <v>1184</v>
      </c>
      <c r="P462" t="s">
        <v>353</v>
      </c>
      <c r="Q462" t="s">
        <v>1060</v>
      </c>
      <c r="R462">
        <v>160.83000000000001</v>
      </c>
      <c r="S462">
        <v>263.77999999999997</v>
      </c>
    </row>
    <row r="463" spans="15:19">
      <c r="O463" t="s">
        <v>1185</v>
      </c>
      <c r="P463" t="s">
        <v>354</v>
      </c>
      <c r="Q463" t="s">
        <v>1060</v>
      </c>
      <c r="R463">
        <v>140.6</v>
      </c>
      <c r="S463">
        <v>257.95</v>
      </c>
    </row>
    <row r="464" spans="15:19">
      <c r="O464" t="s">
        <v>1263</v>
      </c>
      <c r="P464" t="s">
        <v>357</v>
      </c>
      <c r="Q464" t="s">
        <v>1060</v>
      </c>
      <c r="R464">
        <v>5.93</v>
      </c>
      <c r="S464">
        <v>231.32</v>
      </c>
    </row>
    <row r="465" spans="15:19">
      <c r="O465" t="s">
        <v>1167</v>
      </c>
      <c r="P465" t="s">
        <v>361</v>
      </c>
      <c r="Q465" t="s">
        <v>1060</v>
      </c>
      <c r="R465">
        <v>116.27</v>
      </c>
      <c r="S465">
        <v>242.73999999999899</v>
      </c>
    </row>
    <row r="466" spans="15:19">
      <c r="O466" t="s">
        <v>1187</v>
      </c>
      <c r="P466" t="s">
        <v>365</v>
      </c>
      <c r="Q466" t="s">
        <v>1060</v>
      </c>
      <c r="R466">
        <v>23.7</v>
      </c>
      <c r="S466">
        <v>172.12</v>
      </c>
    </row>
    <row r="467" spans="15:19">
      <c r="O467" t="s">
        <v>1264</v>
      </c>
      <c r="P467" t="s">
        <v>370</v>
      </c>
      <c r="Q467" t="s">
        <v>1060</v>
      </c>
      <c r="R467">
        <v>142.97</v>
      </c>
      <c r="S467">
        <v>176.72</v>
      </c>
    </row>
    <row r="468" spans="15:19">
      <c r="O468" t="s">
        <v>1160</v>
      </c>
      <c r="P468" t="s">
        <v>379</v>
      </c>
      <c r="Q468" t="s">
        <v>1060</v>
      </c>
      <c r="R468">
        <v>158.83000000000001</v>
      </c>
      <c r="S468">
        <v>184.47</v>
      </c>
    </row>
    <row r="469" spans="15:19">
      <c r="O469" t="s">
        <v>1225</v>
      </c>
      <c r="P469" t="s">
        <v>86</v>
      </c>
      <c r="Q469" t="s">
        <v>1060</v>
      </c>
      <c r="R469">
        <v>113.29</v>
      </c>
      <c r="S469">
        <v>137.93</v>
      </c>
    </row>
    <row r="470" spans="15:19">
      <c r="O470" t="s">
        <v>1204</v>
      </c>
      <c r="P470" t="s">
        <v>314</v>
      </c>
      <c r="Q470" t="s">
        <v>1060</v>
      </c>
      <c r="R470">
        <v>134.44</v>
      </c>
      <c r="S470">
        <v>241.39</v>
      </c>
    </row>
    <row r="471" spans="15:19">
      <c r="O471" t="s">
        <v>1265</v>
      </c>
      <c r="P471" t="s">
        <v>315</v>
      </c>
      <c r="Q471" t="s">
        <v>1060</v>
      </c>
      <c r="R471">
        <v>113.36</v>
      </c>
      <c r="S471">
        <v>220.66</v>
      </c>
    </row>
    <row r="472" spans="15:19">
      <c r="O472" t="s">
        <v>1260</v>
      </c>
      <c r="P472" t="s">
        <v>316</v>
      </c>
      <c r="Q472" t="s">
        <v>1060</v>
      </c>
      <c r="R472">
        <v>136.16999999999999</v>
      </c>
      <c r="S472">
        <v>193.41</v>
      </c>
    </row>
    <row r="473" spans="15:19">
      <c r="O473" t="s">
        <v>1266</v>
      </c>
      <c r="P473" t="s">
        <v>320</v>
      </c>
      <c r="Q473" t="s">
        <v>1060</v>
      </c>
      <c r="R473">
        <v>90.82</v>
      </c>
      <c r="S473">
        <v>270.32</v>
      </c>
    </row>
    <row r="474" spans="15:19">
      <c r="O474" t="s">
        <v>1267</v>
      </c>
      <c r="P474" t="s">
        <v>325</v>
      </c>
      <c r="Q474" t="s">
        <v>1060</v>
      </c>
      <c r="R474">
        <v>90.81</v>
      </c>
      <c r="S474">
        <v>115.92</v>
      </c>
    </row>
    <row r="475" spans="15:19">
      <c r="O475" t="s">
        <v>1236</v>
      </c>
      <c r="P475" t="s">
        <v>334</v>
      </c>
      <c r="Q475" t="s">
        <v>1060</v>
      </c>
      <c r="R475">
        <v>90.84</v>
      </c>
      <c r="S475">
        <v>128.26</v>
      </c>
    </row>
    <row r="476" spans="15:19">
      <c r="O476" t="s">
        <v>1227</v>
      </c>
      <c r="P476" t="s">
        <v>338</v>
      </c>
      <c r="Q476" t="s">
        <v>1060</v>
      </c>
      <c r="R476">
        <v>75.83</v>
      </c>
      <c r="S476">
        <v>174.23</v>
      </c>
    </row>
    <row r="477" spans="15:19">
      <c r="O477" t="s">
        <v>1230</v>
      </c>
      <c r="P477" t="s">
        <v>343</v>
      </c>
      <c r="Q477" t="s">
        <v>1060</v>
      </c>
      <c r="R477">
        <v>136.33000000000001</v>
      </c>
      <c r="S477">
        <v>221.12</v>
      </c>
    </row>
    <row r="478" spans="15:19">
      <c r="O478" t="s">
        <v>1164</v>
      </c>
      <c r="P478" t="s">
        <v>344</v>
      </c>
      <c r="Q478" t="s">
        <v>1060</v>
      </c>
      <c r="R478">
        <v>101.05</v>
      </c>
      <c r="S478">
        <v>167.03</v>
      </c>
    </row>
    <row r="479" spans="15:19">
      <c r="O479" t="s">
        <v>1213</v>
      </c>
      <c r="P479" t="s">
        <v>345</v>
      </c>
      <c r="Q479" t="s">
        <v>1060</v>
      </c>
      <c r="R479">
        <v>136.80000000000001</v>
      </c>
      <c r="S479">
        <v>265.41000000000003</v>
      </c>
    </row>
    <row r="480" spans="15:19">
      <c r="O480" t="s">
        <v>1215</v>
      </c>
      <c r="P480" t="s">
        <v>348</v>
      </c>
      <c r="Q480" t="s">
        <v>1060</v>
      </c>
      <c r="R480">
        <v>113.57</v>
      </c>
      <c r="S480">
        <v>251.66</v>
      </c>
    </row>
    <row r="481" spans="15:19">
      <c r="O481" t="s">
        <v>1268</v>
      </c>
      <c r="P481" t="s">
        <v>352</v>
      </c>
      <c r="Q481" t="s">
        <v>1060</v>
      </c>
      <c r="R481">
        <v>67.540000000000006</v>
      </c>
      <c r="S481">
        <v>245.93</v>
      </c>
    </row>
    <row r="482" spans="15:19">
      <c r="O482" t="s">
        <v>1263</v>
      </c>
      <c r="P482" t="s">
        <v>357</v>
      </c>
      <c r="Q482" t="s">
        <v>1060</v>
      </c>
      <c r="R482">
        <v>105.04</v>
      </c>
      <c r="S482">
        <v>205.87</v>
      </c>
    </row>
    <row r="483" spans="15:19">
      <c r="O483" t="s">
        <v>1166</v>
      </c>
      <c r="P483" t="s">
        <v>359</v>
      </c>
      <c r="Q483" t="s">
        <v>1060</v>
      </c>
      <c r="R483">
        <v>136.11000000000001</v>
      </c>
      <c r="S483">
        <v>158.47999999999999</v>
      </c>
    </row>
    <row r="484" spans="15:19">
      <c r="O484" t="s">
        <v>1269</v>
      </c>
      <c r="P484" t="s">
        <v>362</v>
      </c>
      <c r="Q484" t="s">
        <v>1060</v>
      </c>
      <c r="R484">
        <v>10.58</v>
      </c>
      <c r="S484">
        <v>200.82999999999899</v>
      </c>
    </row>
    <row r="485" spans="15:19">
      <c r="O485" t="s">
        <v>1232</v>
      </c>
      <c r="P485" t="s">
        <v>364</v>
      </c>
      <c r="Q485" t="s">
        <v>1060</v>
      </c>
      <c r="R485">
        <v>1.75</v>
      </c>
      <c r="S485">
        <v>155.72</v>
      </c>
    </row>
    <row r="486" spans="15:19">
      <c r="O486" t="s">
        <v>1270</v>
      </c>
      <c r="P486" t="s">
        <v>410</v>
      </c>
      <c r="Q486" t="s">
        <v>1055</v>
      </c>
      <c r="R486">
        <v>62.3</v>
      </c>
      <c r="S486">
        <v>65.119999999999905</v>
      </c>
    </row>
    <row r="487" spans="15:19">
      <c r="O487" t="s">
        <v>1209</v>
      </c>
      <c r="P487" t="s">
        <v>312</v>
      </c>
      <c r="Q487" t="s">
        <v>1055</v>
      </c>
      <c r="R487">
        <v>7.65</v>
      </c>
      <c r="S487">
        <v>188.51</v>
      </c>
    </row>
    <row r="488" spans="15:19">
      <c r="O488" t="s">
        <v>1210</v>
      </c>
      <c r="P488" t="s">
        <v>292</v>
      </c>
      <c r="Q488" t="s">
        <v>1055</v>
      </c>
      <c r="R488">
        <v>70.400000000000006</v>
      </c>
      <c r="S488">
        <v>81.23</v>
      </c>
    </row>
    <row r="489" spans="15:19">
      <c r="O489" t="s">
        <v>1175</v>
      </c>
      <c r="P489" t="s">
        <v>301</v>
      </c>
      <c r="Q489" t="s">
        <v>1055</v>
      </c>
      <c r="R489">
        <v>8.0299999999999994</v>
      </c>
      <c r="S489">
        <v>98.01</v>
      </c>
    </row>
    <row r="490" spans="15:19">
      <c r="O490" t="s">
        <v>1271</v>
      </c>
      <c r="P490" t="s">
        <v>303</v>
      </c>
      <c r="Q490" t="s">
        <v>1055</v>
      </c>
      <c r="R490">
        <v>7.9</v>
      </c>
      <c r="S490">
        <v>301.87</v>
      </c>
    </row>
    <row r="491" spans="15:19">
      <c r="O491" t="s">
        <v>1204</v>
      </c>
      <c r="P491" t="s">
        <v>314</v>
      </c>
      <c r="Q491" t="s">
        <v>1055</v>
      </c>
      <c r="R491">
        <v>31.19</v>
      </c>
      <c r="S491">
        <v>106.52</v>
      </c>
    </row>
    <row r="492" spans="15:19">
      <c r="O492" t="s">
        <v>1272</v>
      </c>
      <c r="P492" t="s">
        <v>319</v>
      </c>
      <c r="Q492" t="s">
        <v>1055</v>
      </c>
      <c r="R492">
        <v>70.22</v>
      </c>
      <c r="S492">
        <v>234.19</v>
      </c>
    </row>
    <row r="493" spans="15:19">
      <c r="O493" t="s">
        <v>1163</v>
      </c>
      <c r="P493" t="s">
        <v>321</v>
      </c>
      <c r="Q493" t="s">
        <v>1055</v>
      </c>
      <c r="R493">
        <v>7.85</v>
      </c>
      <c r="S493">
        <v>219.04</v>
      </c>
    </row>
    <row r="494" spans="15:19">
      <c r="O494" t="s">
        <v>1273</v>
      </c>
      <c r="P494" t="s">
        <v>323</v>
      </c>
      <c r="Q494" t="s">
        <v>1055</v>
      </c>
      <c r="R494">
        <v>86.05</v>
      </c>
      <c r="S494">
        <v>222.69</v>
      </c>
    </row>
    <row r="495" spans="15:19">
      <c r="O495" t="s">
        <v>1267</v>
      </c>
      <c r="P495" t="s">
        <v>325</v>
      </c>
      <c r="Q495" t="s">
        <v>1055</v>
      </c>
      <c r="R495">
        <v>86.25</v>
      </c>
      <c r="S495">
        <v>160.44999999999999</v>
      </c>
    </row>
    <row r="496" spans="15:19">
      <c r="O496" t="s">
        <v>1180</v>
      </c>
      <c r="P496" t="s">
        <v>326</v>
      </c>
      <c r="Q496" t="s">
        <v>1055</v>
      </c>
      <c r="R496">
        <v>70.63</v>
      </c>
      <c r="S496">
        <v>79.649999999999906</v>
      </c>
    </row>
    <row r="497" spans="15:19">
      <c r="O497" t="s">
        <v>1181</v>
      </c>
      <c r="P497" t="s">
        <v>329</v>
      </c>
      <c r="Q497" t="s">
        <v>1055</v>
      </c>
      <c r="R497">
        <v>164.58</v>
      </c>
      <c r="S497">
        <v>188.07</v>
      </c>
    </row>
    <row r="498" spans="15:19">
      <c r="O498" t="s">
        <v>1261</v>
      </c>
      <c r="P498" t="s">
        <v>331</v>
      </c>
      <c r="Q498" t="s">
        <v>1055</v>
      </c>
      <c r="R498">
        <v>7.51</v>
      </c>
      <c r="S498">
        <v>278.07</v>
      </c>
    </row>
    <row r="499" spans="15:19">
      <c r="O499" t="s">
        <v>1206</v>
      </c>
      <c r="P499" t="s">
        <v>332</v>
      </c>
      <c r="Q499" t="s">
        <v>1055</v>
      </c>
      <c r="R499">
        <v>62.72</v>
      </c>
      <c r="S499">
        <v>156.16999999999999</v>
      </c>
    </row>
    <row r="500" spans="15:19">
      <c r="O500" t="s">
        <v>1228</v>
      </c>
      <c r="P500" t="s">
        <v>339</v>
      </c>
      <c r="Q500" t="s">
        <v>1055</v>
      </c>
      <c r="R500">
        <v>13.38</v>
      </c>
      <c r="S500">
        <v>261.3</v>
      </c>
    </row>
    <row r="501" spans="15:19">
      <c r="O501" t="s">
        <v>1229</v>
      </c>
      <c r="P501" t="s">
        <v>342</v>
      </c>
      <c r="Q501" t="s">
        <v>1055</v>
      </c>
      <c r="R501">
        <v>8.19</v>
      </c>
      <c r="S501">
        <v>190.66</v>
      </c>
    </row>
    <row r="502" spans="15:19">
      <c r="O502" t="s">
        <v>1230</v>
      </c>
      <c r="P502" t="s">
        <v>343</v>
      </c>
      <c r="Q502" t="s">
        <v>1055</v>
      </c>
      <c r="R502">
        <v>31.45</v>
      </c>
      <c r="S502">
        <v>262.89999999999998</v>
      </c>
    </row>
    <row r="503" spans="15:19">
      <c r="O503" t="s">
        <v>1183</v>
      </c>
      <c r="P503" t="s">
        <v>351</v>
      </c>
      <c r="Q503" t="s">
        <v>1055</v>
      </c>
      <c r="R503">
        <v>85.95</v>
      </c>
      <c r="S503">
        <v>95.19</v>
      </c>
    </row>
    <row r="504" spans="15:19">
      <c r="O504" t="s">
        <v>1185</v>
      </c>
      <c r="P504" t="s">
        <v>354</v>
      </c>
      <c r="Q504" t="s">
        <v>1055</v>
      </c>
      <c r="R504">
        <v>77.540000000000006</v>
      </c>
      <c r="S504">
        <v>257.95</v>
      </c>
    </row>
    <row r="505" spans="15:19">
      <c r="O505" t="s">
        <v>1240</v>
      </c>
      <c r="P505" t="s">
        <v>360</v>
      </c>
      <c r="Q505" t="s">
        <v>1055</v>
      </c>
      <c r="R505">
        <v>70.23</v>
      </c>
      <c r="S505">
        <v>190.75</v>
      </c>
    </row>
    <row r="506" spans="15:19">
      <c r="O506" t="s">
        <v>1186</v>
      </c>
      <c r="P506" t="s">
        <v>363</v>
      </c>
      <c r="Q506" t="s">
        <v>1055</v>
      </c>
      <c r="R506">
        <v>8.01</v>
      </c>
      <c r="S506">
        <v>237.29</v>
      </c>
    </row>
    <row r="507" spans="15:19">
      <c r="O507" t="s">
        <v>1208</v>
      </c>
      <c r="P507" t="s">
        <v>368</v>
      </c>
      <c r="Q507" t="s">
        <v>1055</v>
      </c>
      <c r="R507">
        <v>15.73</v>
      </c>
      <c r="S507">
        <v>173.64</v>
      </c>
    </row>
    <row r="508" spans="15:19">
      <c r="O508" t="s">
        <v>1270</v>
      </c>
      <c r="P508" t="s">
        <v>410</v>
      </c>
      <c r="Q508" t="s">
        <v>1055</v>
      </c>
      <c r="R508">
        <v>23.36</v>
      </c>
      <c r="S508">
        <v>115.3</v>
      </c>
    </row>
    <row r="509" spans="15:19">
      <c r="O509" t="s">
        <v>1274</v>
      </c>
      <c r="P509" t="s">
        <v>412</v>
      </c>
      <c r="Q509" t="s">
        <v>1055</v>
      </c>
      <c r="R509">
        <v>16.09</v>
      </c>
      <c r="S509">
        <v>336.32</v>
      </c>
    </row>
    <row r="510" spans="15:19">
      <c r="O510" t="s">
        <v>1157</v>
      </c>
      <c r="P510" t="s">
        <v>419</v>
      </c>
      <c r="Q510" t="s">
        <v>1055</v>
      </c>
      <c r="R510">
        <v>7.5</v>
      </c>
      <c r="S510">
        <v>119.96</v>
      </c>
    </row>
    <row r="511" spans="15:19">
      <c r="O511" t="s">
        <v>1275</v>
      </c>
      <c r="P511" t="s">
        <v>308</v>
      </c>
      <c r="Q511" t="s">
        <v>1055</v>
      </c>
      <c r="R511">
        <v>8.1199999999999992</v>
      </c>
      <c r="S511">
        <v>304.70999999999998</v>
      </c>
    </row>
    <row r="512" spans="15:19">
      <c r="O512" t="s">
        <v>1172</v>
      </c>
      <c r="P512" t="s">
        <v>310</v>
      </c>
      <c r="Q512" t="s">
        <v>1055</v>
      </c>
      <c r="R512">
        <v>15.99</v>
      </c>
      <c r="S512">
        <v>194.63</v>
      </c>
    </row>
    <row r="513" spans="15:19">
      <c r="O513" t="s">
        <v>1159</v>
      </c>
      <c r="P513" t="s">
        <v>377</v>
      </c>
      <c r="Q513" t="s">
        <v>1055</v>
      </c>
      <c r="R513">
        <v>15.57</v>
      </c>
      <c r="S513">
        <v>78.08</v>
      </c>
    </row>
    <row r="514" spans="15:19">
      <c r="O514" t="s">
        <v>1276</v>
      </c>
      <c r="P514" t="s">
        <v>382</v>
      </c>
      <c r="Q514" t="s">
        <v>1055</v>
      </c>
      <c r="R514">
        <v>8.0500000000000007</v>
      </c>
      <c r="S514">
        <v>123.95</v>
      </c>
    </row>
    <row r="515" spans="15:19">
      <c r="O515" t="s">
        <v>1233</v>
      </c>
      <c r="P515" t="s">
        <v>383</v>
      </c>
      <c r="Q515" t="s">
        <v>1055</v>
      </c>
      <c r="R515">
        <v>70.98</v>
      </c>
      <c r="S515">
        <v>98.16</v>
      </c>
    </row>
    <row r="516" spans="15:19">
      <c r="O516" t="s">
        <v>1277</v>
      </c>
      <c r="P516" t="s">
        <v>386</v>
      </c>
      <c r="Q516" t="s">
        <v>1055</v>
      </c>
      <c r="R516">
        <v>15.76</v>
      </c>
      <c r="S516">
        <v>16.73</v>
      </c>
    </row>
    <row r="517" spans="15:19">
      <c r="O517" t="s">
        <v>1204</v>
      </c>
      <c r="P517" t="s">
        <v>314</v>
      </c>
      <c r="Q517" t="s">
        <v>1055</v>
      </c>
      <c r="R517">
        <v>84.84</v>
      </c>
      <c r="S517">
        <v>241.39</v>
      </c>
    </row>
    <row r="518" spans="15:19">
      <c r="O518" t="s">
        <v>1226</v>
      </c>
      <c r="P518" t="s">
        <v>317</v>
      </c>
      <c r="Q518" t="s">
        <v>1055</v>
      </c>
      <c r="R518">
        <v>62.91</v>
      </c>
      <c r="S518">
        <v>88.449999999999903</v>
      </c>
    </row>
    <row r="519" spans="15:19">
      <c r="O519" t="s">
        <v>1162</v>
      </c>
      <c r="P519" t="s">
        <v>318</v>
      </c>
      <c r="Q519" t="s">
        <v>1055</v>
      </c>
      <c r="R519">
        <v>71.11</v>
      </c>
      <c r="S519">
        <v>256.31</v>
      </c>
    </row>
    <row r="520" spans="15:19">
      <c r="O520" t="s">
        <v>1163</v>
      </c>
      <c r="P520" t="s">
        <v>321</v>
      </c>
      <c r="Q520" t="s">
        <v>1055</v>
      </c>
      <c r="R520">
        <v>31.51</v>
      </c>
      <c r="S520">
        <v>172.23999999999899</v>
      </c>
    </row>
    <row r="521" spans="15:19">
      <c r="O521" t="s">
        <v>1180</v>
      </c>
      <c r="P521" t="s">
        <v>326</v>
      </c>
      <c r="Q521" t="s">
        <v>1055</v>
      </c>
      <c r="R521">
        <v>62.43</v>
      </c>
      <c r="S521">
        <v>165.71</v>
      </c>
    </row>
    <row r="522" spans="15:19">
      <c r="O522" t="s">
        <v>1212</v>
      </c>
      <c r="P522" t="s">
        <v>328</v>
      </c>
      <c r="Q522" t="s">
        <v>1055</v>
      </c>
      <c r="R522">
        <v>43.82</v>
      </c>
      <c r="S522">
        <v>189.15</v>
      </c>
    </row>
    <row r="523" spans="15:19">
      <c r="O523" t="s">
        <v>1278</v>
      </c>
      <c r="P523" t="s">
        <v>335</v>
      </c>
      <c r="Q523" t="s">
        <v>1055</v>
      </c>
      <c r="R523">
        <v>8.0399999999999991</v>
      </c>
      <c r="S523">
        <v>140.26</v>
      </c>
    </row>
    <row r="524" spans="15:19">
      <c r="O524" t="s">
        <v>1262</v>
      </c>
      <c r="P524" t="s">
        <v>336</v>
      </c>
      <c r="Q524" t="s">
        <v>1055</v>
      </c>
      <c r="R524">
        <v>8.08</v>
      </c>
      <c r="S524">
        <v>249.5</v>
      </c>
    </row>
    <row r="525" spans="15:19">
      <c r="O525" t="s">
        <v>1227</v>
      </c>
      <c r="P525" t="s">
        <v>338</v>
      </c>
      <c r="Q525" t="s">
        <v>1055</v>
      </c>
      <c r="R525">
        <v>14.9</v>
      </c>
      <c r="S525">
        <v>174.23</v>
      </c>
    </row>
    <row r="526" spans="15:19">
      <c r="O526" t="s">
        <v>1207</v>
      </c>
      <c r="P526" t="s">
        <v>340</v>
      </c>
      <c r="Q526" t="s">
        <v>1055</v>
      </c>
      <c r="R526">
        <v>46.7</v>
      </c>
      <c r="S526">
        <v>127.66</v>
      </c>
    </row>
    <row r="527" spans="15:19">
      <c r="O527" t="s">
        <v>1229</v>
      </c>
      <c r="P527" t="s">
        <v>342</v>
      </c>
      <c r="Q527" t="s">
        <v>1055</v>
      </c>
      <c r="R527">
        <v>78.2</v>
      </c>
      <c r="S527">
        <v>186.32</v>
      </c>
    </row>
    <row r="528" spans="15:19">
      <c r="O528" t="s">
        <v>1230</v>
      </c>
      <c r="P528" t="s">
        <v>343</v>
      </c>
      <c r="Q528" t="s">
        <v>1055</v>
      </c>
      <c r="R528">
        <v>46.8</v>
      </c>
      <c r="S528">
        <v>221.12</v>
      </c>
    </row>
    <row r="529" spans="15:19">
      <c r="O529" t="s">
        <v>1164</v>
      </c>
      <c r="P529" t="s">
        <v>344</v>
      </c>
      <c r="Q529" t="s">
        <v>1055</v>
      </c>
      <c r="R529">
        <v>44.9</v>
      </c>
      <c r="S529">
        <v>167.03</v>
      </c>
    </row>
    <row r="530" spans="15:19">
      <c r="O530" t="s">
        <v>1213</v>
      </c>
      <c r="P530" t="s">
        <v>345</v>
      </c>
      <c r="Q530" t="s">
        <v>1055</v>
      </c>
      <c r="R530">
        <v>8.0399999999999991</v>
      </c>
      <c r="S530">
        <v>265.41000000000003</v>
      </c>
    </row>
    <row r="531" spans="15:19">
      <c r="O531" t="s">
        <v>1237</v>
      </c>
      <c r="P531" t="s">
        <v>346</v>
      </c>
      <c r="Q531" t="s">
        <v>1055</v>
      </c>
      <c r="R531">
        <v>15.62</v>
      </c>
      <c r="S531">
        <v>100.69</v>
      </c>
    </row>
    <row r="532" spans="15:19">
      <c r="O532" t="s">
        <v>1214</v>
      </c>
      <c r="P532" t="s">
        <v>347</v>
      </c>
      <c r="Q532" t="s">
        <v>1055</v>
      </c>
      <c r="R532">
        <v>0.26</v>
      </c>
      <c r="S532">
        <v>114.69</v>
      </c>
    </row>
    <row r="533" spans="15:19">
      <c r="O533" t="s">
        <v>1231</v>
      </c>
      <c r="P533" t="s">
        <v>350</v>
      </c>
      <c r="Q533" t="s">
        <v>1055</v>
      </c>
      <c r="R533">
        <v>5.92</v>
      </c>
      <c r="S533">
        <v>203.74</v>
      </c>
    </row>
    <row r="534" spans="15:19">
      <c r="O534" t="s">
        <v>1185</v>
      </c>
      <c r="P534" t="s">
        <v>354</v>
      </c>
      <c r="Q534" t="s">
        <v>1055</v>
      </c>
      <c r="R534">
        <v>8.1</v>
      </c>
      <c r="S534">
        <v>233.68</v>
      </c>
    </row>
    <row r="535" spans="15:19">
      <c r="O535" t="s">
        <v>1239</v>
      </c>
      <c r="P535" t="s">
        <v>356</v>
      </c>
      <c r="Q535" t="s">
        <v>1055</v>
      </c>
      <c r="R535">
        <v>31.06</v>
      </c>
      <c r="S535">
        <v>201.44</v>
      </c>
    </row>
    <row r="536" spans="15:19">
      <c r="O536" t="s">
        <v>1165</v>
      </c>
      <c r="P536" t="s">
        <v>358</v>
      </c>
      <c r="Q536" t="s">
        <v>1055</v>
      </c>
      <c r="R536">
        <v>31.25</v>
      </c>
      <c r="S536">
        <v>181.68</v>
      </c>
    </row>
    <row r="537" spans="15:19">
      <c r="O537" t="s">
        <v>1167</v>
      </c>
      <c r="P537" t="s">
        <v>361</v>
      </c>
      <c r="Q537" t="s">
        <v>1055</v>
      </c>
      <c r="R537">
        <v>8.06</v>
      </c>
      <c r="S537">
        <v>238.28</v>
      </c>
    </row>
    <row r="538" spans="15:19">
      <c r="O538" t="s">
        <v>1232</v>
      </c>
      <c r="P538" t="s">
        <v>364</v>
      </c>
      <c r="Q538" t="s">
        <v>1055</v>
      </c>
      <c r="R538">
        <v>38.869999999999997</v>
      </c>
      <c r="S538">
        <v>155.72</v>
      </c>
    </row>
    <row r="539" spans="15:19">
      <c r="O539" t="s">
        <v>1241</v>
      </c>
      <c r="P539" t="s">
        <v>367</v>
      </c>
      <c r="Q539" t="s">
        <v>1055</v>
      </c>
      <c r="R539">
        <v>30.89</v>
      </c>
      <c r="S539">
        <v>226.5</v>
      </c>
    </row>
    <row r="540" spans="15:19">
      <c r="O540" t="s">
        <v>1216</v>
      </c>
      <c r="P540" t="s">
        <v>369</v>
      </c>
      <c r="Q540" t="s">
        <v>1055</v>
      </c>
      <c r="R540">
        <v>15.62</v>
      </c>
      <c r="S540">
        <v>160.54</v>
      </c>
    </row>
    <row r="541" spans="15:19">
      <c r="O541" t="s">
        <v>1264</v>
      </c>
      <c r="P541" t="s">
        <v>370</v>
      </c>
      <c r="Q541" t="s">
        <v>1055</v>
      </c>
      <c r="R541">
        <v>14.28</v>
      </c>
      <c r="S541">
        <v>271.76</v>
      </c>
    </row>
    <row r="542" spans="15:19">
      <c r="O542" t="s">
        <v>939</v>
      </c>
      <c r="P542" t="s">
        <v>391</v>
      </c>
      <c r="Q542" t="s">
        <v>950</v>
      </c>
      <c r="R542">
        <v>19.989999999999998</v>
      </c>
      <c r="S542">
        <v>161.69</v>
      </c>
    </row>
    <row r="543" spans="15:19">
      <c r="O543" t="s">
        <v>1279</v>
      </c>
      <c r="P543" t="s">
        <v>393</v>
      </c>
      <c r="Q543" t="s">
        <v>950</v>
      </c>
      <c r="R543">
        <v>20.25</v>
      </c>
      <c r="S543">
        <v>54.01</v>
      </c>
    </row>
    <row r="544" spans="15:19">
      <c r="O544" t="s">
        <v>1280</v>
      </c>
      <c r="P544" t="s">
        <v>154</v>
      </c>
      <c r="Q544" t="s">
        <v>950</v>
      </c>
      <c r="R544">
        <v>20.079999999999998</v>
      </c>
      <c r="S544">
        <v>155.66</v>
      </c>
    </row>
    <row r="545" spans="15:19">
      <c r="O545" t="s">
        <v>945</v>
      </c>
      <c r="P545" t="s">
        <v>143</v>
      </c>
      <c r="Q545" t="s">
        <v>950</v>
      </c>
      <c r="R545">
        <v>140.65</v>
      </c>
      <c r="S545">
        <v>276.81</v>
      </c>
    </row>
    <row r="546" spans="15:19">
      <c r="O546" t="s">
        <v>948</v>
      </c>
      <c r="P546" t="s">
        <v>141</v>
      </c>
      <c r="Q546" t="s">
        <v>950</v>
      </c>
      <c r="R546">
        <v>181.05</v>
      </c>
      <c r="S546">
        <v>270.92</v>
      </c>
    </row>
    <row r="547" spans="15:19">
      <c r="O547" t="s">
        <v>951</v>
      </c>
      <c r="P547" t="s">
        <v>140</v>
      </c>
      <c r="Q547" t="s">
        <v>950</v>
      </c>
      <c r="R547">
        <v>75.260000000000005</v>
      </c>
      <c r="S547">
        <v>150.63</v>
      </c>
    </row>
    <row r="548" spans="15:19">
      <c r="O548" t="s">
        <v>1281</v>
      </c>
      <c r="P548" t="s">
        <v>139</v>
      </c>
      <c r="Q548" t="s">
        <v>950</v>
      </c>
      <c r="R548">
        <v>120.53</v>
      </c>
      <c r="S548">
        <v>182.17</v>
      </c>
    </row>
    <row r="549" spans="15:19">
      <c r="O549" t="s">
        <v>1022</v>
      </c>
      <c r="P549" t="s">
        <v>138</v>
      </c>
      <c r="Q549" t="s">
        <v>950</v>
      </c>
      <c r="R549">
        <v>101</v>
      </c>
      <c r="S549">
        <v>151.57999999999899</v>
      </c>
    </row>
    <row r="550" spans="15:19">
      <c r="O550" t="s">
        <v>1282</v>
      </c>
      <c r="P550" t="s">
        <v>142</v>
      </c>
      <c r="Q550" t="s">
        <v>950</v>
      </c>
      <c r="R550">
        <v>121.17</v>
      </c>
      <c r="S550">
        <v>213.62</v>
      </c>
    </row>
    <row r="551" spans="15:19">
      <c r="O551" t="s">
        <v>953</v>
      </c>
      <c r="P551" t="s">
        <v>134</v>
      </c>
      <c r="Q551" t="s">
        <v>950</v>
      </c>
      <c r="R551">
        <v>151.04</v>
      </c>
      <c r="S551">
        <v>213.02999999999901</v>
      </c>
    </row>
    <row r="552" spans="15:19">
      <c r="O552" t="s">
        <v>1283</v>
      </c>
      <c r="P552" t="s">
        <v>136</v>
      </c>
      <c r="Q552" t="s">
        <v>950</v>
      </c>
      <c r="R552">
        <v>120.95</v>
      </c>
      <c r="S552">
        <v>125.53</v>
      </c>
    </row>
    <row r="553" spans="15:19">
      <c r="O553" t="s">
        <v>976</v>
      </c>
      <c r="P553" t="s">
        <v>178</v>
      </c>
      <c r="Q553" t="s">
        <v>950</v>
      </c>
      <c r="R553">
        <v>20.02</v>
      </c>
      <c r="S553">
        <v>147.43</v>
      </c>
    </row>
    <row r="554" spans="15:19">
      <c r="O554" t="s">
        <v>989</v>
      </c>
      <c r="P554" t="s">
        <v>203</v>
      </c>
      <c r="Q554" t="s">
        <v>950</v>
      </c>
      <c r="R554">
        <v>19.940000000000001</v>
      </c>
      <c r="S554">
        <v>215.75</v>
      </c>
    </row>
    <row r="555" spans="15:19">
      <c r="O555" t="s">
        <v>1122</v>
      </c>
      <c r="P555" t="s">
        <v>206</v>
      </c>
      <c r="Q555" t="s">
        <v>950</v>
      </c>
      <c r="R555">
        <v>40.03</v>
      </c>
      <c r="S555">
        <v>230.95</v>
      </c>
    </row>
    <row r="556" spans="15:19">
      <c r="O556" t="s">
        <v>992</v>
      </c>
      <c r="P556" t="s">
        <v>216</v>
      </c>
      <c r="Q556" t="s">
        <v>950</v>
      </c>
      <c r="R556">
        <v>19.25</v>
      </c>
      <c r="S556">
        <v>239.53</v>
      </c>
    </row>
    <row r="557" spans="15:19">
      <c r="O557" t="s">
        <v>995</v>
      </c>
      <c r="P557" t="s">
        <v>217</v>
      </c>
      <c r="Q557" t="s">
        <v>950</v>
      </c>
      <c r="R557">
        <v>19.91</v>
      </c>
      <c r="S557">
        <v>171.72</v>
      </c>
    </row>
    <row r="558" spans="15:19">
      <c r="O558" t="s">
        <v>1008</v>
      </c>
      <c r="P558" t="s">
        <v>392</v>
      </c>
      <c r="Q558" t="s">
        <v>950</v>
      </c>
      <c r="R558">
        <v>20.260000000000002</v>
      </c>
      <c r="S558">
        <v>126.1</v>
      </c>
    </row>
    <row r="559" spans="15:19">
      <c r="O559" t="s">
        <v>944</v>
      </c>
      <c r="P559" t="s">
        <v>132</v>
      </c>
      <c r="Q559" t="s">
        <v>950</v>
      </c>
      <c r="R559">
        <v>80.03</v>
      </c>
      <c r="S559">
        <v>109.29</v>
      </c>
    </row>
    <row r="560" spans="15:19">
      <c r="O560" t="s">
        <v>945</v>
      </c>
      <c r="P560" t="s">
        <v>143</v>
      </c>
      <c r="Q560" t="s">
        <v>950</v>
      </c>
      <c r="R560">
        <v>140.94999999999999</v>
      </c>
      <c r="S560">
        <v>195.38</v>
      </c>
    </row>
    <row r="561" spans="15:19">
      <c r="O561" t="s">
        <v>948</v>
      </c>
      <c r="P561" t="s">
        <v>141</v>
      </c>
      <c r="Q561" t="s">
        <v>950</v>
      </c>
      <c r="R561">
        <v>5.84</v>
      </c>
      <c r="S561">
        <v>81.069999999999993</v>
      </c>
    </row>
    <row r="562" spans="15:19">
      <c r="O562" t="s">
        <v>951</v>
      </c>
      <c r="P562" t="s">
        <v>140</v>
      </c>
      <c r="Q562" t="s">
        <v>950</v>
      </c>
      <c r="R562">
        <v>79.92</v>
      </c>
      <c r="S562">
        <v>196.21</v>
      </c>
    </row>
    <row r="563" spans="15:19">
      <c r="O563" t="s">
        <v>1281</v>
      </c>
      <c r="P563" t="s">
        <v>139</v>
      </c>
      <c r="Q563" t="s">
        <v>950</v>
      </c>
      <c r="R563">
        <v>204.41</v>
      </c>
      <c r="S563">
        <v>213.63</v>
      </c>
    </row>
    <row r="564" spans="15:19">
      <c r="O564" t="s">
        <v>1022</v>
      </c>
      <c r="P564" t="s">
        <v>138</v>
      </c>
      <c r="Q564" t="s">
        <v>950</v>
      </c>
      <c r="R564">
        <v>80.25</v>
      </c>
      <c r="S564">
        <v>186.21</v>
      </c>
    </row>
    <row r="565" spans="15:19">
      <c r="O565" t="s">
        <v>1282</v>
      </c>
      <c r="P565" t="s">
        <v>142</v>
      </c>
      <c r="Q565" t="s">
        <v>950</v>
      </c>
      <c r="R565">
        <v>183.27</v>
      </c>
      <c r="S565">
        <v>252.91</v>
      </c>
    </row>
    <row r="566" spans="15:19">
      <c r="O566" t="s">
        <v>953</v>
      </c>
      <c r="P566" t="s">
        <v>134</v>
      </c>
      <c r="Q566" t="s">
        <v>950</v>
      </c>
      <c r="R566">
        <v>128.68</v>
      </c>
      <c r="S566">
        <v>273.66000000000003</v>
      </c>
    </row>
    <row r="567" spans="15:19">
      <c r="O567" t="s">
        <v>1283</v>
      </c>
      <c r="P567" t="s">
        <v>136</v>
      </c>
      <c r="Q567" t="s">
        <v>950</v>
      </c>
      <c r="R567">
        <v>140.55000000000001</v>
      </c>
      <c r="S567">
        <v>217.74</v>
      </c>
    </row>
    <row r="568" spans="15:19">
      <c r="O568" t="s">
        <v>1032</v>
      </c>
      <c r="P568" t="s">
        <v>171</v>
      </c>
      <c r="Q568" t="s">
        <v>950</v>
      </c>
      <c r="R568">
        <v>20.059999999999999</v>
      </c>
      <c r="S568">
        <v>142.21</v>
      </c>
    </row>
    <row r="569" spans="15:19">
      <c r="O569" t="s">
        <v>1108</v>
      </c>
      <c r="P569" t="s">
        <v>207</v>
      </c>
      <c r="Q569" t="s">
        <v>950</v>
      </c>
      <c r="R569">
        <v>20.2</v>
      </c>
      <c r="S569">
        <v>110.62</v>
      </c>
    </row>
    <row r="570" spans="15:19">
      <c r="O570" t="s">
        <v>1071</v>
      </c>
      <c r="P570" t="s">
        <v>215</v>
      </c>
      <c r="Q570" t="s">
        <v>950</v>
      </c>
      <c r="R570">
        <v>20.059999999999999</v>
      </c>
      <c r="S570">
        <v>213.77</v>
      </c>
    </row>
    <row r="571" spans="15:19">
      <c r="O571" t="s">
        <v>1073</v>
      </c>
      <c r="P571" t="s">
        <v>219</v>
      </c>
      <c r="Q571" t="s">
        <v>950</v>
      </c>
      <c r="R571">
        <v>20.03</v>
      </c>
      <c r="S571">
        <v>221.36</v>
      </c>
    </row>
    <row r="572" spans="15:19">
      <c r="O572" t="s">
        <v>1274</v>
      </c>
      <c r="P572" t="s">
        <v>412</v>
      </c>
      <c r="Q572" t="s">
        <v>1063</v>
      </c>
      <c r="R572">
        <v>12.78</v>
      </c>
      <c r="S572">
        <v>259.94</v>
      </c>
    </row>
    <row r="573" spans="15:19">
      <c r="O573" t="s">
        <v>1284</v>
      </c>
      <c r="P573" t="s">
        <v>298</v>
      </c>
      <c r="Q573" t="s">
        <v>1063</v>
      </c>
      <c r="R573">
        <v>87.77</v>
      </c>
      <c r="S573">
        <v>98.91</v>
      </c>
    </row>
    <row r="574" spans="15:19">
      <c r="O574" t="s">
        <v>1158</v>
      </c>
      <c r="P574" t="s">
        <v>306</v>
      </c>
      <c r="Q574" t="s">
        <v>1063</v>
      </c>
      <c r="R574">
        <v>23.15</v>
      </c>
      <c r="S574">
        <v>147.46</v>
      </c>
    </row>
    <row r="575" spans="15:19">
      <c r="O575" t="s">
        <v>1277</v>
      </c>
      <c r="P575" t="s">
        <v>386</v>
      </c>
      <c r="Q575" t="s">
        <v>1063</v>
      </c>
      <c r="R575">
        <v>46.35</v>
      </c>
      <c r="S575">
        <v>77.45</v>
      </c>
    </row>
    <row r="576" spans="15:19">
      <c r="O576" t="s">
        <v>1177</v>
      </c>
      <c r="P576" t="s">
        <v>387</v>
      </c>
      <c r="Q576" t="s">
        <v>1063</v>
      </c>
      <c r="R576">
        <v>23.14</v>
      </c>
      <c r="S576">
        <v>31.96</v>
      </c>
    </row>
    <row r="577" spans="15:19">
      <c r="O577" t="s">
        <v>1285</v>
      </c>
      <c r="P577" t="s">
        <v>78</v>
      </c>
      <c r="Q577" t="s">
        <v>1063</v>
      </c>
      <c r="R577">
        <v>11.57</v>
      </c>
      <c r="S577">
        <v>126.049999999999</v>
      </c>
    </row>
    <row r="578" spans="15:19">
      <c r="O578" t="s">
        <v>1178</v>
      </c>
      <c r="P578" t="s">
        <v>85</v>
      </c>
      <c r="Q578" t="s">
        <v>1063</v>
      </c>
      <c r="R578">
        <v>23.02</v>
      </c>
      <c r="S578">
        <v>165.57999999999899</v>
      </c>
    </row>
    <row r="579" spans="15:19">
      <c r="O579" t="s">
        <v>1266</v>
      </c>
      <c r="P579" t="s">
        <v>320</v>
      </c>
      <c r="Q579" t="s">
        <v>1063</v>
      </c>
      <c r="R579">
        <v>22.94</v>
      </c>
      <c r="S579">
        <v>90.3</v>
      </c>
    </row>
    <row r="580" spans="15:19">
      <c r="O580" t="s">
        <v>1163</v>
      </c>
      <c r="P580" t="s">
        <v>321</v>
      </c>
      <c r="Q580" t="s">
        <v>1063</v>
      </c>
      <c r="R580">
        <v>78.22</v>
      </c>
      <c r="S580">
        <v>219.04</v>
      </c>
    </row>
    <row r="581" spans="15:19">
      <c r="O581" t="s">
        <v>1286</v>
      </c>
      <c r="P581" t="s">
        <v>322</v>
      </c>
      <c r="Q581" t="s">
        <v>1063</v>
      </c>
      <c r="R581">
        <v>91.96</v>
      </c>
      <c r="S581">
        <v>268.26</v>
      </c>
    </row>
    <row r="582" spans="15:19">
      <c r="O582" t="s">
        <v>1273</v>
      </c>
      <c r="P582" t="s">
        <v>323</v>
      </c>
      <c r="Q582" t="s">
        <v>1063</v>
      </c>
      <c r="R582">
        <v>66.2</v>
      </c>
      <c r="S582">
        <v>222.69</v>
      </c>
    </row>
    <row r="583" spans="15:19">
      <c r="O583" t="s">
        <v>1205</v>
      </c>
      <c r="P583" t="s">
        <v>330</v>
      </c>
      <c r="Q583" t="s">
        <v>1063</v>
      </c>
      <c r="R583">
        <v>125.19</v>
      </c>
      <c r="S583">
        <v>265.17</v>
      </c>
    </row>
    <row r="584" spans="15:19">
      <c r="O584" t="s">
        <v>1261</v>
      </c>
      <c r="P584" t="s">
        <v>331</v>
      </c>
      <c r="Q584" t="s">
        <v>1063</v>
      </c>
      <c r="R584">
        <v>80.849999999999994</v>
      </c>
      <c r="S584">
        <v>278.07</v>
      </c>
    </row>
    <row r="585" spans="15:19">
      <c r="O585" t="s">
        <v>1262</v>
      </c>
      <c r="P585" t="s">
        <v>336</v>
      </c>
      <c r="Q585" t="s">
        <v>1063</v>
      </c>
      <c r="R585">
        <v>79.27</v>
      </c>
      <c r="S585">
        <v>267.27</v>
      </c>
    </row>
    <row r="586" spans="15:19">
      <c r="O586" t="s">
        <v>1230</v>
      </c>
      <c r="P586" t="s">
        <v>343</v>
      </c>
      <c r="Q586" t="s">
        <v>1063</v>
      </c>
      <c r="R586">
        <v>22.36</v>
      </c>
      <c r="S586">
        <v>262.89999999999998</v>
      </c>
    </row>
    <row r="587" spans="15:19">
      <c r="O587" t="s">
        <v>1268</v>
      </c>
      <c r="P587" t="s">
        <v>352</v>
      </c>
      <c r="Q587" t="s">
        <v>1063</v>
      </c>
      <c r="R587">
        <v>10.23</v>
      </c>
      <c r="S587">
        <v>109.32</v>
      </c>
    </row>
    <row r="588" spans="15:19">
      <c r="O588" t="s">
        <v>1239</v>
      </c>
      <c r="P588" t="s">
        <v>356</v>
      </c>
      <c r="Q588" t="s">
        <v>1063</v>
      </c>
      <c r="R588">
        <v>6.16</v>
      </c>
      <c r="S588">
        <v>215.03</v>
      </c>
    </row>
    <row r="589" spans="15:19">
      <c r="O589" t="s">
        <v>1263</v>
      </c>
      <c r="P589" t="s">
        <v>357</v>
      </c>
      <c r="Q589" t="s">
        <v>1063</v>
      </c>
      <c r="R589">
        <v>101.82</v>
      </c>
      <c r="S589">
        <v>231.32</v>
      </c>
    </row>
    <row r="590" spans="15:19">
      <c r="O590" t="s">
        <v>1186</v>
      </c>
      <c r="P590" t="s">
        <v>363</v>
      </c>
      <c r="Q590" t="s">
        <v>1063</v>
      </c>
      <c r="R590">
        <v>133.88999999999999</v>
      </c>
      <c r="S590">
        <v>237.29</v>
      </c>
    </row>
    <row r="591" spans="15:19">
      <c r="O591" t="s">
        <v>1241</v>
      </c>
      <c r="P591" t="s">
        <v>367</v>
      </c>
      <c r="Q591" t="s">
        <v>1063</v>
      </c>
      <c r="R591">
        <v>182.46</v>
      </c>
      <c r="S591">
        <v>227.93</v>
      </c>
    </row>
    <row r="592" spans="15:19">
      <c r="O592" t="s">
        <v>1216</v>
      </c>
      <c r="P592" t="s">
        <v>369</v>
      </c>
      <c r="Q592" t="s">
        <v>1063</v>
      </c>
      <c r="R592">
        <v>137.13999999999999</v>
      </c>
      <c r="S592">
        <v>144.42999999999901</v>
      </c>
    </row>
    <row r="593" spans="15:19">
      <c r="O593" t="s">
        <v>1287</v>
      </c>
      <c r="P593" t="s">
        <v>311</v>
      </c>
      <c r="Q593" t="s">
        <v>1063</v>
      </c>
      <c r="R593">
        <v>21.94</v>
      </c>
      <c r="S593">
        <v>303.67</v>
      </c>
    </row>
    <row r="594" spans="15:19">
      <c r="O594" t="s">
        <v>1159</v>
      </c>
      <c r="P594" t="s">
        <v>377</v>
      </c>
      <c r="Q594" t="s">
        <v>1063</v>
      </c>
      <c r="R594">
        <v>51.24</v>
      </c>
      <c r="S594">
        <v>78.08</v>
      </c>
    </row>
    <row r="595" spans="15:19">
      <c r="O595" t="s">
        <v>1285</v>
      </c>
      <c r="P595" t="s">
        <v>78</v>
      </c>
      <c r="Q595" t="s">
        <v>1063</v>
      </c>
      <c r="R595">
        <v>57.15</v>
      </c>
      <c r="S595">
        <v>166.79</v>
      </c>
    </row>
    <row r="596" spans="15:19">
      <c r="O596" t="s">
        <v>1203</v>
      </c>
      <c r="P596" t="s">
        <v>313</v>
      </c>
      <c r="Q596" t="s">
        <v>1063</v>
      </c>
      <c r="R596">
        <v>9.27</v>
      </c>
      <c r="S596">
        <v>157.24</v>
      </c>
    </row>
    <row r="597" spans="15:19">
      <c r="O597" t="s">
        <v>1288</v>
      </c>
      <c r="P597" t="s">
        <v>327</v>
      </c>
      <c r="Q597" t="s">
        <v>1063</v>
      </c>
      <c r="R597">
        <v>87.96</v>
      </c>
      <c r="S597">
        <v>238.57999999999899</v>
      </c>
    </row>
    <row r="598" spans="15:19">
      <c r="O598" t="s">
        <v>1181</v>
      </c>
      <c r="P598" t="s">
        <v>329</v>
      </c>
      <c r="Q598" t="s">
        <v>1063</v>
      </c>
      <c r="R598">
        <v>110.48</v>
      </c>
      <c r="S598">
        <v>190.2</v>
      </c>
    </row>
    <row r="599" spans="15:19">
      <c r="O599" t="s">
        <v>1278</v>
      </c>
      <c r="P599" t="s">
        <v>335</v>
      </c>
      <c r="Q599" t="s">
        <v>1063</v>
      </c>
      <c r="R599">
        <v>112.07</v>
      </c>
      <c r="S599">
        <v>140.26</v>
      </c>
    </row>
    <row r="600" spans="15:19">
      <c r="O600" t="s">
        <v>1262</v>
      </c>
      <c r="P600" t="s">
        <v>336</v>
      </c>
      <c r="Q600" t="s">
        <v>1063</v>
      </c>
      <c r="R600">
        <v>94.84</v>
      </c>
      <c r="S600">
        <v>249.5</v>
      </c>
    </row>
    <row r="601" spans="15:19">
      <c r="O601" t="s">
        <v>1231</v>
      </c>
      <c r="P601" t="s">
        <v>350</v>
      </c>
      <c r="Q601" t="s">
        <v>1063</v>
      </c>
      <c r="R601">
        <v>164.11</v>
      </c>
      <c r="S601">
        <v>203.74</v>
      </c>
    </row>
    <row r="602" spans="15:19">
      <c r="O602" t="s">
        <v>1268</v>
      </c>
      <c r="P602" t="s">
        <v>352</v>
      </c>
      <c r="Q602" t="s">
        <v>1063</v>
      </c>
      <c r="R602">
        <v>21.98</v>
      </c>
      <c r="S602">
        <v>245.93</v>
      </c>
    </row>
    <row r="603" spans="15:19">
      <c r="O603" t="s">
        <v>1185</v>
      </c>
      <c r="P603" t="s">
        <v>354</v>
      </c>
      <c r="Q603" t="s">
        <v>1063</v>
      </c>
      <c r="R603">
        <v>75.260000000000005</v>
      </c>
      <c r="S603">
        <v>233.68</v>
      </c>
    </row>
    <row r="604" spans="15:19">
      <c r="O604" t="s">
        <v>1239</v>
      </c>
      <c r="P604" t="s">
        <v>356</v>
      </c>
      <c r="Q604" t="s">
        <v>1063</v>
      </c>
      <c r="R604">
        <v>82.68</v>
      </c>
      <c r="S604">
        <v>201.44</v>
      </c>
    </row>
    <row r="605" spans="15:19">
      <c r="O605" t="s">
        <v>1269</v>
      </c>
      <c r="P605" t="s">
        <v>362</v>
      </c>
      <c r="Q605" t="s">
        <v>1063</v>
      </c>
      <c r="R605">
        <v>57.12</v>
      </c>
      <c r="S605">
        <v>200.82999999999899</v>
      </c>
    </row>
    <row r="606" spans="15:19">
      <c r="O606" t="s">
        <v>1187</v>
      </c>
      <c r="P606" t="s">
        <v>365</v>
      </c>
      <c r="Q606" t="s">
        <v>1063</v>
      </c>
      <c r="R606">
        <v>9.83</v>
      </c>
      <c r="S606">
        <v>200.75</v>
      </c>
    </row>
    <row r="607" spans="15:19">
      <c r="O607" t="s">
        <v>1241</v>
      </c>
      <c r="P607" t="s">
        <v>367</v>
      </c>
      <c r="Q607" t="s">
        <v>1063</v>
      </c>
      <c r="R607">
        <v>21.09</v>
      </c>
      <c r="S607">
        <v>226.5</v>
      </c>
    </row>
    <row r="608" spans="15:19">
      <c r="O608" t="s">
        <v>1208</v>
      </c>
      <c r="P608" t="s">
        <v>368</v>
      </c>
      <c r="Q608" t="s">
        <v>1063</v>
      </c>
      <c r="R608">
        <v>11.63</v>
      </c>
      <c r="S608">
        <v>181.43</v>
      </c>
    </row>
    <row r="609" spans="15:19">
      <c r="O609" t="s">
        <v>1264</v>
      </c>
      <c r="P609" t="s">
        <v>370</v>
      </c>
      <c r="Q609" t="s">
        <v>1063</v>
      </c>
      <c r="R609">
        <v>98.76</v>
      </c>
      <c r="S609">
        <v>271.76</v>
      </c>
    </row>
    <row r="610" spans="15:19">
      <c r="O610" t="s">
        <v>1289</v>
      </c>
      <c r="P610" t="s">
        <v>297</v>
      </c>
      <c r="Q610" t="s">
        <v>1290</v>
      </c>
      <c r="R610">
        <v>6.73</v>
      </c>
      <c r="S610">
        <v>196.05</v>
      </c>
    </row>
    <row r="611" spans="15:19">
      <c r="O611" t="s">
        <v>1158</v>
      </c>
      <c r="P611" t="s">
        <v>306</v>
      </c>
      <c r="Q611" t="s">
        <v>1290</v>
      </c>
      <c r="R611">
        <v>41.71</v>
      </c>
      <c r="S611">
        <v>147.46</v>
      </c>
    </row>
    <row r="612" spans="15:19">
      <c r="O612" t="s">
        <v>1291</v>
      </c>
      <c r="P612" t="s">
        <v>307</v>
      </c>
      <c r="Q612" t="s">
        <v>1290</v>
      </c>
      <c r="R612">
        <v>28.03</v>
      </c>
      <c r="S612">
        <v>137.19</v>
      </c>
    </row>
    <row r="613" spans="15:19">
      <c r="O613" t="s">
        <v>1276</v>
      </c>
      <c r="P613" t="s">
        <v>382</v>
      </c>
      <c r="Q613" t="s">
        <v>1290</v>
      </c>
      <c r="R613">
        <v>27.75</v>
      </c>
      <c r="S613">
        <v>38.56</v>
      </c>
    </row>
    <row r="614" spans="15:19">
      <c r="O614" t="s">
        <v>1292</v>
      </c>
      <c r="P614" t="s">
        <v>82</v>
      </c>
      <c r="Q614" t="s">
        <v>1290</v>
      </c>
      <c r="R614">
        <v>55.98</v>
      </c>
      <c r="S614">
        <v>68.789999999999907</v>
      </c>
    </row>
    <row r="615" spans="15:19">
      <c r="O615" t="s">
        <v>1266</v>
      </c>
      <c r="P615" t="s">
        <v>320</v>
      </c>
      <c r="Q615" t="s">
        <v>1290</v>
      </c>
      <c r="R615">
        <v>55.05</v>
      </c>
      <c r="S615">
        <v>90.3</v>
      </c>
    </row>
    <row r="616" spans="15:19">
      <c r="O616" t="s">
        <v>1278</v>
      </c>
      <c r="P616" t="s">
        <v>335</v>
      </c>
      <c r="Q616" t="s">
        <v>1290</v>
      </c>
      <c r="R616">
        <v>96.18</v>
      </c>
      <c r="S616">
        <v>251.45</v>
      </c>
    </row>
    <row r="617" spans="15:19">
      <c r="O617" t="s">
        <v>1207</v>
      </c>
      <c r="P617" t="s">
        <v>340</v>
      </c>
      <c r="Q617" t="s">
        <v>1290</v>
      </c>
      <c r="R617">
        <v>54.9</v>
      </c>
      <c r="S617">
        <v>222.76999999999899</v>
      </c>
    </row>
    <row r="618" spans="15:19">
      <c r="O618" t="s">
        <v>1164</v>
      </c>
      <c r="P618" t="s">
        <v>344</v>
      </c>
      <c r="Q618" t="s">
        <v>1290</v>
      </c>
      <c r="R618">
        <v>47.6</v>
      </c>
      <c r="S618">
        <v>184.66</v>
      </c>
    </row>
    <row r="619" spans="15:19">
      <c r="O619" t="s">
        <v>1268</v>
      </c>
      <c r="P619" t="s">
        <v>352</v>
      </c>
      <c r="Q619" t="s">
        <v>1290</v>
      </c>
      <c r="R619">
        <v>13.85</v>
      </c>
      <c r="S619">
        <v>109.32</v>
      </c>
    </row>
    <row r="620" spans="15:19">
      <c r="O620" t="s">
        <v>1239</v>
      </c>
      <c r="P620" t="s">
        <v>356</v>
      </c>
      <c r="Q620" t="s">
        <v>1290</v>
      </c>
      <c r="R620">
        <v>82.3</v>
      </c>
      <c r="S620">
        <v>215.03</v>
      </c>
    </row>
    <row r="621" spans="15:19">
      <c r="O621" t="s">
        <v>1187</v>
      </c>
      <c r="P621" t="s">
        <v>365</v>
      </c>
      <c r="Q621" t="s">
        <v>1290</v>
      </c>
      <c r="R621">
        <v>96.7</v>
      </c>
      <c r="S621">
        <v>172.12</v>
      </c>
    </row>
    <row r="622" spans="15:19">
      <c r="O622" t="s">
        <v>1168</v>
      </c>
      <c r="P622" t="s">
        <v>366</v>
      </c>
      <c r="Q622" t="s">
        <v>1290</v>
      </c>
      <c r="R622">
        <v>102.9</v>
      </c>
      <c r="S622">
        <v>241.82</v>
      </c>
    </row>
    <row r="623" spans="15:19">
      <c r="O623" t="s">
        <v>1156</v>
      </c>
      <c r="P623" t="s">
        <v>408</v>
      </c>
      <c r="Q623" t="s">
        <v>1290</v>
      </c>
      <c r="R623">
        <v>6.69</v>
      </c>
      <c r="S623">
        <v>92.49</v>
      </c>
    </row>
    <row r="624" spans="15:19">
      <c r="O624" t="s">
        <v>1293</v>
      </c>
      <c r="P624" t="s">
        <v>417</v>
      </c>
      <c r="Q624" t="s">
        <v>1290</v>
      </c>
      <c r="R624">
        <v>13.28</v>
      </c>
      <c r="S624">
        <v>90.699999999999903</v>
      </c>
    </row>
    <row r="625" spans="15:19">
      <c r="O625" t="s">
        <v>1174</v>
      </c>
      <c r="P625" t="s">
        <v>300</v>
      </c>
      <c r="Q625" t="s">
        <v>1290</v>
      </c>
      <c r="R625">
        <v>13.84</v>
      </c>
      <c r="S625">
        <v>127.12</v>
      </c>
    </row>
    <row r="626" spans="15:19">
      <c r="O626" t="s">
        <v>1175</v>
      </c>
      <c r="P626" t="s">
        <v>301</v>
      </c>
      <c r="Q626" t="s">
        <v>1290</v>
      </c>
      <c r="R626">
        <v>12.93</v>
      </c>
      <c r="S626">
        <v>165.87</v>
      </c>
    </row>
    <row r="627" spans="15:19">
      <c r="O627" t="s">
        <v>1294</v>
      </c>
      <c r="P627" t="s">
        <v>375</v>
      </c>
      <c r="Q627" t="s">
        <v>1290</v>
      </c>
      <c r="R627">
        <v>67.62</v>
      </c>
      <c r="S627">
        <v>83.22</v>
      </c>
    </row>
    <row r="628" spans="15:19">
      <c r="O628" t="s">
        <v>1161</v>
      </c>
      <c r="P628" t="s">
        <v>84</v>
      </c>
      <c r="Q628" t="s">
        <v>1290</v>
      </c>
      <c r="R628">
        <v>79.84</v>
      </c>
      <c r="S628">
        <v>122.78</v>
      </c>
    </row>
    <row r="629" spans="15:19">
      <c r="O629" t="s">
        <v>1178</v>
      </c>
      <c r="P629" t="s">
        <v>85</v>
      </c>
      <c r="Q629" t="s">
        <v>1290</v>
      </c>
      <c r="R629">
        <v>28.03</v>
      </c>
      <c r="S629">
        <v>174.15</v>
      </c>
    </row>
    <row r="630" spans="15:19">
      <c r="O630" t="s">
        <v>1272</v>
      </c>
      <c r="P630" t="s">
        <v>319</v>
      </c>
      <c r="Q630" t="s">
        <v>1290</v>
      </c>
      <c r="R630">
        <v>75.52</v>
      </c>
      <c r="S630">
        <v>93.84</v>
      </c>
    </row>
    <row r="631" spans="15:19">
      <c r="O631" t="s">
        <v>1182</v>
      </c>
      <c r="P631" t="s">
        <v>341</v>
      </c>
      <c r="Q631" t="s">
        <v>1290</v>
      </c>
      <c r="R631">
        <v>24.39</v>
      </c>
      <c r="S631">
        <v>228.51</v>
      </c>
    </row>
    <row r="632" spans="15:19">
      <c r="O632" t="s">
        <v>1185</v>
      </c>
      <c r="P632" t="s">
        <v>354</v>
      </c>
      <c r="Q632" t="s">
        <v>1290</v>
      </c>
      <c r="R632">
        <v>13.81</v>
      </c>
      <c r="S632">
        <v>233.68</v>
      </c>
    </row>
    <row r="633" spans="15:19">
      <c r="O633" t="s">
        <v>1263</v>
      </c>
      <c r="P633" t="s">
        <v>357</v>
      </c>
      <c r="Q633" t="s">
        <v>1290</v>
      </c>
      <c r="R633">
        <v>68.87</v>
      </c>
      <c r="S633">
        <v>205.87</v>
      </c>
    </row>
    <row r="634" spans="15:19">
      <c r="O634" t="s">
        <v>1240</v>
      </c>
      <c r="P634" t="s">
        <v>360</v>
      </c>
      <c r="Q634" t="s">
        <v>1290</v>
      </c>
      <c r="R634">
        <v>91.44</v>
      </c>
      <c r="S634">
        <v>211.23</v>
      </c>
    </row>
    <row r="635" spans="15:19">
      <c r="O635" t="s">
        <v>1186</v>
      </c>
      <c r="P635" t="s">
        <v>363</v>
      </c>
      <c r="Q635" t="s">
        <v>1290</v>
      </c>
      <c r="R635">
        <v>27.33</v>
      </c>
      <c r="S635">
        <v>125.1</v>
      </c>
    </row>
    <row r="636" spans="15:19">
      <c r="O636" t="s">
        <v>1075</v>
      </c>
      <c r="P636" t="s">
        <v>63</v>
      </c>
      <c r="Q636" t="s">
        <v>963</v>
      </c>
      <c r="R636">
        <v>68.069999999999993</v>
      </c>
      <c r="S636">
        <v>140.67999999999901</v>
      </c>
    </row>
    <row r="637" spans="15:19">
      <c r="O637" t="s">
        <v>1078</v>
      </c>
      <c r="P637" t="s">
        <v>68</v>
      </c>
      <c r="Q637" t="s">
        <v>963</v>
      </c>
      <c r="R637">
        <v>102.1</v>
      </c>
      <c r="S637">
        <v>215.32</v>
      </c>
    </row>
    <row r="638" spans="15:19">
      <c r="O638" t="s">
        <v>1080</v>
      </c>
      <c r="P638" t="s">
        <v>70</v>
      </c>
      <c r="Q638" t="s">
        <v>963</v>
      </c>
      <c r="R638">
        <v>33.86</v>
      </c>
      <c r="S638">
        <v>150.43</v>
      </c>
    </row>
    <row r="639" spans="15:19">
      <c r="O639" t="s">
        <v>1081</v>
      </c>
      <c r="P639" t="s">
        <v>71</v>
      </c>
      <c r="Q639" t="s">
        <v>963</v>
      </c>
      <c r="R639">
        <v>33.99</v>
      </c>
      <c r="S639">
        <v>200.44</v>
      </c>
    </row>
    <row r="640" spans="15:19">
      <c r="O640" t="s">
        <v>1124</v>
      </c>
      <c r="P640" t="s">
        <v>73</v>
      </c>
      <c r="Q640" t="s">
        <v>963</v>
      </c>
      <c r="R640">
        <v>35.119999999999997</v>
      </c>
      <c r="S640">
        <v>176.87</v>
      </c>
    </row>
    <row r="641" spans="15:19">
      <c r="O641" t="s">
        <v>1083</v>
      </c>
      <c r="P641" t="s">
        <v>74</v>
      </c>
      <c r="Q641" t="s">
        <v>963</v>
      </c>
      <c r="R641">
        <v>34.03</v>
      </c>
      <c r="S641">
        <v>236.71</v>
      </c>
    </row>
    <row r="642" spans="15:19">
      <c r="O642" t="s">
        <v>1112</v>
      </c>
      <c r="P642" t="s">
        <v>64</v>
      </c>
      <c r="Q642" t="s">
        <v>963</v>
      </c>
      <c r="R642">
        <v>169.25</v>
      </c>
      <c r="S642">
        <v>318.89</v>
      </c>
    </row>
    <row r="643" spans="15:19">
      <c r="O643" t="s">
        <v>1087</v>
      </c>
      <c r="P643" t="s">
        <v>77</v>
      </c>
      <c r="Q643" t="s">
        <v>963</v>
      </c>
      <c r="R643">
        <v>68.95</v>
      </c>
      <c r="S643">
        <v>251.65</v>
      </c>
    </row>
    <row r="644" spans="15:19">
      <c r="O644" t="s">
        <v>1088</v>
      </c>
      <c r="P644" t="s">
        <v>47</v>
      </c>
      <c r="Q644" t="s">
        <v>963</v>
      </c>
      <c r="R644">
        <v>67.41</v>
      </c>
      <c r="S644">
        <v>194.84</v>
      </c>
    </row>
    <row r="645" spans="15:19">
      <c r="O645" t="s">
        <v>1089</v>
      </c>
      <c r="P645" t="s">
        <v>79</v>
      </c>
      <c r="Q645" t="s">
        <v>963</v>
      </c>
      <c r="R645">
        <v>56.31</v>
      </c>
      <c r="S645">
        <v>300.56</v>
      </c>
    </row>
    <row r="646" spans="15:19">
      <c r="O646" t="s">
        <v>1090</v>
      </c>
      <c r="P646" t="s">
        <v>95</v>
      </c>
      <c r="Q646" t="s">
        <v>963</v>
      </c>
      <c r="R646">
        <v>34.159999999999997</v>
      </c>
      <c r="S646">
        <v>117.479999999999</v>
      </c>
    </row>
    <row r="647" spans="15:19">
      <c r="O647" t="s">
        <v>1113</v>
      </c>
      <c r="P647" t="s">
        <v>98</v>
      </c>
      <c r="Q647" t="s">
        <v>963</v>
      </c>
      <c r="R647">
        <v>34.1</v>
      </c>
      <c r="S647">
        <v>277.7</v>
      </c>
    </row>
    <row r="648" spans="15:19">
      <c r="O648" t="s">
        <v>1091</v>
      </c>
      <c r="P648" t="s">
        <v>99</v>
      </c>
      <c r="Q648" t="s">
        <v>963</v>
      </c>
      <c r="R648">
        <v>34.08</v>
      </c>
      <c r="S648">
        <v>289.62</v>
      </c>
    </row>
    <row r="649" spans="15:19">
      <c r="O649" t="s">
        <v>1125</v>
      </c>
      <c r="P649" t="s">
        <v>101</v>
      </c>
      <c r="Q649" t="s">
        <v>963</v>
      </c>
      <c r="R649">
        <v>34.14</v>
      </c>
      <c r="S649">
        <v>225.5</v>
      </c>
    </row>
    <row r="650" spans="15:19">
      <c r="O650" t="s">
        <v>1219</v>
      </c>
      <c r="P650" t="s">
        <v>21</v>
      </c>
      <c r="Q650" t="s">
        <v>963</v>
      </c>
      <c r="R650">
        <v>34.85</v>
      </c>
      <c r="S650">
        <v>191.88</v>
      </c>
    </row>
    <row r="651" spans="15:19">
      <c r="O651" t="s">
        <v>1220</v>
      </c>
      <c r="P651" t="s">
        <v>23</v>
      </c>
      <c r="Q651" t="s">
        <v>963</v>
      </c>
      <c r="R651">
        <v>34.840000000000003</v>
      </c>
      <c r="S651">
        <v>225.48</v>
      </c>
    </row>
    <row r="652" spans="15:19">
      <c r="O652" t="s">
        <v>1137</v>
      </c>
      <c r="P652" t="s">
        <v>49</v>
      </c>
      <c r="Q652" t="s">
        <v>963</v>
      </c>
      <c r="R652">
        <v>33.47</v>
      </c>
      <c r="S652">
        <v>164.24</v>
      </c>
    </row>
    <row r="653" spans="15:19">
      <c r="O653" t="s">
        <v>955</v>
      </c>
      <c r="P653" t="s">
        <v>158</v>
      </c>
      <c r="Q653" t="s">
        <v>963</v>
      </c>
      <c r="R653">
        <v>3.59</v>
      </c>
      <c r="S653">
        <v>204.18</v>
      </c>
    </row>
    <row r="654" spans="15:19">
      <c r="O654" t="s">
        <v>1097</v>
      </c>
      <c r="P654" t="s">
        <v>163</v>
      </c>
      <c r="Q654" t="s">
        <v>963</v>
      </c>
      <c r="R654">
        <v>34.869999999999997</v>
      </c>
      <c r="S654">
        <v>193.87</v>
      </c>
    </row>
    <row r="655" spans="15:19">
      <c r="O655" t="s">
        <v>1098</v>
      </c>
      <c r="P655" t="s">
        <v>175</v>
      </c>
      <c r="Q655" t="s">
        <v>963</v>
      </c>
      <c r="R655">
        <v>32.6</v>
      </c>
      <c r="S655">
        <v>149.05000000000001</v>
      </c>
    </row>
    <row r="656" spans="15:19">
      <c r="O656" t="s">
        <v>1045</v>
      </c>
      <c r="P656" t="s">
        <v>183</v>
      </c>
      <c r="Q656" t="s">
        <v>963</v>
      </c>
      <c r="R656">
        <v>34.049999999999997</v>
      </c>
      <c r="S656">
        <v>150.81</v>
      </c>
    </row>
    <row r="657" spans="15:19">
      <c r="O657" t="s">
        <v>1100</v>
      </c>
      <c r="P657" t="s">
        <v>185</v>
      </c>
      <c r="Q657" t="s">
        <v>963</v>
      </c>
      <c r="R657">
        <v>40.409999999999997</v>
      </c>
      <c r="S657">
        <v>152.13999999999999</v>
      </c>
    </row>
    <row r="658" spans="15:19">
      <c r="O658" t="s">
        <v>1101</v>
      </c>
      <c r="P658" t="s">
        <v>189</v>
      </c>
      <c r="Q658" t="s">
        <v>963</v>
      </c>
      <c r="R658">
        <v>33.96</v>
      </c>
      <c r="S658">
        <v>143.19</v>
      </c>
    </row>
    <row r="659" spans="15:19">
      <c r="O659" t="s">
        <v>1102</v>
      </c>
      <c r="P659" t="s">
        <v>190</v>
      </c>
      <c r="Q659" t="s">
        <v>963</v>
      </c>
      <c r="R659">
        <v>34.14</v>
      </c>
      <c r="S659">
        <v>208.18</v>
      </c>
    </row>
    <row r="660" spans="15:19">
      <c r="O660" t="s">
        <v>1103</v>
      </c>
      <c r="P660" t="s">
        <v>191</v>
      </c>
      <c r="Q660" t="s">
        <v>963</v>
      </c>
      <c r="R660">
        <v>34.11</v>
      </c>
      <c r="S660">
        <v>271.039999999999</v>
      </c>
    </row>
    <row r="661" spans="15:19">
      <c r="O661" t="s">
        <v>1258</v>
      </c>
      <c r="P661" t="s">
        <v>194</v>
      </c>
      <c r="Q661" t="s">
        <v>963</v>
      </c>
      <c r="R661">
        <v>67.94</v>
      </c>
      <c r="S661">
        <v>148.86000000000001</v>
      </c>
    </row>
    <row r="662" spans="15:19">
      <c r="O662" t="s">
        <v>1104</v>
      </c>
      <c r="P662" t="s">
        <v>195</v>
      </c>
      <c r="Q662" t="s">
        <v>963</v>
      </c>
      <c r="R662">
        <v>67.989999999999995</v>
      </c>
      <c r="S662">
        <v>181.14</v>
      </c>
    </row>
    <row r="663" spans="15:19">
      <c r="O663" t="s">
        <v>1105</v>
      </c>
      <c r="P663" t="s">
        <v>197</v>
      </c>
      <c r="Q663" t="s">
        <v>963</v>
      </c>
      <c r="R663">
        <v>68.099999999999994</v>
      </c>
      <c r="S663">
        <v>155.63999999999999</v>
      </c>
    </row>
    <row r="664" spans="15:19">
      <c r="O664" t="s">
        <v>1259</v>
      </c>
      <c r="P664" t="s">
        <v>199</v>
      </c>
      <c r="Q664" t="s">
        <v>963</v>
      </c>
      <c r="R664">
        <v>34</v>
      </c>
      <c r="S664">
        <v>195.32</v>
      </c>
    </row>
    <row r="665" spans="15:19">
      <c r="O665" t="s">
        <v>1107</v>
      </c>
      <c r="P665" t="s">
        <v>204</v>
      </c>
      <c r="Q665" t="s">
        <v>963</v>
      </c>
      <c r="R665">
        <v>34.06</v>
      </c>
      <c r="S665">
        <v>236.21</v>
      </c>
    </row>
    <row r="666" spans="15:19">
      <c r="O666" t="s">
        <v>1295</v>
      </c>
      <c r="P666" t="s">
        <v>205</v>
      </c>
      <c r="Q666" t="s">
        <v>963</v>
      </c>
      <c r="R666">
        <v>3.57</v>
      </c>
      <c r="S666">
        <v>186.78</v>
      </c>
    </row>
    <row r="667" spans="15:19">
      <c r="O667" t="s">
        <v>1109</v>
      </c>
      <c r="P667" t="s">
        <v>208</v>
      </c>
      <c r="Q667" t="s">
        <v>963</v>
      </c>
      <c r="R667">
        <v>170.55</v>
      </c>
      <c r="S667">
        <v>227.53</v>
      </c>
    </row>
    <row r="668" spans="15:19">
      <c r="O668" t="s">
        <v>1123</v>
      </c>
      <c r="P668" t="s">
        <v>209</v>
      </c>
      <c r="Q668" t="s">
        <v>963</v>
      </c>
      <c r="R668">
        <v>205.2</v>
      </c>
      <c r="S668">
        <v>240.85</v>
      </c>
    </row>
    <row r="669" spans="15:19">
      <c r="O669" t="s">
        <v>1061</v>
      </c>
      <c r="P669" t="s">
        <v>210</v>
      </c>
      <c r="Q669" t="s">
        <v>963</v>
      </c>
      <c r="R669">
        <v>32.659999999999997</v>
      </c>
      <c r="S669">
        <v>189.76</v>
      </c>
    </row>
    <row r="670" spans="15:19">
      <c r="O670" t="s">
        <v>1064</v>
      </c>
      <c r="P670" t="s">
        <v>211</v>
      </c>
      <c r="Q670" t="s">
        <v>963</v>
      </c>
      <c r="R670">
        <v>34.200000000000003</v>
      </c>
      <c r="S670">
        <v>190.57</v>
      </c>
    </row>
    <row r="671" spans="15:19">
      <c r="O671" t="s">
        <v>1074</v>
      </c>
      <c r="P671" t="s">
        <v>221</v>
      </c>
      <c r="Q671" t="s">
        <v>963</v>
      </c>
      <c r="R671">
        <v>102.1</v>
      </c>
      <c r="S671">
        <v>174.19</v>
      </c>
    </row>
    <row r="672" spans="15:19">
      <c r="O672" t="s">
        <v>1075</v>
      </c>
      <c r="P672" t="s">
        <v>63</v>
      </c>
      <c r="Q672" t="s">
        <v>963</v>
      </c>
      <c r="R672">
        <v>34.85</v>
      </c>
      <c r="S672">
        <v>284.70999999999998</v>
      </c>
    </row>
    <row r="673" spans="15:19">
      <c r="O673" t="s">
        <v>1076</v>
      </c>
      <c r="P673" t="s">
        <v>66</v>
      </c>
      <c r="Q673" t="s">
        <v>963</v>
      </c>
      <c r="R673">
        <v>69.989999999999995</v>
      </c>
      <c r="S673">
        <v>250.8</v>
      </c>
    </row>
    <row r="674" spans="15:19">
      <c r="O674" t="s">
        <v>1077</v>
      </c>
      <c r="P674" t="s">
        <v>67</v>
      </c>
      <c r="Q674" t="s">
        <v>963</v>
      </c>
      <c r="R674">
        <v>69.790000000000006</v>
      </c>
      <c r="S674">
        <v>250.32</v>
      </c>
    </row>
    <row r="675" spans="15:19">
      <c r="O675" t="s">
        <v>1078</v>
      </c>
      <c r="P675" t="s">
        <v>68</v>
      </c>
      <c r="Q675" t="s">
        <v>963</v>
      </c>
      <c r="R675">
        <v>104.74</v>
      </c>
      <c r="S675">
        <v>264.14</v>
      </c>
    </row>
    <row r="676" spans="15:19">
      <c r="O676" t="s">
        <v>1081</v>
      </c>
      <c r="P676" t="s">
        <v>71</v>
      </c>
      <c r="Q676" t="s">
        <v>963</v>
      </c>
      <c r="R676">
        <v>69.73</v>
      </c>
      <c r="S676">
        <v>273.76</v>
      </c>
    </row>
    <row r="677" spans="15:19">
      <c r="O677" t="s">
        <v>1124</v>
      </c>
      <c r="P677" t="s">
        <v>73</v>
      </c>
      <c r="Q677" t="s">
        <v>963</v>
      </c>
      <c r="R677">
        <v>34.72</v>
      </c>
      <c r="S677">
        <v>113.06</v>
      </c>
    </row>
    <row r="678" spans="15:19">
      <c r="O678" t="s">
        <v>1083</v>
      </c>
      <c r="P678" t="s">
        <v>74</v>
      </c>
      <c r="Q678" t="s">
        <v>963</v>
      </c>
      <c r="R678">
        <v>34.9</v>
      </c>
      <c r="S678">
        <v>252.48</v>
      </c>
    </row>
    <row r="679" spans="15:19">
      <c r="O679" t="s">
        <v>1112</v>
      </c>
      <c r="P679" t="s">
        <v>64</v>
      </c>
      <c r="Q679" t="s">
        <v>963</v>
      </c>
      <c r="R679">
        <v>104.57</v>
      </c>
      <c r="S679">
        <v>213.79999999999899</v>
      </c>
    </row>
    <row r="680" spans="15:19">
      <c r="O680" t="s">
        <v>1084</v>
      </c>
      <c r="P680" t="s">
        <v>75</v>
      </c>
      <c r="Q680" t="s">
        <v>963</v>
      </c>
      <c r="R680">
        <v>34.75</v>
      </c>
      <c r="S680">
        <v>332.61</v>
      </c>
    </row>
    <row r="681" spans="15:19">
      <c r="O681" t="s">
        <v>1085</v>
      </c>
      <c r="P681" t="s">
        <v>76</v>
      </c>
      <c r="Q681" t="s">
        <v>963</v>
      </c>
      <c r="R681">
        <v>69.790000000000006</v>
      </c>
      <c r="S681">
        <v>271.24</v>
      </c>
    </row>
    <row r="682" spans="15:19">
      <c r="O682" t="s">
        <v>1296</v>
      </c>
      <c r="P682" t="s">
        <v>92</v>
      </c>
      <c r="Q682" t="s">
        <v>963</v>
      </c>
      <c r="R682">
        <v>34.92</v>
      </c>
      <c r="S682">
        <v>34.92</v>
      </c>
    </row>
    <row r="683" spans="15:19">
      <c r="O683" t="s">
        <v>1087</v>
      </c>
      <c r="P683" t="s">
        <v>77</v>
      </c>
      <c r="Q683" t="s">
        <v>963</v>
      </c>
      <c r="R683">
        <v>1.48</v>
      </c>
      <c r="S683">
        <v>77.5</v>
      </c>
    </row>
    <row r="684" spans="15:19">
      <c r="O684" t="s">
        <v>1089</v>
      </c>
      <c r="P684" t="s">
        <v>79</v>
      </c>
      <c r="Q684" t="s">
        <v>963</v>
      </c>
      <c r="R684">
        <v>134.13999999999999</v>
      </c>
      <c r="S684">
        <v>230.67</v>
      </c>
    </row>
    <row r="685" spans="15:19">
      <c r="O685" t="s">
        <v>1091</v>
      </c>
      <c r="P685" t="s">
        <v>99</v>
      </c>
      <c r="Q685" t="s">
        <v>963</v>
      </c>
      <c r="R685">
        <v>35.14</v>
      </c>
      <c r="S685">
        <v>176.87</v>
      </c>
    </row>
    <row r="686" spans="15:19">
      <c r="O686" t="s">
        <v>1125</v>
      </c>
      <c r="P686" t="s">
        <v>101</v>
      </c>
      <c r="Q686" t="s">
        <v>963</v>
      </c>
      <c r="R686">
        <v>35.14</v>
      </c>
      <c r="S686">
        <v>226.6</v>
      </c>
    </row>
    <row r="687" spans="15:19">
      <c r="O687" t="s">
        <v>1133</v>
      </c>
      <c r="P687" t="s">
        <v>43</v>
      </c>
      <c r="Q687" t="s">
        <v>963</v>
      </c>
      <c r="R687">
        <v>35.1</v>
      </c>
      <c r="S687">
        <v>144.97</v>
      </c>
    </row>
    <row r="688" spans="15:19">
      <c r="O688" t="s">
        <v>1116</v>
      </c>
      <c r="P688" t="s">
        <v>53</v>
      </c>
      <c r="Q688" t="s">
        <v>963</v>
      </c>
      <c r="R688">
        <v>34.82</v>
      </c>
      <c r="S688">
        <v>232.5</v>
      </c>
    </row>
    <row r="689" spans="15:19">
      <c r="O689" t="s">
        <v>955</v>
      </c>
      <c r="P689" t="s">
        <v>158</v>
      </c>
      <c r="Q689" t="s">
        <v>963</v>
      </c>
      <c r="R689">
        <v>104.93</v>
      </c>
      <c r="S689">
        <v>227.77</v>
      </c>
    </row>
    <row r="690" spans="15:19">
      <c r="O690" t="s">
        <v>958</v>
      </c>
      <c r="P690" t="s">
        <v>161</v>
      </c>
      <c r="Q690" t="s">
        <v>963</v>
      </c>
      <c r="R690">
        <v>34.92</v>
      </c>
      <c r="S690">
        <v>190.4</v>
      </c>
    </row>
    <row r="691" spans="15:19">
      <c r="O691" t="s">
        <v>964</v>
      </c>
      <c r="P691" t="s">
        <v>168</v>
      </c>
      <c r="Q691" t="s">
        <v>963</v>
      </c>
      <c r="R691">
        <v>139.69</v>
      </c>
      <c r="S691">
        <v>186.35999999999899</v>
      </c>
    </row>
    <row r="692" spans="15:19">
      <c r="O692" t="s">
        <v>976</v>
      </c>
      <c r="P692" t="s">
        <v>178</v>
      </c>
      <c r="Q692" t="s">
        <v>963</v>
      </c>
      <c r="R692">
        <v>41.16</v>
      </c>
      <c r="S692">
        <v>231.60999999999899</v>
      </c>
    </row>
    <row r="693" spans="15:19">
      <c r="O693" t="s">
        <v>1119</v>
      </c>
      <c r="P693" t="s">
        <v>184</v>
      </c>
      <c r="Q693" t="s">
        <v>963</v>
      </c>
      <c r="R693">
        <v>69.97</v>
      </c>
      <c r="S693">
        <v>193.06</v>
      </c>
    </row>
    <row r="694" spans="15:19">
      <c r="O694" t="s">
        <v>1100</v>
      </c>
      <c r="P694" t="s">
        <v>185</v>
      </c>
      <c r="Q694" t="s">
        <v>963</v>
      </c>
      <c r="R694">
        <v>69.66</v>
      </c>
      <c r="S694">
        <v>218.7</v>
      </c>
    </row>
    <row r="695" spans="15:19">
      <c r="O695" t="s">
        <v>982</v>
      </c>
      <c r="P695" t="s">
        <v>186</v>
      </c>
      <c r="Q695" t="s">
        <v>963</v>
      </c>
      <c r="R695">
        <v>34.97</v>
      </c>
      <c r="S695">
        <v>200.89</v>
      </c>
    </row>
    <row r="696" spans="15:19">
      <c r="O696" t="s">
        <v>1120</v>
      </c>
      <c r="P696" t="s">
        <v>187</v>
      </c>
      <c r="Q696" t="s">
        <v>963</v>
      </c>
      <c r="R696">
        <v>104.57</v>
      </c>
      <c r="S696">
        <v>236.73999999999899</v>
      </c>
    </row>
    <row r="697" spans="15:19">
      <c r="O697" t="s">
        <v>1104</v>
      </c>
      <c r="P697" t="s">
        <v>195</v>
      </c>
      <c r="Q697" t="s">
        <v>963</v>
      </c>
      <c r="R697">
        <v>69.86</v>
      </c>
      <c r="S697">
        <v>113.14</v>
      </c>
    </row>
    <row r="698" spans="15:19">
      <c r="O698" t="s">
        <v>1105</v>
      </c>
      <c r="P698" t="s">
        <v>197</v>
      </c>
      <c r="Q698" t="s">
        <v>963</v>
      </c>
      <c r="R698">
        <v>70.180000000000007</v>
      </c>
      <c r="S698">
        <v>228.75</v>
      </c>
    </row>
    <row r="699" spans="15:19">
      <c r="O699" t="s">
        <v>1106</v>
      </c>
      <c r="P699" t="s">
        <v>198</v>
      </c>
      <c r="Q699" t="s">
        <v>963</v>
      </c>
      <c r="R699">
        <v>1.72</v>
      </c>
      <c r="S699">
        <v>261.95999999999998</v>
      </c>
    </row>
    <row r="700" spans="15:19">
      <c r="O700" t="s">
        <v>1295</v>
      </c>
      <c r="P700" t="s">
        <v>205</v>
      </c>
      <c r="Q700" t="s">
        <v>963</v>
      </c>
      <c r="R700">
        <v>104.5</v>
      </c>
      <c r="S700">
        <v>223.41</v>
      </c>
    </row>
    <row r="701" spans="15:19">
      <c r="O701" t="s">
        <v>1109</v>
      </c>
      <c r="P701" t="s">
        <v>208</v>
      </c>
      <c r="Q701" t="s">
        <v>963</v>
      </c>
      <c r="R701">
        <v>69.98</v>
      </c>
      <c r="S701">
        <v>234.83</v>
      </c>
    </row>
    <row r="702" spans="15:19">
      <c r="O702" t="s">
        <v>995</v>
      </c>
      <c r="P702" t="s">
        <v>217</v>
      </c>
      <c r="Q702" t="s">
        <v>963</v>
      </c>
      <c r="R702">
        <v>120.04</v>
      </c>
      <c r="S702">
        <v>252.81</v>
      </c>
    </row>
    <row r="703" spans="15:19">
      <c r="O703" t="s">
        <v>997</v>
      </c>
      <c r="P703" t="s">
        <v>220</v>
      </c>
      <c r="Q703" t="s">
        <v>963</v>
      </c>
      <c r="R703">
        <v>69.91</v>
      </c>
      <c r="S703">
        <v>203.03</v>
      </c>
    </row>
    <row r="704" spans="15:19">
      <c r="O704" t="s">
        <v>1285</v>
      </c>
      <c r="P704" t="s">
        <v>78</v>
      </c>
      <c r="Q704" t="s">
        <v>1046</v>
      </c>
      <c r="R704">
        <v>92.13</v>
      </c>
      <c r="S704">
        <v>126.049999999999</v>
      </c>
    </row>
    <row r="705" spans="15:19">
      <c r="O705" t="s">
        <v>1225</v>
      </c>
      <c r="P705" t="s">
        <v>86</v>
      </c>
      <c r="Q705" t="s">
        <v>1046</v>
      </c>
      <c r="R705">
        <v>18.829999999999998</v>
      </c>
      <c r="S705">
        <v>98.05</v>
      </c>
    </row>
    <row r="706" spans="15:19">
      <c r="O706" t="s">
        <v>1265</v>
      </c>
      <c r="P706" t="s">
        <v>315</v>
      </c>
      <c r="Q706" t="s">
        <v>1046</v>
      </c>
      <c r="R706">
        <v>128.26</v>
      </c>
      <c r="S706">
        <v>147.1</v>
      </c>
    </row>
    <row r="707" spans="15:19">
      <c r="O707" t="s">
        <v>1226</v>
      </c>
      <c r="P707" t="s">
        <v>317</v>
      </c>
      <c r="Q707" t="s">
        <v>1046</v>
      </c>
      <c r="R707">
        <v>110.32</v>
      </c>
      <c r="S707">
        <v>223.32</v>
      </c>
    </row>
    <row r="708" spans="15:19">
      <c r="O708" t="s">
        <v>1162</v>
      </c>
      <c r="P708" t="s">
        <v>318</v>
      </c>
      <c r="Q708" t="s">
        <v>1046</v>
      </c>
      <c r="R708">
        <v>110.18</v>
      </c>
      <c r="S708">
        <v>206.93</v>
      </c>
    </row>
    <row r="709" spans="15:19">
      <c r="O709" t="s">
        <v>1272</v>
      </c>
      <c r="P709" t="s">
        <v>319</v>
      </c>
      <c r="Q709" t="s">
        <v>1046</v>
      </c>
      <c r="R709">
        <v>147</v>
      </c>
      <c r="S709">
        <v>234.19</v>
      </c>
    </row>
    <row r="710" spans="15:19">
      <c r="O710" t="s">
        <v>1286</v>
      </c>
      <c r="P710" t="s">
        <v>322</v>
      </c>
      <c r="Q710" t="s">
        <v>1046</v>
      </c>
      <c r="R710">
        <v>161.31</v>
      </c>
      <c r="S710">
        <v>268.26</v>
      </c>
    </row>
    <row r="711" spans="15:19">
      <c r="O711" t="s">
        <v>1288</v>
      </c>
      <c r="P711" t="s">
        <v>327</v>
      </c>
      <c r="Q711" t="s">
        <v>1046</v>
      </c>
      <c r="R711">
        <v>219.86</v>
      </c>
      <c r="S711">
        <v>259.29000000000002</v>
      </c>
    </row>
    <row r="712" spans="15:19">
      <c r="O712" t="s">
        <v>1212</v>
      </c>
      <c r="P712" t="s">
        <v>328</v>
      </c>
      <c r="Q712" t="s">
        <v>1046</v>
      </c>
      <c r="R712">
        <v>91.77</v>
      </c>
      <c r="S712">
        <v>245.85999999999899</v>
      </c>
    </row>
    <row r="713" spans="15:19">
      <c r="O713" t="s">
        <v>1205</v>
      </c>
      <c r="P713" t="s">
        <v>330</v>
      </c>
      <c r="Q713" t="s">
        <v>1046</v>
      </c>
      <c r="R713">
        <v>18.57</v>
      </c>
      <c r="S713">
        <v>265.17</v>
      </c>
    </row>
    <row r="714" spans="15:19">
      <c r="O714" t="s">
        <v>1236</v>
      </c>
      <c r="P714" t="s">
        <v>334</v>
      </c>
      <c r="Q714" t="s">
        <v>1046</v>
      </c>
      <c r="R714">
        <v>110.31</v>
      </c>
      <c r="S714">
        <v>120.33</v>
      </c>
    </row>
    <row r="715" spans="15:19">
      <c r="O715" t="s">
        <v>1278</v>
      </c>
      <c r="P715" t="s">
        <v>335</v>
      </c>
      <c r="Q715" t="s">
        <v>1046</v>
      </c>
      <c r="R715">
        <v>110.69</v>
      </c>
      <c r="S715">
        <v>251.45</v>
      </c>
    </row>
    <row r="716" spans="15:19">
      <c r="O716" t="s">
        <v>1262</v>
      </c>
      <c r="P716" t="s">
        <v>336</v>
      </c>
      <c r="Q716" t="s">
        <v>1046</v>
      </c>
      <c r="R716">
        <v>16.54</v>
      </c>
      <c r="S716">
        <v>267.27</v>
      </c>
    </row>
    <row r="717" spans="15:19">
      <c r="O717" t="s">
        <v>1182</v>
      </c>
      <c r="P717" t="s">
        <v>341</v>
      </c>
      <c r="Q717" t="s">
        <v>1046</v>
      </c>
      <c r="R717">
        <v>129.21</v>
      </c>
      <c r="S717">
        <v>204.71</v>
      </c>
    </row>
    <row r="718" spans="15:19">
      <c r="O718" t="s">
        <v>1229</v>
      </c>
      <c r="P718" t="s">
        <v>342</v>
      </c>
      <c r="Q718" t="s">
        <v>1046</v>
      </c>
      <c r="R718">
        <v>73.400000000000006</v>
      </c>
      <c r="S718">
        <v>190.66</v>
      </c>
    </row>
    <row r="719" spans="15:19">
      <c r="O719" t="s">
        <v>1230</v>
      </c>
      <c r="P719" t="s">
        <v>343</v>
      </c>
      <c r="Q719" t="s">
        <v>1046</v>
      </c>
      <c r="R719">
        <v>147.32</v>
      </c>
      <c r="S719">
        <v>262.89999999999998</v>
      </c>
    </row>
    <row r="720" spans="15:19">
      <c r="O720" t="s">
        <v>1237</v>
      </c>
      <c r="P720" t="s">
        <v>346</v>
      </c>
      <c r="Q720" t="s">
        <v>1046</v>
      </c>
      <c r="R720">
        <v>110.22</v>
      </c>
      <c r="S720">
        <v>205.74</v>
      </c>
    </row>
    <row r="721" spans="15:19">
      <c r="O721" t="s">
        <v>1231</v>
      </c>
      <c r="P721" t="s">
        <v>350</v>
      </c>
      <c r="Q721" t="s">
        <v>1046</v>
      </c>
      <c r="R721">
        <v>110.45</v>
      </c>
      <c r="S721">
        <v>182.38</v>
      </c>
    </row>
    <row r="722" spans="15:19">
      <c r="O722" t="s">
        <v>1238</v>
      </c>
      <c r="P722" t="s">
        <v>355</v>
      </c>
      <c r="Q722" t="s">
        <v>1046</v>
      </c>
      <c r="R722">
        <v>138.36000000000001</v>
      </c>
      <c r="S722">
        <v>248.06</v>
      </c>
    </row>
    <row r="723" spans="15:19">
      <c r="O723" t="s">
        <v>1166</v>
      </c>
      <c r="P723" t="s">
        <v>359</v>
      </c>
      <c r="Q723" t="s">
        <v>1046</v>
      </c>
      <c r="R723">
        <v>128.96</v>
      </c>
      <c r="S723">
        <v>244.72</v>
      </c>
    </row>
    <row r="724" spans="15:19">
      <c r="O724" t="s">
        <v>1240</v>
      </c>
      <c r="P724" t="s">
        <v>360</v>
      </c>
      <c r="Q724" t="s">
        <v>1046</v>
      </c>
      <c r="R724">
        <v>110.23</v>
      </c>
      <c r="S724">
        <v>190.75</v>
      </c>
    </row>
    <row r="725" spans="15:19">
      <c r="O725" t="s">
        <v>1269</v>
      </c>
      <c r="P725" t="s">
        <v>362</v>
      </c>
      <c r="Q725" t="s">
        <v>1046</v>
      </c>
      <c r="R725">
        <v>91.42</v>
      </c>
      <c r="S725">
        <v>191.04</v>
      </c>
    </row>
    <row r="726" spans="15:19">
      <c r="O726" t="s">
        <v>1232</v>
      </c>
      <c r="P726" t="s">
        <v>364</v>
      </c>
      <c r="Q726" t="s">
        <v>1046</v>
      </c>
      <c r="R726">
        <v>72.95</v>
      </c>
      <c r="S726">
        <v>199.5</v>
      </c>
    </row>
    <row r="727" spans="15:19">
      <c r="O727" t="s">
        <v>1208</v>
      </c>
      <c r="P727" t="s">
        <v>368</v>
      </c>
      <c r="Q727" t="s">
        <v>1046</v>
      </c>
      <c r="R727">
        <v>91.46</v>
      </c>
      <c r="S727">
        <v>173.64</v>
      </c>
    </row>
    <row r="728" spans="15:19">
      <c r="O728" t="s">
        <v>1169</v>
      </c>
      <c r="P728" t="s">
        <v>371</v>
      </c>
      <c r="Q728" t="s">
        <v>1046</v>
      </c>
      <c r="R728">
        <v>5.82</v>
      </c>
      <c r="S728">
        <v>158.08000000000001</v>
      </c>
    </row>
    <row r="729" spans="15:19">
      <c r="O729" t="s">
        <v>1217</v>
      </c>
      <c r="P729" t="s">
        <v>372</v>
      </c>
      <c r="Q729" t="s">
        <v>1046</v>
      </c>
      <c r="R729">
        <v>126.15</v>
      </c>
      <c r="S729">
        <v>146.85</v>
      </c>
    </row>
    <row r="730" spans="15:19">
      <c r="O730" t="s">
        <v>1297</v>
      </c>
      <c r="P730" t="s">
        <v>374</v>
      </c>
      <c r="Q730" t="s">
        <v>1046</v>
      </c>
      <c r="R730">
        <v>73.44</v>
      </c>
      <c r="S730">
        <v>98.57</v>
      </c>
    </row>
    <row r="731" spans="15:19">
      <c r="O731" t="s">
        <v>1298</v>
      </c>
      <c r="P731" t="s">
        <v>376</v>
      </c>
      <c r="Q731" t="s">
        <v>1046</v>
      </c>
      <c r="R731">
        <v>110.38</v>
      </c>
      <c r="S731">
        <v>123.77</v>
      </c>
    </row>
    <row r="732" spans="15:19">
      <c r="O732" t="s">
        <v>1276</v>
      </c>
      <c r="P732" t="s">
        <v>382</v>
      </c>
      <c r="Q732" t="s">
        <v>1046</v>
      </c>
      <c r="R732">
        <v>110.37</v>
      </c>
      <c r="S732">
        <v>123.95</v>
      </c>
    </row>
    <row r="733" spans="15:19">
      <c r="O733" t="s">
        <v>1076</v>
      </c>
      <c r="P733" t="s">
        <v>66</v>
      </c>
      <c r="Q733" t="s">
        <v>1046</v>
      </c>
      <c r="R733">
        <v>18.84</v>
      </c>
      <c r="S733">
        <v>250.8</v>
      </c>
    </row>
    <row r="734" spans="15:19">
      <c r="O734" t="s">
        <v>1085</v>
      </c>
      <c r="P734" t="s">
        <v>76</v>
      </c>
      <c r="Q734" t="s">
        <v>1046</v>
      </c>
      <c r="R734">
        <v>18.670000000000002</v>
      </c>
      <c r="S734">
        <v>271.24</v>
      </c>
    </row>
    <row r="735" spans="15:19">
      <c r="O735" t="s">
        <v>1292</v>
      </c>
      <c r="P735" t="s">
        <v>82</v>
      </c>
      <c r="Q735" t="s">
        <v>1046</v>
      </c>
      <c r="R735">
        <v>108.29</v>
      </c>
      <c r="S735">
        <v>118.46</v>
      </c>
    </row>
    <row r="736" spans="15:19">
      <c r="O736" t="s">
        <v>1226</v>
      </c>
      <c r="P736" t="s">
        <v>317</v>
      </c>
      <c r="Q736" t="s">
        <v>1046</v>
      </c>
      <c r="R736">
        <v>18.079999999999998</v>
      </c>
      <c r="S736">
        <v>88.449999999999903</v>
      </c>
    </row>
    <row r="737" spans="15:19">
      <c r="O737" t="s">
        <v>1266</v>
      </c>
      <c r="P737" t="s">
        <v>320</v>
      </c>
      <c r="Q737" t="s">
        <v>1046</v>
      </c>
      <c r="R737">
        <v>128.44999999999999</v>
      </c>
      <c r="S737">
        <v>270.32</v>
      </c>
    </row>
    <row r="738" spans="15:19">
      <c r="O738" t="s">
        <v>1286</v>
      </c>
      <c r="P738" t="s">
        <v>322</v>
      </c>
      <c r="Q738" t="s">
        <v>1046</v>
      </c>
      <c r="R738">
        <v>201.91</v>
      </c>
      <c r="S738">
        <v>235.86</v>
      </c>
    </row>
    <row r="739" spans="15:19">
      <c r="O739" t="s">
        <v>1273</v>
      </c>
      <c r="P739" t="s">
        <v>323</v>
      </c>
      <c r="Q739" t="s">
        <v>1046</v>
      </c>
      <c r="R739">
        <v>146.88999999999999</v>
      </c>
      <c r="S739">
        <v>155.23999999999899</v>
      </c>
    </row>
    <row r="740" spans="15:19">
      <c r="O740" t="s">
        <v>1288</v>
      </c>
      <c r="P740" t="s">
        <v>327</v>
      </c>
      <c r="Q740" t="s">
        <v>1046</v>
      </c>
      <c r="R740">
        <v>128.52000000000001</v>
      </c>
      <c r="S740">
        <v>238.57999999999899</v>
      </c>
    </row>
    <row r="741" spans="15:19">
      <c r="O741" t="s">
        <v>1212</v>
      </c>
      <c r="P741" t="s">
        <v>328</v>
      </c>
      <c r="Q741" t="s">
        <v>1046</v>
      </c>
      <c r="R741">
        <v>92.28</v>
      </c>
      <c r="S741">
        <v>189.15</v>
      </c>
    </row>
    <row r="742" spans="15:19">
      <c r="O742" t="s">
        <v>1205</v>
      </c>
      <c r="P742" t="s">
        <v>330</v>
      </c>
      <c r="Q742" t="s">
        <v>1046</v>
      </c>
      <c r="R742">
        <v>294.20999999999998</v>
      </c>
      <c r="S742">
        <v>312.33999999999997</v>
      </c>
    </row>
    <row r="743" spans="15:19">
      <c r="O743" t="s">
        <v>1261</v>
      </c>
      <c r="P743" t="s">
        <v>331</v>
      </c>
      <c r="Q743" t="s">
        <v>1046</v>
      </c>
      <c r="R743">
        <v>183.83</v>
      </c>
      <c r="S743">
        <v>191.84</v>
      </c>
    </row>
    <row r="744" spans="15:19">
      <c r="O744" t="s">
        <v>1262</v>
      </c>
      <c r="P744" t="s">
        <v>336</v>
      </c>
      <c r="Q744" t="s">
        <v>1046</v>
      </c>
      <c r="R744">
        <v>128.29</v>
      </c>
      <c r="S744">
        <v>249.5</v>
      </c>
    </row>
    <row r="745" spans="15:19">
      <c r="O745" t="s">
        <v>1182</v>
      </c>
      <c r="P745" t="s">
        <v>341</v>
      </c>
      <c r="Q745" t="s">
        <v>1046</v>
      </c>
      <c r="R745">
        <v>109.77</v>
      </c>
      <c r="S745">
        <v>228.51</v>
      </c>
    </row>
    <row r="746" spans="15:19">
      <c r="O746" t="s">
        <v>1183</v>
      </c>
      <c r="P746" t="s">
        <v>351</v>
      </c>
      <c r="Q746" t="s">
        <v>1046</v>
      </c>
      <c r="R746">
        <v>92.64</v>
      </c>
      <c r="S746">
        <v>243.07999999999899</v>
      </c>
    </row>
    <row r="747" spans="15:19">
      <c r="O747" t="s">
        <v>1184</v>
      </c>
      <c r="P747" t="s">
        <v>353</v>
      </c>
      <c r="Q747" t="s">
        <v>1046</v>
      </c>
      <c r="R747">
        <v>0.38</v>
      </c>
      <c r="S747">
        <v>192.64</v>
      </c>
    </row>
    <row r="748" spans="15:19">
      <c r="O748" t="s">
        <v>1167</v>
      </c>
      <c r="P748" t="s">
        <v>361</v>
      </c>
      <c r="Q748" t="s">
        <v>1046</v>
      </c>
      <c r="R748">
        <v>201.89</v>
      </c>
      <c r="S748">
        <v>238.28</v>
      </c>
    </row>
    <row r="749" spans="15:19">
      <c r="O749" t="s">
        <v>1241</v>
      </c>
      <c r="P749" t="s">
        <v>367</v>
      </c>
      <c r="Q749" t="s">
        <v>1046</v>
      </c>
      <c r="R749">
        <v>110.59</v>
      </c>
      <c r="S749">
        <v>226.5</v>
      </c>
    </row>
    <row r="750" spans="15:19">
      <c r="O750" t="s">
        <v>1216</v>
      </c>
      <c r="P750" t="s">
        <v>369</v>
      </c>
      <c r="Q750" t="s">
        <v>1046</v>
      </c>
      <c r="R750">
        <v>110.35</v>
      </c>
      <c r="S750">
        <v>160.54</v>
      </c>
    </row>
    <row r="751" spans="15:19">
      <c r="O751" t="s">
        <v>1264</v>
      </c>
      <c r="P751" t="s">
        <v>370</v>
      </c>
      <c r="Q751" t="s">
        <v>1046</v>
      </c>
      <c r="R751">
        <v>109.2</v>
      </c>
      <c r="S751">
        <v>271.76</v>
      </c>
    </row>
    <row r="752" spans="15:19">
      <c r="O752" t="s">
        <v>1169</v>
      </c>
      <c r="P752" t="s">
        <v>371</v>
      </c>
      <c r="Q752" t="s">
        <v>1046</v>
      </c>
      <c r="R752">
        <v>250.26</v>
      </c>
      <c r="S752">
        <v>281.8</v>
      </c>
    </row>
    <row r="753" spans="15:19">
      <c r="O753" t="s">
        <v>939</v>
      </c>
      <c r="P753" t="s">
        <v>391</v>
      </c>
      <c r="Q753" t="s">
        <v>972</v>
      </c>
      <c r="R753">
        <v>26.19</v>
      </c>
      <c r="S753">
        <v>161.69</v>
      </c>
    </row>
    <row r="754" spans="15:19">
      <c r="O754" t="s">
        <v>1005</v>
      </c>
      <c r="P754" t="s">
        <v>144</v>
      </c>
      <c r="Q754" t="s">
        <v>972</v>
      </c>
      <c r="R754">
        <v>18.899999999999999</v>
      </c>
      <c r="S754">
        <v>81.87</v>
      </c>
    </row>
    <row r="755" spans="15:19">
      <c r="O755" t="s">
        <v>1279</v>
      </c>
      <c r="P755" t="s">
        <v>393</v>
      </c>
      <c r="Q755" t="s">
        <v>972</v>
      </c>
      <c r="R755">
        <v>25.93</v>
      </c>
      <c r="S755">
        <v>54.01</v>
      </c>
    </row>
    <row r="756" spans="15:19">
      <c r="O756" t="s">
        <v>1299</v>
      </c>
      <c r="P756" t="s">
        <v>148</v>
      </c>
      <c r="Q756" t="s">
        <v>972</v>
      </c>
      <c r="R756">
        <v>26.14</v>
      </c>
      <c r="S756">
        <v>36.909999999999997</v>
      </c>
    </row>
    <row r="757" spans="15:19">
      <c r="O757" t="s">
        <v>942</v>
      </c>
      <c r="P757" t="s">
        <v>255</v>
      </c>
      <c r="Q757" t="s">
        <v>972</v>
      </c>
      <c r="R757">
        <v>26.12</v>
      </c>
      <c r="S757">
        <v>107.64</v>
      </c>
    </row>
    <row r="758" spans="15:19">
      <c r="O758" t="s">
        <v>1280</v>
      </c>
      <c r="P758" t="s">
        <v>154</v>
      </c>
      <c r="Q758" t="s">
        <v>972</v>
      </c>
      <c r="R758">
        <v>76.75</v>
      </c>
      <c r="S758">
        <v>155.66</v>
      </c>
    </row>
    <row r="759" spans="15:19">
      <c r="O759" t="s">
        <v>1300</v>
      </c>
      <c r="P759" t="s">
        <v>256</v>
      </c>
      <c r="Q759" t="s">
        <v>972</v>
      </c>
      <c r="R759">
        <v>25.87</v>
      </c>
      <c r="S759">
        <v>35.6</v>
      </c>
    </row>
    <row r="760" spans="15:19">
      <c r="O760" t="s">
        <v>955</v>
      </c>
      <c r="P760" t="s">
        <v>158</v>
      </c>
      <c r="Q760" t="s">
        <v>972</v>
      </c>
      <c r="R760">
        <v>26.23</v>
      </c>
      <c r="S760">
        <v>204.18</v>
      </c>
    </row>
    <row r="761" spans="15:19">
      <c r="O761" t="s">
        <v>1118</v>
      </c>
      <c r="P761" t="s">
        <v>159</v>
      </c>
      <c r="Q761" t="s">
        <v>972</v>
      </c>
      <c r="R761">
        <v>79.08</v>
      </c>
      <c r="S761">
        <v>170.3</v>
      </c>
    </row>
    <row r="762" spans="15:19">
      <c r="O762" t="s">
        <v>958</v>
      </c>
      <c r="P762" t="s">
        <v>161</v>
      </c>
      <c r="Q762" t="s">
        <v>972</v>
      </c>
      <c r="R762">
        <v>52.22</v>
      </c>
      <c r="S762">
        <v>190.62</v>
      </c>
    </row>
    <row r="763" spans="15:19">
      <c r="O763" t="s">
        <v>964</v>
      </c>
      <c r="P763" t="s">
        <v>168</v>
      </c>
      <c r="Q763" t="s">
        <v>972</v>
      </c>
      <c r="R763">
        <v>25.97</v>
      </c>
      <c r="S763">
        <v>172.26</v>
      </c>
    </row>
    <row r="764" spans="15:19">
      <c r="O764" t="s">
        <v>967</v>
      </c>
      <c r="P764" t="s">
        <v>170</v>
      </c>
      <c r="Q764" t="s">
        <v>972</v>
      </c>
      <c r="R764">
        <v>127.7</v>
      </c>
      <c r="S764">
        <v>211.53</v>
      </c>
    </row>
    <row r="765" spans="15:19">
      <c r="O765" t="s">
        <v>1032</v>
      </c>
      <c r="P765" t="s">
        <v>171</v>
      </c>
      <c r="Q765" t="s">
        <v>972</v>
      </c>
      <c r="R765">
        <v>77.7</v>
      </c>
      <c r="S765">
        <v>127.39</v>
      </c>
    </row>
    <row r="766" spans="15:19">
      <c r="O766" t="s">
        <v>976</v>
      </c>
      <c r="P766" t="s">
        <v>178</v>
      </c>
      <c r="Q766" t="s">
        <v>972</v>
      </c>
      <c r="R766">
        <v>25.43</v>
      </c>
      <c r="S766">
        <v>147.43</v>
      </c>
    </row>
    <row r="767" spans="15:19">
      <c r="O767" t="s">
        <v>1040</v>
      </c>
      <c r="P767" t="s">
        <v>181</v>
      </c>
      <c r="Q767" t="s">
        <v>972</v>
      </c>
      <c r="R767">
        <v>78.010000000000005</v>
      </c>
      <c r="S767">
        <v>83.55</v>
      </c>
    </row>
    <row r="768" spans="15:19">
      <c r="O768" t="s">
        <v>978</v>
      </c>
      <c r="P768" t="s">
        <v>182</v>
      </c>
      <c r="Q768" t="s">
        <v>972</v>
      </c>
      <c r="R768">
        <v>103.33</v>
      </c>
      <c r="S768">
        <v>189.37</v>
      </c>
    </row>
    <row r="769" spans="15:19">
      <c r="O769" t="s">
        <v>1119</v>
      </c>
      <c r="P769" t="s">
        <v>184</v>
      </c>
      <c r="Q769" t="s">
        <v>972</v>
      </c>
      <c r="R769">
        <v>77.790000000000006</v>
      </c>
      <c r="S769">
        <v>239.07999999999899</v>
      </c>
    </row>
    <row r="770" spans="15:19">
      <c r="O770" t="s">
        <v>1047</v>
      </c>
      <c r="P770" t="s">
        <v>188</v>
      </c>
      <c r="Q770" t="s">
        <v>972</v>
      </c>
      <c r="R770">
        <v>26.1</v>
      </c>
      <c r="S770">
        <v>204.26</v>
      </c>
    </row>
    <row r="771" spans="15:19">
      <c r="O771" t="s">
        <v>1252</v>
      </c>
      <c r="P771" t="s">
        <v>200</v>
      </c>
      <c r="Q771" t="s">
        <v>972</v>
      </c>
      <c r="R771">
        <v>25.82</v>
      </c>
      <c r="S771">
        <v>191.39999999999901</v>
      </c>
    </row>
    <row r="772" spans="15:19">
      <c r="O772" t="s">
        <v>1056</v>
      </c>
      <c r="P772" t="s">
        <v>201</v>
      </c>
      <c r="Q772" t="s">
        <v>972</v>
      </c>
      <c r="R772">
        <v>51.62</v>
      </c>
      <c r="S772">
        <v>180.81</v>
      </c>
    </row>
    <row r="773" spans="15:19">
      <c r="O773" t="s">
        <v>986</v>
      </c>
      <c r="P773" t="s">
        <v>202</v>
      </c>
      <c r="Q773" t="s">
        <v>972</v>
      </c>
      <c r="R773">
        <v>26.13</v>
      </c>
      <c r="S773">
        <v>228.36</v>
      </c>
    </row>
    <row r="774" spans="15:19">
      <c r="O774" t="s">
        <v>989</v>
      </c>
      <c r="P774" t="s">
        <v>203</v>
      </c>
      <c r="Q774" t="s">
        <v>972</v>
      </c>
      <c r="R774">
        <v>77.94</v>
      </c>
      <c r="S774">
        <v>215.75</v>
      </c>
    </row>
    <row r="775" spans="15:19">
      <c r="O775" t="s">
        <v>1295</v>
      </c>
      <c r="P775" t="s">
        <v>205</v>
      </c>
      <c r="Q775" t="s">
        <v>972</v>
      </c>
      <c r="R775">
        <v>127.43</v>
      </c>
      <c r="S775">
        <v>186.78</v>
      </c>
    </row>
    <row r="776" spans="15:19">
      <c r="O776" t="s">
        <v>1122</v>
      </c>
      <c r="P776" t="s">
        <v>206</v>
      </c>
      <c r="Q776" t="s">
        <v>972</v>
      </c>
      <c r="R776">
        <v>156.04</v>
      </c>
      <c r="S776">
        <v>230.95</v>
      </c>
    </row>
    <row r="777" spans="15:19">
      <c r="O777" t="s">
        <v>1067</v>
      </c>
      <c r="P777" t="s">
        <v>212</v>
      </c>
      <c r="Q777" t="s">
        <v>972</v>
      </c>
      <c r="R777">
        <v>25.99</v>
      </c>
      <c r="S777">
        <v>216.91</v>
      </c>
    </row>
    <row r="778" spans="15:19">
      <c r="O778" t="s">
        <v>1071</v>
      </c>
      <c r="P778" t="s">
        <v>215</v>
      </c>
      <c r="Q778" t="s">
        <v>972</v>
      </c>
      <c r="R778">
        <v>125.44</v>
      </c>
      <c r="S778">
        <v>167.87</v>
      </c>
    </row>
    <row r="779" spans="15:19">
      <c r="O779" t="s">
        <v>932</v>
      </c>
      <c r="P779" t="s">
        <v>389</v>
      </c>
      <c r="Q779" t="s">
        <v>972</v>
      </c>
      <c r="R779">
        <v>104.74</v>
      </c>
      <c r="S779">
        <v>176.83999999999901</v>
      </c>
    </row>
    <row r="780" spans="15:19">
      <c r="O780" t="s">
        <v>1005</v>
      </c>
      <c r="P780" t="s">
        <v>144</v>
      </c>
      <c r="Q780" t="s">
        <v>972</v>
      </c>
      <c r="R780">
        <v>30.19</v>
      </c>
      <c r="S780">
        <v>155.69</v>
      </c>
    </row>
    <row r="781" spans="15:19">
      <c r="O781" t="s">
        <v>1008</v>
      </c>
      <c r="P781" t="s">
        <v>392</v>
      </c>
      <c r="Q781" t="s">
        <v>972</v>
      </c>
      <c r="R781">
        <v>52.58</v>
      </c>
      <c r="S781">
        <v>126.1</v>
      </c>
    </row>
    <row r="782" spans="15:19">
      <c r="O782" t="s">
        <v>942</v>
      </c>
      <c r="P782" t="s">
        <v>255</v>
      </c>
      <c r="Q782" t="s">
        <v>972</v>
      </c>
      <c r="R782">
        <v>104.92</v>
      </c>
      <c r="S782">
        <v>128.62</v>
      </c>
    </row>
    <row r="783" spans="15:19">
      <c r="O783" t="s">
        <v>1016</v>
      </c>
      <c r="P783" t="s">
        <v>257</v>
      </c>
      <c r="Q783" t="s">
        <v>972</v>
      </c>
      <c r="R783">
        <v>52.4</v>
      </c>
      <c r="S783">
        <v>103.38</v>
      </c>
    </row>
    <row r="784" spans="15:19">
      <c r="O784" t="s">
        <v>945</v>
      </c>
      <c r="P784" t="s">
        <v>143</v>
      </c>
      <c r="Q784" t="s">
        <v>972</v>
      </c>
      <c r="R784">
        <v>24.55</v>
      </c>
      <c r="S784">
        <v>195.38</v>
      </c>
    </row>
    <row r="785" spans="15:19">
      <c r="O785" t="s">
        <v>953</v>
      </c>
      <c r="P785" t="s">
        <v>134</v>
      </c>
      <c r="Q785" t="s">
        <v>972</v>
      </c>
      <c r="R785">
        <v>26.23</v>
      </c>
      <c r="S785">
        <v>273.66000000000003</v>
      </c>
    </row>
    <row r="786" spans="15:19">
      <c r="O786" t="s">
        <v>1248</v>
      </c>
      <c r="P786" t="s">
        <v>164</v>
      </c>
      <c r="Q786" t="s">
        <v>972</v>
      </c>
      <c r="R786">
        <v>104.96</v>
      </c>
      <c r="S786">
        <v>109.27</v>
      </c>
    </row>
    <row r="787" spans="15:19">
      <c r="O787" t="s">
        <v>967</v>
      </c>
      <c r="P787" t="s">
        <v>170</v>
      </c>
      <c r="Q787" t="s">
        <v>972</v>
      </c>
      <c r="R787">
        <v>77.73</v>
      </c>
      <c r="S787">
        <v>128.49</v>
      </c>
    </row>
    <row r="788" spans="15:19">
      <c r="O788" t="s">
        <v>1032</v>
      </c>
      <c r="P788" t="s">
        <v>171</v>
      </c>
      <c r="Q788" t="s">
        <v>972</v>
      </c>
      <c r="R788">
        <v>52.34</v>
      </c>
      <c r="S788">
        <v>142.21</v>
      </c>
    </row>
    <row r="789" spans="15:19">
      <c r="O789" t="s">
        <v>973</v>
      </c>
      <c r="P789" t="s">
        <v>176</v>
      </c>
      <c r="Q789" t="s">
        <v>972</v>
      </c>
      <c r="R789">
        <v>26.07</v>
      </c>
      <c r="S789">
        <v>214.47</v>
      </c>
    </row>
    <row r="790" spans="15:19">
      <c r="O790" t="s">
        <v>1099</v>
      </c>
      <c r="P790" t="s">
        <v>180</v>
      </c>
      <c r="Q790" t="s">
        <v>972</v>
      </c>
      <c r="R790">
        <v>78.599999999999994</v>
      </c>
      <c r="S790">
        <v>107.22</v>
      </c>
    </row>
    <row r="791" spans="15:19">
      <c r="O791" t="s">
        <v>1040</v>
      </c>
      <c r="P791" t="s">
        <v>181</v>
      </c>
      <c r="Q791" t="s">
        <v>972</v>
      </c>
      <c r="R791">
        <v>26.2</v>
      </c>
      <c r="S791">
        <v>218.37</v>
      </c>
    </row>
    <row r="792" spans="15:19">
      <c r="O792" t="s">
        <v>1045</v>
      </c>
      <c r="P792" t="s">
        <v>183</v>
      </c>
      <c r="Q792" t="s">
        <v>972</v>
      </c>
      <c r="R792">
        <v>26.07</v>
      </c>
      <c r="S792">
        <v>115.49</v>
      </c>
    </row>
    <row r="793" spans="15:19">
      <c r="O793" t="s">
        <v>1101</v>
      </c>
      <c r="P793" t="s">
        <v>189</v>
      </c>
      <c r="Q793" t="s">
        <v>972</v>
      </c>
      <c r="R793">
        <v>52.35</v>
      </c>
      <c r="S793">
        <v>152.41</v>
      </c>
    </row>
    <row r="794" spans="15:19">
      <c r="O794" t="s">
        <v>1050</v>
      </c>
      <c r="P794" t="s">
        <v>192</v>
      </c>
      <c r="Q794" t="s">
        <v>972</v>
      </c>
      <c r="R794">
        <v>130.75</v>
      </c>
      <c r="S794">
        <v>210.47</v>
      </c>
    </row>
    <row r="795" spans="15:19">
      <c r="O795" t="s">
        <v>1053</v>
      </c>
      <c r="P795" t="s">
        <v>196</v>
      </c>
      <c r="Q795" t="s">
        <v>972</v>
      </c>
      <c r="R795">
        <v>52.2</v>
      </c>
      <c r="S795">
        <v>95.59</v>
      </c>
    </row>
    <row r="796" spans="15:19">
      <c r="O796" t="s">
        <v>1056</v>
      </c>
      <c r="P796" t="s">
        <v>201</v>
      </c>
      <c r="Q796" t="s">
        <v>972</v>
      </c>
      <c r="R796">
        <v>52.42</v>
      </c>
      <c r="S796">
        <v>165.79</v>
      </c>
    </row>
    <row r="797" spans="15:19">
      <c r="O797" t="s">
        <v>1108</v>
      </c>
      <c r="P797" t="s">
        <v>207</v>
      </c>
      <c r="Q797" t="s">
        <v>972</v>
      </c>
      <c r="R797">
        <v>78.62</v>
      </c>
      <c r="S797">
        <v>110.62</v>
      </c>
    </row>
    <row r="798" spans="15:19">
      <c r="O798" t="s">
        <v>1061</v>
      </c>
      <c r="P798" t="s">
        <v>210</v>
      </c>
      <c r="Q798" t="s">
        <v>972</v>
      </c>
      <c r="R798">
        <v>52.38</v>
      </c>
      <c r="S798">
        <v>144.34</v>
      </c>
    </row>
    <row r="799" spans="15:19">
      <c r="O799" t="s">
        <v>1064</v>
      </c>
      <c r="P799" t="s">
        <v>211</v>
      </c>
      <c r="Q799" t="s">
        <v>972</v>
      </c>
      <c r="R799">
        <v>26.11</v>
      </c>
      <c r="S799">
        <v>184.62</v>
      </c>
    </row>
    <row r="800" spans="15:19">
      <c r="O800" t="s">
        <v>1067</v>
      </c>
      <c r="P800" t="s">
        <v>212</v>
      </c>
      <c r="Q800" t="s">
        <v>972</v>
      </c>
      <c r="R800">
        <v>52.16</v>
      </c>
      <c r="S800">
        <v>212.59</v>
      </c>
    </row>
    <row r="801" spans="15:19">
      <c r="O801" t="s">
        <v>1070</v>
      </c>
      <c r="P801" t="s">
        <v>213</v>
      </c>
      <c r="Q801" t="s">
        <v>972</v>
      </c>
      <c r="R801">
        <v>52.21</v>
      </c>
      <c r="S801">
        <v>152.91</v>
      </c>
    </row>
    <row r="802" spans="15:19">
      <c r="O802" t="s">
        <v>1071</v>
      </c>
      <c r="P802" t="s">
        <v>215</v>
      </c>
      <c r="Q802" t="s">
        <v>972</v>
      </c>
      <c r="R802">
        <v>52.32</v>
      </c>
      <c r="S802">
        <v>213.77</v>
      </c>
    </row>
    <row r="803" spans="15:19">
      <c r="O803" t="s">
        <v>992</v>
      </c>
      <c r="P803" t="s">
        <v>216</v>
      </c>
      <c r="Q803" t="s">
        <v>972</v>
      </c>
      <c r="R803">
        <v>52.36</v>
      </c>
      <c r="S803">
        <v>114.72</v>
      </c>
    </row>
    <row r="804" spans="15:19">
      <c r="O804" t="s">
        <v>1073</v>
      </c>
      <c r="P804" t="s">
        <v>219</v>
      </c>
      <c r="Q804" t="s">
        <v>972</v>
      </c>
      <c r="R804">
        <v>104.78</v>
      </c>
      <c r="S804">
        <v>221.36</v>
      </c>
    </row>
    <row r="805" spans="15:19">
      <c r="O805" t="s">
        <v>999</v>
      </c>
      <c r="P805" t="s">
        <v>222</v>
      </c>
      <c r="Q805" t="s">
        <v>972</v>
      </c>
      <c r="R805">
        <v>54.06</v>
      </c>
      <c r="S805">
        <v>228.1</v>
      </c>
    </row>
    <row r="806" spans="15:19">
      <c r="O806" t="s">
        <v>1156</v>
      </c>
      <c r="P806" t="s">
        <v>408</v>
      </c>
      <c r="Q806" t="s">
        <v>1044</v>
      </c>
      <c r="R806">
        <v>77.92</v>
      </c>
      <c r="S806">
        <v>307.05</v>
      </c>
    </row>
    <row r="807" spans="15:19">
      <c r="O807" t="s">
        <v>1274</v>
      </c>
      <c r="P807" t="s">
        <v>412</v>
      </c>
      <c r="Q807" t="s">
        <v>1044</v>
      </c>
      <c r="R807">
        <v>9.74</v>
      </c>
      <c r="S807">
        <v>259.94</v>
      </c>
    </row>
    <row r="808" spans="15:19">
      <c r="O808" t="s">
        <v>1157</v>
      </c>
      <c r="P808" t="s">
        <v>419</v>
      </c>
      <c r="Q808" t="s">
        <v>1044</v>
      </c>
      <c r="R808">
        <v>146</v>
      </c>
      <c r="S808">
        <v>350.44</v>
      </c>
    </row>
    <row r="809" spans="15:19">
      <c r="O809" t="s">
        <v>1301</v>
      </c>
      <c r="P809" t="s">
        <v>309</v>
      </c>
      <c r="Q809" t="s">
        <v>1044</v>
      </c>
      <c r="R809">
        <v>77.52</v>
      </c>
      <c r="S809">
        <v>129.02000000000001</v>
      </c>
    </row>
    <row r="810" spans="15:19">
      <c r="O810" t="s">
        <v>1172</v>
      </c>
      <c r="P810" t="s">
        <v>310</v>
      </c>
      <c r="Q810" t="s">
        <v>1044</v>
      </c>
      <c r="R810">
        <v>78.09</v>
      </c>
      <c r="S810">
        <v>88.71</v>
      </c>
    </row>
    <row r="811" spans="15:19">
      <c r="O811" t="s">
        <v>1209</v>
      </c>
      <c r="P811" t="s">
        <v>312</v>
      </c>
      <c r="Q811" t="s">
        <v>1044</v>
      </c>
      <c r="R811">
        <v>171.36</v>
      </c>
      <c r="S811">
        <v>188.51</v>
      </c>
    </row>
    <row r="812" spans="15:19">
      <c r="O812" t="s">
        <v>1302</v>
      </c>
      <c r="P812" t="s">
        <v>295</v>
      </c>
      <c r="Q812" t="s">
        <v>1044</v>
      </c>
      <c r="R812">
        <v>140.4</v>
      </c>
      <c r="S812">
        <v>172.3</v>
      </c>
    </row>
    <row r="813" spans="15:19">
      <c r="O813" t="s">
        <v>1175</v>
      </c>
      <c r="P813" t="s">
        <v>301</v>
      </c>
      <c r="Q813" t="s">
        <v>1044</v>
      </c>
      <c r="R813">
        <v>77.92</v>
      </c>
      <c r="S813">
        <v>98.01</v>
      </c>
    </row>
    <row r="814" spans="15:19">
      <c r="O814" t="s">
        <v>1271</v>
      </c>
      <c r="P814" t="s">
        <v>303</v>
      </c>
      <c r="Q814" t="s">
        <v>1044</v>
      </c>
      <c r="R814">
        <v>108.7</v>
      </c>
      <c r="S814">
        <v>301.87</v>
      </c>
    </row>
    <row r="815" spans="15:19">
      <c r="O815" t="s">
        <v>1270</v>
      </c>
      <c r="P815" t="s">
        <v>410</v>
      </c>
      <c r="Q815" t="s">
        <v>1044</v>
      </c>
      <c r="R815">
        <v>77.569999999999993</v>
      </c>
      <c r="S815">
        <v>115.3</v>
      </c>
    </row>
    <row r="816" spans="15:19">
      <c r="O816" t="s">
        <v>1274</v>
      </c>
      <c r="P816" t="s">
        <v>412</v>
      </c>
      <c r="Q816" t="s">
        <v>1044</v>
      </c>
      <c r="R816">
        <v>126.05</v>
      </c>
      <c r="S816">
        <v>336.32</v>
      </c>
    </row>
    <row r="817" spans="15:19">
      <c r="O817" t="s">
        <v>1157</v>
      </c>
      <c r="P817" t="s">
        <v>419</v>
      </c>
      <c r="Q817" t="s">
        <v>1044</v>
      </c>
      <c r="R817">
        <v>92.6</v>
      </c>
      <c r="S817">
        <v>119.96</v>
      </c>
    </row>
    <row r="818" spans="15:19">
      <c r="O818" t="s">
        <v>1275</v>
      </c>
      <c r="P818" t="s">
        <v>308</v>
      </c>
      <c r="Q818" t="s">
        <v>1044</v>
      </c>
      <c r="R818">
        <v>107.72</v>
      </c>
      <c r="S818">
        <v>304.70999999999998</v>
      </c>
    </row>
    <row r="819" spans="15:19">
      <c r="O819" t="s">
        <v>1301</v>
      </c>
      <c r="P819" t="s">
        <v>309</v>
      </c>
      <c r="Q819" t="s">
        <v>1044</v>
      </c>
      <c r="R819">
        <v>77.680000000000007</v>
      </c>
      <c r="S819">
        <v>85.3</v>
      </c>
    </row>
    <row r="820" spans="15:19">
      <c r="O820" t="s">
        <v>1172</v>
      </c>
      <c r="P820" t="s">
        <v>310</v>
      </c>
      <c r="Q820" t="s">
        <v>1044</v>
      </c>
      <c r="R820">
        <v>46.84</v>
      </c>
      <c r="S820">
        <v>194.63</v>
      </c>
    </row>
    <row r="821" spans="15:19">
      <c r="O821" t="s">
        <v>1287</v>
      </c>
      <c r="P821" t="s">
        <v>311</v>
      </c>
      <c r="Q821" t="s">
        <v>1044</v>
      </c>
      <c r="R821">
        <v>87.49</v>
      </c>
      <c r="S821">
        <v>303.67</v>
      </c>
    </row>
    <row r="822" spans="15:19">
      <c r="O822" t="s">
        <v>1303</v>
      </c>
      <c r="P822" t="s">
        <v>302</v>
      </c>
      <c r="Q822" t="s">
        <v>1044</v>
      </c>
      <c r="R822">
        <v>109.2</v>
      </c>
      <c r="S822">
        <v>121.03</v>
      </c>
    </row>
    <row r="823" spans="15:19">
      <c r="O823" t="s">
        <v>1271</v>
      </c>
      <c r="P823" t="s">
        <v>303</v>
      </c>
      <c r="Q823" t="s">
        <v>1044</v>
      </c>
      <c r="R823">
        <v>92.65</v>
      </c>
      <c r="S823">
        <v>190.81</v>
      </c>
    </row>
    <row r="824" spans="15:19">
      <c r="O824" t="s">
        <v>1170</v>
      </c>
      <c r="P824" t="s">
        <v>407</v>
      </c>
      <c r="Q824" t="s">
        <v>1049</v>
      </c>
      <c r="R824">
        <v>174.32</v>
      </c>
      <c r="S824">
        <v>241.11</v>
      </c>
    </row>
    <row r="825" spans="15:19">
      <c r="O825" t="s">
        <v>1156</v>
      </c>
      <c r="P825" t="s">
        <v>408</v>
      </c>
      <c r="Q825" t="s">
        <v>1049</v>
      </c>
      <c r="R825">
        <v>67.62</v>
      </c>
      <c r="S825">
        <v>307.05</v>
      </c>
    </row>
    <row r="826" spans="15:19">
      <c r="O826" t="s">
        <v>1304</v>
      </c>
      <c r="P826" t="s">
        <v>409</v>
      </c>
      <c r="Q826" t="s">
        <v>1049</v>
      </c>
      <c r="R826">
        <v>97.19</v>
      </c>
      <c r="S826">
        <v>129.15</v>
      </c>
    </row>
    <row r="827" spans="15:19">
      <c r="O827" t="s">
        <v>1171</v>
      </c>
      <c r="P827" t="s">
        <v>411</v>
      </c>
      <c r="Q827" t="s">
        <v>1049</v>
      </c>
      <c r="R827">
        <v>135.36000000000001</v>
      </c>
      <c r="S827">
        <v>179.88</v>
      </c>
    </row>
    <row r="828" spans="15:19">
      <c r="O828" t="s">
        <v>1274</v>
      </c>
      <c r="P828" t="s">
        <v>412</v>
      </c>
      <c r="Q828" t="s">
        <v>1049</v>
      </c>
      <c r="R828">
        <v>201.7</v>
      </c>
      <c r="S828">
        <v>259.94</v>
      </c>
    </row>
    <row r="829" spans="15:19">
      <c r="O829" t="s">
        <v>1305</v>
      </c>
      <c r="P829" t="s">
        <v>416</v>
      </c>
      <c r="Q829" t="s">
        <v>1049</v>
      </c>
      <c r="R829">
        <v>67.260000000000005</v>
      </c>
      <c r="S829">
        <v>97.03</v>
      </c>
    </row>
    <row r="830" spans="15:19">
      <c r="O830" t="s">
        <v>1293</v>
      </c>
      <c r="P830" t="s">
        <v>417</v>
      </c>
      <c r="Q830" t="s">
        <v>1049</v>
      </c>
      <c r="R830">
        <v>203.92</v>
      </c>
      <c r="S830">
        <v>290.95</v>
      </c>
    </row>
    <row r="831" spans="15:19">
      <c r="O831" t="s">
        <v>1275</v>
      </c>
      <c r="P831" t="s">
        <v>308</v>
      </c>
      <c r="Q831" t="s">
        <v>1049</v>
      </c>
      <c r="R831">
        <v>102.4</v>
      </c>
      <c r="S831">
        <v>261.37</v>
      </c>
    </row>
    <row r="832" spans="15:19">
      <c r="O832" t="s">
        <v>1301</v>
      </c>
      <c r="P832" t="s">
        <v>309</v>
      </c>
      <c r="Q832" t="s">
        <v>1049</v>
      </c>
      <c r="R832">
        <v>34.200000000000003</v>
      </c>
      <c r="S832">
        <v>129.02000000000001</v>
      </c>
    </row>
    <row r="833" spans="15:19">
      <c r="O833" t="s">
        <v>1306</v>
      </c>
      <c r="P833" t="s">
        <v>289</v>
      </c>
      <c r="Q833" t="s">
        <v>1049</v>
      </c>
      <c r="R833">
        <v>164.59</v>
      </c>
      <c r="S833">
        <v>190.76</v>
      </c>
    </row>
    <row r="834" spans="15:19">
      <c r="O834" t="s">
        <v>1307</v>
      </c>
      <c r="P834" t="s">
        <v>290</v>
      </c>
      <c r="Q834" t="s">
        <v>1049</v>
      </c>
      <c r="R834">
        <v>34.28</v>
      </c>
      <c r="S834">
        <v>56.72</v>
      </c>
    </row>
    <row r="835" spans="15:19">
      <c r="O835" t="s">
        <v>1308</v>
      </c>
      <c r="P835" t="s">
        <v>291</v>
      </c>
      <c r="Q835" t="s">
        <v>1049</v>
      </c>
      <c r="R835">
        <v>97.55</v>
      </c>
      <c r="S835">
        <v>109</v>
      </c>
    </row>
    <row r="836" spans="15:19">
      <c r="O836" t="s">
        <v>1309</v>
      </c>
      <c r="P836" t="s">
        <v>293</v>
      </c>
      <c r="Q836" t="s">
        <v>1049</v>
      </c>
      <c r="R836">
        <v>169.28</v>
      </c>
      <c r="S836">
        <v>180.22</v>
      </c>
    </row>
    <row r="837" spans="15:19">
      <c r="O837" t="s">
        <v>1310</v>
      </c>
      <c r="P837" t="s">
        <v>294</v>
      </c>
      <c r="Q837" t="s">
        <v>1049</v>
      </c>
      <c r="R837">
        <v>34.299999999999997</v>
      </c>
      <c r="S837">
        <v>42.93</v>
      </c>
    </row>
    <row r="838" spans="15:19">
      <c r="O838" t="s">
        <v>1173</v>
      </c>
      <c r="P838" t="s">
        <v>296</v>
      </c>
      <c r="Q838" t="s">
        <v>1049</v>
      </c>
      <c r="R838">
        <v>33.869999999999997</v>
      </c>
      <c r="S838">
        <v>41.849999999999902</v>
      </c>
    </row>
    <row r="839" spans="15:19">
      <c r="O839" t="s">
        <v>1289</v>
      </c>
      <c r="P839" t="s">
        <v>297</v>
      </c>
      <c r="Q839" t="s">
        <v>1049</v>
      </c>
      <c r="R839">
        <v>85.57</v>
      </c>
      <c r="S839">
        <v>196.05</v>
      </c>
    </row>
    <row r="840" spans="15:19">
      <c r="O840" t="s">
        <v>1311</v>
      </c>
      <c r="P840" t="s">
        <v>299</v>
      </c>
      <c r="Q840" t="s">
        <v>1049</v>
      </c>
      <c r="R840">
        <v>85.26</v>
      </c>
      <c r="S840">
        <v>109.9</v>
      </c>
    </row>
    <row r="841" spans="15:19">
      <c r="O841" t="s">
        <v>1174</v>
      </c>
      <c r="P841" t="s">
        <v>300</v>
      </c>
      <c r="Q841" t="s">
        <v>1049</v>
      </c>
      <c r="R841">
        <v>197.86</v>
      </c>
      <c r="S841">
        <v>220.48</v>
      </c>
    </row>
    <row r="842" spans="15:19">
      <c r="O842" t="s">
        <v>1271</v>
      </c>
      <c r="P842" t="s">
        <v>303</v>
      </c>
      <c r="Q842" t="s">
        <v>1049</v>
      </c>
      <c r="R842">
        <v>97.11</v>
      </c>
      <c r="S842">
        <v>301.87</v>
      </c>
    </row>
    <row r="843" spans="15:19">
      <c r="O843" t="s">
        <v>1158</v>
      </c>
      <c r="P843" t="s">
        <v>306</v>
      </c>
      <c r="Q843" t="s">
        <v>1049</v>
      </c>
      <c r="R843">
        <v>40.44</v>
      </c>
      <c r="S843">
        <v>147.46</v>
      </c>
    </row>
    <row r="844" spans="15:19">
      <c r="O844" t="s">
        <v>1291</v>
      </c>
      <c r="P844" t="s">
        <v>307</v>
      </c>
      <c r="Q844" t="s">
        <v>1049</v>
      </c>
      <c r="R844">
        <v>68.349999999999994</v>
      </c>
      <c r="S844">
        <v>137.19</v>
      </c>
    </row>
    <row r="845" spans="15:19">
      <c r="O845" t="s">
        <v>1160</v>
      </c>
      <c r="P845" t="s">
        <v>379</v>
      </c>
      <c r="Q845" t="s">
        <v>1049</v>
      </c>
      <c r="R845">
        <v>34.35</v>
      </c>
      <c r="S845">
        <v>147.71</v>
      </c>
    </row>
    <row r="846" spans="15:19">
      <c r="O846" t="s">
        <v>1312</v>
      </c>
      <c r="P846" t="s">
        <v>404</v>
      </c>
      <c r="Q846" t="s">
        <v>1049</v>
      </c>
      <c r="R846">
        <v>70.75</v>
      </c>
      <c r="S846">
        <v>77.28</v>
      </c>
    </row>
    <row r="847" spans="15:19">
      <c r="O847" t="s">
        <v>1170</v>
      </c>
      <c r="P847" t="s">
        <v>407</v>
      </c>
      <c r="Q847" t="s">
        <v>1049</v>
      </c>
      <c r="R847">
        <v>122.25</v>
      </c>
      <c r="S847">
        <v>247.81</v>
      </c>
    </row>
    <row r="848" spans="15:19">
      <c r="O848" t="s">
        <v>1156</v>
      </c>
      <c r="P848" t="s">
        <v>408</v>
      </c>
      <c r="Q848" t="s">
        <v>1049</v>
      </c>
      <c r="R848">
        <v>69.8</v>
      </c>
      <c r="S848">
        <v>92.49</v>
      </c>
    </row>
    <row r="849" spans="15:19">
      <c r="O849" t="s">
        <v>1304</v>
      </c>
      <c r="P849" t="s">
        <v>409</v>
      </c>
      <c r="Q849" t="s">
        <v>1049</v>
      </c>
      <c r="R849">
        <v>211.4</v>
      </c>
      <c r="S849">
        <v>250.02</v>
      </c>
    </row>
    <row r="850" spans="15:19">
      <c r="O850" t="s">
        <v>1171</v>
      </c>
      <c r="P850" t="s">
        <v>411</v>
      </c>
      <c r="Q850" t="s">
        <v>1049</v>
      </c>
      <c r="R850">
        <v>154.88</v>
      </c>
      <c r="S850">
        <v>200.24999999999901</v>
      </c>
    </row>
    <row r="851" spans="15:19">
      <c r="O851" t="s">
        <v>1274</v>
      </c>
      <c r="P851" t="s">
        <v>412</v>
      </c>
      <c r="Q851" t="s">
        <v>1049</v>
      </c>
      <c r="R851">
        <v>35.630000000000003</v>
      </c>
      <c r="S851">
        <v>336.32</v>
      </c>
    </row>
    <row r="852" spans="15:19">
      <c r="O852" t="s">
        <v>1305</v>
      </c>
      <c r="P852" t="s">
        <v>416</v>
      </c>
      <c r="Q852" t="s">
        <v>1049</v>
      </c>
      <c r="R852">
        <v>183.81</v>
      </c>
      <c r="S852">
        <v>256.93</v>
      </c>
    </row>
    <row r="853" spans="15:19">
      <c r="O853" t="s">
        <v>1293</v>
      </c>
      <c r="P853" t="s">
        <v>417</v>
      </c>
      <c r="Q853" t="s">
        <v>1049</v>
      </c>
      <c r="R853">
        <v>65.739999999999995</v>
      </c>
      <c r="S853">
        <v>90.699999999999903</v>
      </c>
    </row>
    <row r="854" spans="15:19">
      <c r="O854" t="s">
        <v>1275</v>
      </c>
      <c r="P854" t="s">
        <v>308</v>
      </c>
      <c r="Q854" t="s">
        <v>1049</v>
      </c>
      <c r="R854">
        <v>42.24</v>
      </c>
      <c r="S854">
        <v>304.70999999999998</v>
      </c>
    </row>
    <row r="855" spans="15:19">
      <c r="O855" t="s">
        <v>1172</v>
      </c>
      <c r="P855" t="s">
        <v>310</v>
      </c>
      <c r="Q855" t="s">
        <v>1049</v>
      </c>
      <c r="R855">
        <v>82.48</v>
      </c>
      <c r="S855">
        <v>194.63</v>
      </c>
    </row>
    <row r="856" spans="15:19">
      <c r="O856" t="s">
        <v>1287</v>
      </c>
      <c r="P856" t="s">
        <v>311</v>
      </c>
      <c r="Q856" t="s">
        <v>1049</v>
      </c>
      <c r="R856">
        <v>68.180000000000007</v>
      </c>
      <c r="S856">
        <v>303.67</v>
      </c>
    </row>
    <row r="857" spans="15:19">
      <c r="O857" t="s">
        <v>1209</v>
      </c>
      <c r="P857" t="s">
        <v>312</v>
      </c>
      <c r="Q857" t="s">
        <v>1049</v>
      </c>
      <c r="R857">
        <v>88.11</v>
      </c>
      <c r="S857">
        <v>272.02999999999997</v>
      </c>
    </row>
    <row r="858" spans="15:19">
      <c r="O858" t="s">
        <v>1306</v>
      </c>
      <c r="P858" t="s">
        <v>289</v>
      </c>
      <c r="Q858" t="s">
        <v>1049</v>
      </c>
      <c r="R858">
        <v>70.040000000000006</v>
      </c>
      <c r="S858">
        <v>78.150000000000006</v>
      </c>
    </row>
    <row r="859" spans="15:19">
      <c r="O859" t="s">
        <v>1307</v>
      </c>
      <c r="P859" t="s">
        <v>290</v>
      </c>
      <c r="Q859" t="s">
        <v>1049</v>
      </c>
      <c r="R859">
        <v>49.26</v>
      </c>
      <c r="S859">
        <v>89.37</v>
      </c>
    </row>
    <row r="860" spans="15:19">
      <c r="O860" t="s">
        <v>1308</v>
      </c>
      <c r="P860" t="s">
        <v>291</v>
      </c>
      <c r="Q860" t="s">
        <v>1049</v>
      </c>
      <c r="R860">
        <v>71.16</v>
      </c>
      <c r="S860">
        <v>80.97</v>
      </c>
    </row>
    <row r="861" spans="15:19">
      <c r="O861" t="s">
        <v>1210</v>
      </c>
      <c r="P861" t="s">
        <v>292</v>
      </c>
      <c r="Q861" t="s">
        <v>1049</v>
      </c>
      <c r="R861">
        <v>99.24</v>
      </c>
      <c r="S861">
        <v>159.57</v>
      </c>
    </row>
    <row r="862" spans="15:19">
      <c r="O862" t="s">
        <v>1309</v>
      </c>
      <c r="P862" t="s">
        <v>293</v>
      </c>
      <c r="Q862" t="s">
        <v>1049</v>
      </c>
      <c r="R862">
        <v>31.4</v>
      </c>
      <c r="S862">
        <v>146.57</v>
      </c>
    </row>
    <row r="863" spans="15:19">
      <c r="O863" t="s">
        <v>1310</v>
      </c>
      <c r="P863" t="s">
        <v>294</v>
      </c>
      <c r="Q863" t="s">
        <v>1049</v>
      </c>
      <c r="R863">
        <v>114.36</v>
      </c>
      <c r="S863">
        <v>129.44999999999999</v>
      </c>
    </row>
    <row r="864" spans="15:19">
      <c r="O864" t="s">
        <v>1302</v>
      </c>
      <c r="P864" t="s">
        <v>295</v>
      </c>
      <c r="Q864" t="s">
        <v>1049</v>
      </c>
      <c r="R864">
        <v>69.739999999999995</v>
      </c>
      <c r="S864">
        <v>78.28</v>
      </c>
    </row>
    <row r="865" spans="15:19">
      <c r="O865" t="s">
        <v>1173</v>
      </c>
      <c r="P865" t="s">
        <v>296</v>
      </c>
      <c r="Q865" t="s">
        <v>1049</v>
      </c>
      <c r="R865">
        <v>35.119999999999997</v>
      </c>
      <c r="S865">
        <v>79.84</v>
      </c>
    </row>
    <row r="866" spans="15:19">
      <c r="O866" t="s">
        <v>1174</v>
      </c>
      <c r="P866" t="s">
        <v>300</v>
      </c>
      <c r="Q866" t="s">
        <v>1049</v>
      </c>
      <c r="R866">
        <v>70.81</v>
      </c>
      <c r="S866">
        <v>127.12</v>
      </c>
    </row>
    <row r="867" spans="15:19">
      <c r="O867" t="s">
        <v>1175</v>
      </c>
      <c r="P867" t="s">
        <v>301</v>
      </c>
      <c r="Q867" t="s">
        <v>1049</v>
      </c>
      <c r="R867">
        <v>99.59</v>
      </c>
      <c r="S867">
        <v>165.87</v>
      </c>
    </row>
    <row r="868" spans="15:19">
      <c r="O868" t="s">
        <v>1271</v>
      </c>
      <c r="P868" t="s">
        <v>303</v>
      </c>
      <c r="Q868" t="s">
        <v>1049</v>
      </c>
      <c r="R868">
        <v>66.790000000000006</v>
      </c>
      <c r="S868">
        <v>190.81</v>
      </c>
    </row>
    <row r="869" spans="15:19">
      <c r="O869" t="s">
        <v>1313</v>
      </c>
      <c r="P869" t="s">
        <v>305</v>
      </c>
      <c r="Q869" t="s">
        <v>1049</v>
      </c>
      <c r="R869">
        <v>104.7</v>
      </c>
      <c r="S869">
        <v>112.81</v>
      </c>
    </row>
    <row r="870" spans="15:19">
      <c r="O870" t="s">
        <v>1291</v>
      </c>
      <c r="P870" t="s">
        <v>307</v>
      </c>
      <c r="Q870" t="s">
        <v>1049</v>
      </c>
      <c r="R870">
        <v>70.88</v>
      </c>
      <c r="S870">
        <v>100.46</v>
      </c>
    </row>
    <row r="871" spans="15:19">
      <c r="O871" t="s">
        <v>939</v>
      </c>
      <c r="P871" t="s">
        <v>391</v>
      </c>
      <c r="Q871" t="s">
        <v>975</v>
      </c>
      <c r="R871">
        <v>62.37</v>
      </c>
      <c r="S871">
        <v>161.69</v>
      </c>
    </row>
    <row r="872" spans="15:19">
      <c r="O872" t="s">
        <v>1005</v>
      </c>
      <c r="P872" t="s">
        <v>144</v>
      </c>
      <c r="Q872" t="s">
        <v>975</v>
      </c>
      <c r="R872">
        <v>50.11</v>
      </c>
      <c r="S872">
        <v>81.87</v>
      </c>
    </row>
    <row r="873" spans="15:19">
      <c r="O873" t="s">
        <v>1008</v>
      </c>
      <c r="P873" t="s">
        <v>392</v>
      </c>
      <c r="Q873" t="s">
        <v>975</v>
      </c>
      <c r="R873">
        <v>14.94</v>
      </c>
      <c r="S873">
        <v>20.11</v>
      </c>
    </row>
    <row r="874" spans="15:19">
      <c r="O874" t="s">
        <v>1280</v>
      </c>
      <c r="P874" t="s">
        <v>154</v>
      </c>
      <c r="Q874" t="s">
        <v>975</v>
      </c>
      <c r="R874">
        <v>58.06</v>
      </c>
      <c r="S874">
        <v>155.66</v>
      </c>
    </row>
    <row r="875" spans="15:19">
      <c r="O875" t="s">
        <v>945</v>
      </c>
      <c r="P875" t="s">
        <v>143</v>
      </c>
      <c r="Q875" t="s">
        <v>975</v>
      </c>
      <c r="R875">
        <v>52.17</v>
      </c>
      <c r="S875">
        <v>276.81</v>
      </c>
    </row>
    <row r="876" spans="15:19">
      <c r="O876" t="s">
        <v>951</v>
      </c>
      <c r="P876" t="s">
        <v>140</v>
      </c>
      <c r="Q876" t="s">
        <v>975</v>
      </c>
      <c r="R876">
        <v>49.84</v>
      </c>
      <c r="S876">
        <v>150.63</v>
      </c>
    </row>
    <row r="877" spans="15:19">
      <c r="O877" t="s">
        <v>1281</v>
      </c>
      <c r="P877" t="s">
        <v>139</v>
      </c>
      <c r="Q877" t="s">
        <v>975</v>
      </c>
      <c r="R877">
        <v>25.16</v>
      </c>
      <c r="S877">
        <v>182.17</v>
      </c>
    </row>
    <row r="878" spans="15:19">
      <c r="O878" t="s">
        <v>955</v>
      </c>
      <c r="P878" t="s">
        <v>158</v>
      </c>
      <c r="Q878" t="s">
        <v>975</v>
      </c>
      <c r="R878">
        <v>75.319999999999993</v>
      </c>
      <c r="S878">
        <v>204.18</v>
      </c>
    </row>
    <row r="879" spans="15:19">
      <c r="O879" t="s">
        <v>958</v>
      </c>
      <c r="P879" t="s">
        <v>161</v>
      </c>
      <c r="Q879" t="s">
        <v>975</v>
      </c>
      <c r="R879">
        <v>74.83</v>
      </c>
      <c r="S879">
        <v>190.62</v>
      </c>
    </row>
    <row r="880" spans="15:19">
      <c r="O880" t="s">
        <v>961</v>
      </c>
      <c r="P880" t="s">
        <v>166</v>
      </c>
      <c r="Q880" t="s">
        <v>975</v>
      </c>
      <c r="R880">
        <v>25.03</v>
      </c>
      <c r="S880">
        <v>218.59</v>
      </c>
    </row>
    <row r="881" spans="15:19">
      <c r="O881" t="s">
        <v>964</v>
      </c>
      <c r="P881" t="s">
        <v>168</v>
      </c>
      <c r="Q881" t="s">
        <v>975</v>
      </c>
      <c r="R881">
        <v>49.83</v>
      </c>
      <c r="S881">
        <v>172.26</v>
      </c>
    </row>
    <row r="882" spans="15:19">
      <c r="O882" t="s">
        <v>967</v>
      </c>
      <c r="P882" t="s">
        <v>170</v>
      </c>
      <c r="Q882" t="s">
        <v>975</v>
      </c>
      <c r="R882">
        <v>50.05</v>
      </c>
      <c r="S882">
        <v>211.53</v>
      </c>
    </row>
    <row r="883" spans="15:19">
      <c r="O883" t="s">
        <v>973</v>
      </c>
      <c r="P883" t="s">
        <v>176</v>
      </c>
      <c r="Q883" t="s">
        <v>975</v>
      </c>
      <c r="R883">
        <v>75.03</v>
      </c>
      <c r="S883">
        <v>171.9</v>
      </c>
    </row>
    <row r="884" spans="15:19">
      <c r="O884" t="s">
        <v>976</v>
      </c>
      <c r="P884" t="s">
        <v>178</v>
      </c>
      <c r="Q884" t="s">
        <v>975</v>
      </c>
      <c r="R884">
        <v>24.98</v>
      </c>
      <c r="S884">
        <v>147.43</v>
      </c>
    </row>
    <row r="885" spans="15:19">
      <c r="O885" t="s">
        <v>978</v>
      </c>
      <c r="P885" t="s">
        <v>182</v>
      </c>
      <c r="Q885" t="s">
        <v>975</v>
      </c>
      <c r="R885">
        <v>23.02</v>
      </c>
      <c r="S885">
        <v>189.37</v>
      </c>
    </row>
    <row r="886" spans="15:19">
      <c r="O886" t="s">
        <v>1119</v>
      </c>
      <c r="P886" t="s">
        <v>184</v>
      </c>
      <c r="Q886" t="s">
        <v>975</v>
      </c>
      <c r="R886">
        <v>100.02</v>
      </c>
      <c r="S886">
        <v>239.07999999999899</v>
      </c>
    </row>
    <row r="887" spans="15:19">
      <c r="O887" t="s">
        <v>1047</v>
      </c>
      <c r="P887" t="s">
        <v>188</v>
      </c>
      <c r="Q887" t="s">
        <v>975</v>
      </c>
      <c r="R887">
        <v>50.23</v>
      </c>
      <c r="S887">
        <v>204.26</v>
      </c>
    </row>
    <row r="888" spans="15:19">
      <c r="O888" t="s">
        <v>1053</v>
      </c>
      <c r="P888" t="s">
        <v>196</v>
      </c>
      <c r="Q888" t="s">
        <v>975</v>
      </c>
      <c r="R888">
        <v>74.930000000000007</v>
      </c>
      <c r="S888">
        <v>169.68</v>
      </c>
    </row>
    <row r="889" spans="15:19">
      <c r="O889" t="s">
        <v>1252</v>
      </c>
      <c r="P889" t="s">
        <v>200</v>
      </c>
      <c r="Q889" t="s">
        <v>975</v>
      </c>
      <c r="R889">
        <v>25.08</v>
      </c>
      <c r="S889">
        <v>191.39999999999901</v>
      </c>
    </row>
    <row r="890" spans="15:19">
      <c r="O890" t="s">
        <v>989</v>
      </c>
      <c r="P890" t="s">
        <v>203</v>
      </c>
      <c r="Q890" t="s">
        <v>975</v>
      </c>
      <c r="R890">
        <v>50.3</v>
      </c>
      <c r="S890">
        <v>215.75</v>
      </c>
    </row>
    <row r="891" spans="15:19">
      <c r="O891" t="s">
        <v>1295</v>
      </c>
      <c r="P891" t="s">
        <v>205</v>
      </c>
      <c r="Q891" t="s">
        <v>975</v>
      </c>
      <c r="R891">
        <v>47.85</v>
      </c>
      <c r="S891">
        <v>186.78</v>
      </c>
    </row>
    <row r="892" spans="15:19">
      <c r="O892" t="s">
        <v>1122</v>
      </c>
      <c r="P892" t="s">
        <v>206</v>
      </c>
      <c r="Q892" t="s">
        <v>975</v>
      </c>
      <c r="R892">
        <v>24.92</v>
      </c>
      <c r="S892">
        <v>230.95</v>
      </c>
    </row>
    <row r="893" spans="15:19">
      <c r="O893" t="s">
        <v>1067</v>
      </c>
      <c r="P893" t="s">
        <v>212</v>
      </c>
      <c r="Q893" t="s">
        <v>975</v>
      </c>
      <c r="R893">
        <v>100.02</v>
      </c>
      <c r="S893">
        <v>216.91</v>
      </c>
    </row>
    <row r="894" spans="15:19">
      <c r="O894" t="s">
        <v>1071</v>
      </c>
      <c r="P894" t="s">
        <v>215</v>
      </c>
      <c r="Q894" t="s">
        <v>975</v>
      </c>
      <c r="R894">
        <v>25.17</v>
      </c>
      <c r="S894">
        <v>167.87</v>
      </c>
    </row>
    <row r="895" spans="15:19">
      <c r="O895" t="s">
        <v>992</v>
      </c>
      <c r="P895" t="s">
        <v>216</v>
      </c>
      <c r="Q895" t="s">
        <v>975</v>
      </c>
      <c r="R895">
        <v>125.17</v>
      </c>
      <c r="S895">
        <v>239.53</v>
      </c>
    </row>
    <row r="896" spans="15:19">
      <c r="O896" t="s">
        <v>995</v>
      </c>
      <c r="P896" t="s">
        <v>217</v>
      </c>
      <c r="Q896" t="s">
        <v>975</v>
      </c>
      <c r="R896">
        <v>75.02</v>
      </c>
      <c r="S896">
        <v>171.72</v>
      </c>
    </row>
    <row r="897" spans="15:19">
      <c r="O897" t="s">
        <v>997</v>
      </c>
      <c r="P897" t="s">
        <v>220</v>
      </c>
      <c r="Q897" t="s">
        <v>975</v>
      </c>
      <c r="R897">
        <v>50.06</v>
      </c>
      <c r="S897">
        <v>167.43</v>
      </c>
    </row>
    <row r="898" spans="15:19">
      <c r="O898" t="s">
        <v>999</v>
      </c>
      <c r="P898" t="s">
        <v>222</v>
      </c>
      <c r="Q898" t="s">
        <v>975</v>
      </c>
      <c r="R898">
        <v>47.99</v>
      </c>
      <c r="S898">
        <v>225.93</v>
      </c>
    </row>
    <row r="899" spans="15:19">
      <c r="O899" t="s">
        <v>932</v>
      </c>
      <c r="P899" t="s">
        <v>389</v>
      </c>
      <c r="Q899" t="s">
        <v>975</v>
      </c>
      <c r="R899">
        <v>17.170000000000002</v>
      </c>
      <c r="S899">
        <v>176.83999999999901</v>
      </c>
    </row>
    <row r="900" spans="15:19">
      <c r="O900" t="s">
        <v>939</v>
      </c>
      <c r="P900" t="s">
        <v>391</v>
      </c>
      <c r="Q900" t="s">
        <v>975</v>
      </c>
      <c r="R900">
        <v>145.81</v>
      </c>
      <c r="S900">
        <v>151.77000000000001</v>
      </c>
    </row>
    <row r="901" spans="15:19">
      <c r="O901" t="s">
        <v>1005</v>
      </c>
      <c r="P901" t="s">
        <v>144</v>
      </c>
      <c r="Q901" t="s">
        <v>975</v>
      </c>
      <c r="R901">
        <v>100.17</v>
      </c>
      <c r="S901">
        <v>155.69</v>
      </c>
    </row>
    <row r="902" spans="15:19">
      <c r="O902" t="s">
        <v>1008</v>
      </c>
      <c r="P902" t="s">
        <v>392</v>
      </c>
      <c r="Q902" t="s">
        <v>975</v>
      </c>
      <c r="R902">
        <v>8.07</v>
      </c>
      <c r="S902">
        <v>126.1</v>
      </c>
    </row>
    <row r="903" spans="15:19">
      <c r="O903" t="s">
        <v>945</v>
      </c>
      <c r="P903" t="s">
        <v>143</v>
      </c>
      <c r="Q903" t="s">
        <v>975</v>
      </c>
      <c r="R903">
        <v>18.510000000000002</v>
      </c>
      <c r="S903">
        <v>195.38</v>
      </c>
    </row>
    <row r="904" spans="15:19">
      <c r="O904" t="s">
        <v>948</v>
      </c>
      <c r="P904" t="s">
        <v>141</v>
      </c>
      <c r="Q904" t="s">
        <v>975</v>
      </c>
      <c r="R904">
        <v>50.12</v>
      </c>
      <c r="S904">
        <v>81.069999999999993</v>
      </c>
    </row>
    <row r="905" spans="15:19">
      <c r="O905" t="s">
        <v>951</v>
      </c>
      <c r="P905" t="s">
        <v>140</v>
      </c>
      <c r="Q905" t="s">
        <v>975</v>
      </c>
      <c r="R905">
        <v>12.36</v>
      </c>
      <c r="S905">
        <v>196.21</v>
      </c>
    </row>
    <row r="906" spans="15:19">
      <c r="O906" t="s">
        <v>953</v>
      </c>
      <c r="P906" t="s">
        <v>134</v>
      </c>
      <c r="Q906" t="s">
        <v>975</v>
      </c>
      <c r="R906">
        <v>75.12</v>
      </c>
      <c r="S906">
        <v>273.66000000000003</v>
      </c>
    </row>
    <row r="907" spans="15:19">
      <c r="O907" t="s">
        <v>958</v>
      </c>
      <c r="P907" t="s">
        <v>161</v>
      </c>
      <c r="Q907" t="s">
        <v>975</v>
      </c>
      <c r="R907">
        <v>75.13</v>
      </c>
      <c r="S907">
        <v>190.4</v>
      </c>
    </row>
    <row r="908" spans="15:19">
      <c r="O908" t="s">
        <v>973</v>
      </c>
      <c r="P908" t="s">
        <v>176</v>
      </c>
      <c r="Q908" t="s">
        <v>975</v>
      </c>
      <c r="R908">
        <v>49.99</v>
      </c>
      <c r="S908">
        <v>214.47</v>
      </c>
    </row>
    <row r="909" spans="15:19">
      <c r="O909" t="s">
        <v>1099</v>
      </c>
      <c r="P909" t="s">
        <v>180</v>
      </c>
      <c r="Q909" t="s">
        <v>975</v>
      </c>
      <c r="R909">
        <v>25.05</v>
      </c>
      <c r="S909">
        <v>107.22</v>
      </c>
    </row>
    <row r="910" spans="15:19">
      <c r="O910" t="s">
        <v>1040</v>
      </c>
      <c r="P910" t="s">
        <v>181</v>
      </c>
      <c r="Q910" t="s">
        <v>975</v>
      </c>
      <c r="R910">
        <v>50.21</v>
      </c>
      <c r="S910">
        <v>218.37</v>
      </c>
    </row>
    <row r="911" spans="15:19">
      <c r="O911" t="s">
        <v>1045</v>
      </c>
      <c r="P911" t="s">
        <v>183</v>
      </c>
      <c r="Q911" t="s">
        <v>975</v>
      </c>
      <c r="R911">
        <v>25.06</v>
      </c>
      <c r="S911">
        <v>115.49</v>
      </c>
    </row>
    <row r="912" spans="15:19">
      <c r="O912" t="s">
        <v>1101</v>
      </c>
      <c r="P912" t="s">
        <v>189</v>
      </c>
      <c r="Q912" t="s">
        <v>975</v>
      </c>
      <c r="R912">
        <v>50.03</v>
      </c>
      <c r="S912">
        <v>152.41</v>
      </c>
    </row>
    <row r="913" spans="15:19">
      <c r="O913" t="s">
        <v>1050</v>
      </c>
      <c r="P913" t="s">
        <v>192</v>
      </c>
      <c r="Q913" t="s">
        <v>975</v>
      </c>
      <c r="R913">
        <v>49.89</v>
      </c>
      <c r="S913">
        <v>210.47</v>
      </c>
    </row>
    <row r="914" spans="15:19">
      <c r="O914" t="s">
        <v>1252</v>
      </c>
      <c r="P914" t="s">
        <v>200</v>
      </c>
      <c r="Q914" t="s">
        <v>975</v>
      </c>
      <c r="R914">
        <v>99.69</v>
      </c>
      <c r="S914">
        <v>105.52</v>
      </c>
    </row>
    <row r="915" spans="15:19">
      <c r="O915" t="s">
        <v>1056</v>
      </c>
      <c r="P915" t="s">
        <v>201</v>
      </c>
      <c r="Q915" t="s">
        <v>975</v>
      </c>
      <c r="R915">
        <v>24.99</v>
      </c>
      <c r="S915">
        <v>165.79</v>
      </c>
    </row>
    <row r="916" spans="15:19">
      <c r="O916" t="s">
        <v>1107</v>
      </c>
      <c r="P916" t="s">
        <v>204</v>
      </c>
      <c r="Q916" t="s">
        <v>975</v>
      </c>
      <c r="R916">
        <v>100.11</v>
      </c>
      <c r="S916">
        <v>104.53</v>
      </c>
    </row>
    <row r="917" spans="15:19">
      <c r="O917" t="s">
        <v>1061</v>
      </c>
      <c r="P917" t="s">
        <v>210</v>
      </c>
      <c r="Q917" t="s">
        <v>975</v>
      </c>
      <c r="R917">
        <v>50.02</v>
      </c>
      <c r="S917">
        <v>144.34</v>
      </c>
    </row>
    <row r="918" spans="15:19">
      <c r="O918" t="s">
        <v>1067</v>
      </c>
      <c r="P918" t="s">
        <v>212</v>
      </c>
      <c r="Q918" t="s">
        <v>975</v>
      </c>
      <c r="R918">
        <v>50.1</v>
      </c>
      <c r="S918">
        <v>212.59</v>
      </c>
    </row>
    <row r="919" spans="15:19">
      <c r="O919" t="s">
        <v>1070</v>
      </c>
      <c r="P919" t="s">
        <v>213</v>
      </c>
      <c r="Q919" t="s">
        <v>975</v>
      </c>
      <c r="R919">
        <v>50</v>
      </c>
      <c r="S919">
        <v>152.91</v>
      </c>
    </row>
    <row r="920" spans="15:19">
      <c r="O920" t="s">
        <v>1071</v>
      </c>
      <c r="P920" t="s">
        <v>215</v>
      </c>
      <c r="Q920" t="s">
        <v>975</v>
      </c>
      <c r="R920">
        <v>56.59</v>
      </c>
      <c r="S920">
        <v>213.77</v>
      </c>
    </row>
    <row r="921" spans="15:19">
      <c r="O921" t="s">
        <v>992</v>
      </c>
      <c r="P921" t="s">
        <v>216</v>
      </c>
      <c r="Q921" t="s">
        <v>975</v>
      </c>
      <c r="R921">
        <v>49.96</v>
      </c>
      <c r="S921">
        <v>114.72</v>
      </c>
    </row>
    <row r="922" spans="15:19">
      <c r="O922" t="s">
        <v>1074</v>
      </c>
      <c r="P922" t="s">
        <v>221</v>
      </c>
      <c r="Q922" t="s">
        <v>975</v>
      </c>
      <c r="R922">
        <v>100.75</v>
      </c>
      <c r="S922">
        <v>181.44</v>
      </c>
    </row>
    <row r="923" spans="15:19">
      <c r="O923" t="s">
        <v>999</v>
      </c>
      <c r="P923" t="s">
        <v>222</v>
      </c>
      <c r="Q923" t="s">
        <v>975</v>
      </c>
      <c r="R923">
        <v>97.62</v>
      </c>
      <c r="S923">
        <v>228.1</v>
      </c>
    </row>
    <row r="924" spans="15:19">
      <c r="O924" t="s">
        <v>1111</v>
      </c>
      <c r="P924" t="s">
        <v>65</v>
      </c>
      <c r="Q924" t="s">
        <v>966</v>
      </c>
      <c r="R924">
        <v>42.65</v>
      </c>
      <c r="S924">
        <v>128.09</v>
      </c>
    </row>
    <row r="925" spans="15:19">
      <c r="O925" t="s">
        <v>1076</v>
      </c>
      <c r="P925" t="s">
        <v>66</v>
      </c>
      <c r="Q925" t="s">
        <v>966</v>
      </c>
      <c r="R925">
        <v>274.25</v>
      </c>
      <c r="S925">
        <v>320.58999999999997</v>
      </c>
    </row>
    <row r="926" spans="15:19">
      <c r="O926" t="s">
        <v>1078</v>
      </c>
      <c r="P926" t="s">
        <v>68</v>
      </c>
      <c r="Q926" t="s">
        <v>966</v>
      </c>
      <c r="R926">
        <v>40.14</v>
      </c>
      <c r="S926">
        <v>215.32</v>
      </c>
    </row>
    <row r="927" spans="15:19">
      <c r="O927" t="s">
        <v>1081</v>
      </c>
      <c r="P927" t="s">
        <v>71</v>
      </c>
      <c r="Q927" t="s">
        <v>966</v>
      </c>
      <c r="R927">
        <v>80.680000000000007</v>
      </c>
      <c r="S927">
        <v>200.44</v>
      </c>
    </row>
    <row r="928" spans="15:19">
      <c r="O928" t="s">
        <v>1083</v>
      </c>
      <c r="P928" t="s">
        <v>74</v>
      </c>
      <c r="Q928" t="s">
        <v>966</v>
      </c>
      <c r="R928">
        <v>78.41</v>
      </c>
      <c r="S928">
        <v>236.71</v>
      </c>
    </row>
    <row r="929" spans="15:19">
      <c r="O929" t="s">
        <v>1112</v>
      </c>
      <c r="P929" t="s">
        <v>64</v>
      </c>
      <c r="Q929" t="s">
        <v>966</v>
      </c>
      <c r="R929">
        <v>40.58</v>
      </c>
      <c r="S929">
        <v>318.89</v>
      </c>
    </row>
    <row r="930" spans="15:19">
      <c r="O930" t="s">
        <v>1085</v>
      </c>
      <c r="P930" t="s">
        <v>76</v>
      </c>
      <c r="Q930" t="s">
        <v>966</v>
      </c>
      <c r="R930">
        <v>31.39</v>
      </c>
      <c r="S930">
        <v>176.71</v>
      </c>
    </row>
    <row r="931" spans="15:19">
      <c r="O931" t="s">
        <v>1087</v>
      </c>
      <c r="P931" t="s">
        <v>77</v>
      </c>
      <c r="Q931" t="s">
        <v>966</v>
      </c>
      <c r="R931">
        <v>74.83</v>
      </c>
      <c r="S931">
        <v>251.65</v>
      </c>
    </row>
    <row r="932" spans="15:19">
      <c r="O932" t="s">
        <v>1089</v>
      </c>
      <c r="P932" t="s">
        <v>79</v>
      </c>
      <c r="Q932" t="s">
        <v>966</v>
      </c>
      <c r="R932">
        <v>80.819999999999993</v>
      </c>
      <c r="S932">
        <v>300.56</v>
      </c>
    </row>
    <row r="933" spans="15:19">
      <c r="O933" t="s">
        <v>1113</v>
      </c>
      <c r="P933" t="s">
        <v>98</v>
      </c>
      <c r="Q933" t="s">
        <v>966</v>
      </c>
      <c r="R933">
        <v>81.03</v>
      </c>
      <c r="S933">
        <v>277.7</v>
      </c>
    </row>
    <row r="934" spans="15:19">
      <c r="O934" t="s">
        <v>1091</v>
      </c>
      <c r="P934" t="s">
        <v>99</v>
      </c>
      <c r="Q934" t="s">
        <v>966</v>
      </c>
      <c r="R934">
        <v>76.459999999999994</v>
      </c>
      <c r="S934">
        <v>289.62</v>
      </c>
    </row>
    <row r="935" spans="15:19">
      <c r="O935" t="s">
        <v>1220</v>
      </c>
      <c r="P935" t="s">
        <v>23</v>
      </c>
      <c r="Q935" t="s">
        <v>966</v>
      </c>
      <c r="R935">
        <v>37.99</v>
      </c>
      <c r="S935">
        <v>225.48</v>
      </c>
    </row>
    <row r="936" spans="15:19">
      <c r="O936" t="s">
        <v>1133</v>
      </c>
      <c r="P936" t="s">
        <v>43</v>
      </c>
      <c r="Q936" t="s">
        <v>966</v>
      </c>
      <c r="R936">
        <v>49.59</v>
      </c>
      <c r="S936">
        <v>153.57</v>
      </c>
    </row>
    <row r="937" spans="15:19">
      <c r="O937" t="s">
        <v>1145</v>
      </c>
      <c r="P937" t="s">
        <v>59</v>
      </c>
      <c r="Q937" t="s">
        <v>966</v>
      </c>
      <c r="R937">
        <v>38.049999999999997</v>
      </c>
      <c r="S937">
        <v>185.67</v>
      </c>
    </row>
    <row r="938" spans="15:19">
      <c r="O938" t="s">
        <v>1098</v>
      </c>
      <c r="P938" t="s">
        <v>175</v>
      </c>
      <c r="Q938" t="s">
        <v>966</v>
      </c>
      <c r="R938">
        <v>80.540000000000006</v>
      </c>
      <c r="S938">
        <v>149.05000000000001</v>
      </c>
    </row>
    <row r="939" spans="15:19">
      <c r="O939" t="s">
        <v>1099</v>
      </c>
      <c r="P939" t="s">
        <v>180</v>
      </c>
      <c r="Q939" t="s">
        <v>966</v>
      </c>
      <c r="R939">
        <v>76.41</v>
      </c>
      <c r="S939">
        <v>148.41999999999999</v>
      </c>
    </row>
    <row r="940" spans="15:19">
      <c r="O940" t="s">
        <v>1045</v>
      </c>
      <c r="P940" t="s">
        <v>183</v>
      </c>
      <c r="Q940" t="s">
        <v>966</v>
      </c>
      <c r="R940">
        <v>80.89</v>
      </c>
      <c r="S940">
        <v>150.81</v>
      </c>
    </row>
    <row r="941" spans="15:19">
      <c r="O941" t="s">
        <v>1102</v>
      </c>
      <c r="P941" t="s">
        <v>190</v>
      </c>
      <c r="Q941" t="s">
        <v>966</v>
      </c>
      <c r="R941">
        <v>121.18</v>
      </c>
      <c r="S941">
        <v>208.18</v>
      </c>
    </row>
    <row r="942" spans="15:19">
      <c r="O942" t="s">
        <v>1103</v>
      </c>
      <c r="P942" t="s">
        <v>191</v>
      </c>
      <c r="Q942" t="s">
        <v>966</v>
      </c>
      <c r="R942">
        <v>76.23</v>
      </c>
      <c r="S942">
        <v>271.039999999999</v>
      </c>
    </row>
    <row r="943" spans="15:19">
      <c r="O943" t="s">
        <v>1050</v>
      </c>
      <c r="P943" t="s">
        <v>192</v>
      </c>
      <c r="Q943" t="s">
        <v>966</v>
      </c>
      <c r="R943">
        <v>204.37</v>
      </c>
      <c r="S943">
        <v>235.32</v>
      </c>
    </row>
    <row r="944" spans="15:19">
      <c r="O944" t="s">
        <v>1258</v>
      </c>
      <c r="P944" t="s">
        <v>194</v>
      </c>
      <c r="Q944" t="s">
        <v>966</v>
      </c>
      <c r="R944">
        <v>80.92</v>
      </c>
      <c r="S944">
        <v>148.86000000000001</v>
      </c>
    </row>
    <row r="945" spans="15:19">
      <c r="O945" t="s">
        <v>1104</v>
      </c>
      <c r="P945" t="s">
        <v>195</v>
      </c>
      <c r="Q945" t="s">
        <v>966</v>
      </c>
      <c r="R945">
        <v>76.61</v>
      </c>
      <c r="S945">
        <v>181.14</v>
      </c>
    </row>
    <row r="946" spans="15:19">
      <c r="O946" t="s">
        <v>1105</v>
      </c>
      <c r="P946" t="s">
        <v>197</v>
      </c>
      <c r="Q946" t="s">
        <v>966</v>
      </c>
      <c r="R946">
        <v>40.450000000000003</v>
      </c>
      <c r="S946">
        <v>155.63999999999999</v>
      </c>
    </row>
    <row r="947" spans="15:19">
      <c r="O947" t="s">
        <v>1106</v>
      </c>
      <c r="P947" t="s">
        <v>198</v>
      </c>
      <c r="Q947" t="s">
        <v>966</v>
      </c>
      <c r="R947">
        <v>121.1</v>
      </c>
      <c r="S947">
        <v>249</v>
      </c>
    </row>
    <row r="948" spans="15:19">
      <c r="O948" t="s">
        <v>1259</v>
      </c>
      <c r="P948" t="s">
        <v>199</v>
      </c>
      <c r="Q948" t="s">
        <v>966</v>
      </c>
      <c r="R948">
        <v>161.33000000000001</v>
      </c>
      <c r="S948">
        <v>195.32</v>
      </c>
    </row>
    <row r="949" spans="15:19">
      <c r="O949" t="s">
        <v>1123</v>
      </c>
      <c r="P949" t="s">
        <v>209</v>
      </c>
      <c r="Q949" t="s">
        <v>966</v>
      </c>
      <c r="R949">
        <v>24.84</v>
      </c>
      <c r="S949">
        <v>240.85</v>
      </c>
    </row>
    <row r="950" spans="15:19">
      <c r="O950" t="s">
        <v>1061</v>
      </c>
      <c r="P950" t="s">
        <v>210</v>
      </c>
      <c r="Q950" t="s">
        <v>966</v>
      </c>
      <c r="R950">
        <v>121.22</v>
      </c>
      <c r="S950">
        <v>189.76</v>
      </c>
    </row>
    <row r="951" spans="15:19">
      <c r="O951" t="s">
        <v>1064</v>
      </c>
      <c r="P951" t="s">
        <v>211</v>
      </c>
      <c r="Q951" t="s">
        <v>966</v>
      </c>
      <c r="R951">
        <v>40.229999999999997</v>
      </c>
      <c r="S951">
        <v>190.57</v>
      </c>
    </row>
    <row r="952" spans="15:19">
      <c r="O952" t="s">
        <v>1110</v>
      </c>
      <c r="P952" t="s">
        <v>214</v>
      </c>
      <c r="Q952" t="s">
        <v>966</v>
      </c>
      <c r="R952">
        <v>40.29</v>
      </c>
      <c r="S952">
        <v>148.21</v>
      </c>
    </row>
    <row r="953" spans="15:19">
      <c r="O953" t="s">
        <v>1177</v>
      </c>
      <c r="P953" t="s">
        <v>387</v>
      </c>
      <c r="Q953" t="s">
        <v>966</v>
      </c>
      <c r="R953">
        <v>33.6</v>
      </c>
      <c r="S953">
        <v>122.57</v>
      </c>
    </row>
    <row r="954" spans="15:19">
      <c r="O954" t="s">
        <v>1111</v>
      </c>
      <c r="P954" t="s">
        <v>65</v>
      </c>
      <c r="Q954" t="s">
        <v>966</v>
      </c>
      <c r="R954">
        <v>120.15</v>
      </c>
      <c r="S954">
        <v>301.69</v>
      </c>
    </row>
    <row r="955" spans="15:19">
      <c r="O955" t="s">
        <v>1076</v>
      </c>
      <c r="P955" t="s">
        <v>66</v>
      </c>
      <c r="Q955" t="s">
        <v>966</v>
      </c>
      <c r="R955">
        <v>76.05</v>
      </c>
      <c r="S955">
        <v>250.8</v>
      </c>
    </row>
    <row r="956" spans="15:19">
      <c r="O956" t="s">
        <v>1078</v>
      </c>
      <c r="P956" t="s">
        <v>68</v>
      </c>
      <c r="Q956" t="s">
        <v>966</v>
      </c>
      <c r="R956">
        <v>76.14</v>
      </c>
      <c r="S956">
        <v>264.14</v>
      </c>
    </row>
    <row r="957" spans="15:19">
      <c r="O957" t="s">
        <v>1079</v>
      </c>
      <c r="P957" t="s">
        <v>69</v>
      </c>
      <c r="Q957" t="s">
        <v>966</v>
      </c>
      <c r="R957">
        <v>38.06</v>
      </c>
      <c r="S957">
        <v>74.569999999999993</v>
      </c>
    </row>
    <row r="958" spans="15:19">
      <c r="O958" t="s">
        <v>1080</v>
      </c>
      <c r="P958" t="s">
        <v>70</v>
      </c>
      <c r="Q958" t="s">
        <v>966</v>
      </c>
      <c r="R958">
        <v>37.979999999999997</v>
      </c>
      <c r="S958">
        <v>247.26</v>
      </c>
    </row>
    <row r="959" spans="15:19">
      <c r="O959" t="s">
        <v>1081</v>
      </c>
      <c r="P959" t="s">
        <v>71</v>
      </c>
      <c r="Q959" t="s">
        <v>966</v>
      </c>
      <c r="R959">
        <v>37.869999999999997</v>
      </c>
      <c r="S959">
        <v>273.76</v>
      </c>
    </row>
    <row r="960" spans="15:19">
      <c r="O960" t="s">
        <v>1082</v>
      </c>
      <c r="P960" t="s">
        <v>72</v>
      </c>
      <c r="Q960" t="s">
        <v>966</v>
      </c>
      <c r="R960">
        <v>38.130000000000003</v>
      </c>
      <c r="S960">
        <v>184.35999999999899</v>
      </c>
    </row>
    <row r="961" spans="15:19">
      <c r="O961" t="s">
        <v>1124</v>
      </c>
      <c r="P961" t="s">
        <v>73</v>
      </c>
      <c r="Q961" t="s">
        <v>966</v>
      </c>
      <c r="R961">
        <v>38.299999999999997</v>
      </c>
      <c r="S961">
        <v>113.06</v>
      </c>
    </row>
    <row r="962" spans="15:19">
      <c r="O962" t="s">
        <v>1084</v>
      </c>
      <c r="P962" t="s">
        <v>75</v>
      </c>
      <c r="Q962" t="s">
        <v>966</v>
      </c>
      <c r="R962">
        <v>152.04</v>
      </c>
      <c r="S962">
        <v>332.61</v>
      </c>
    </row>
    <row r="963" spans="15:19">
      <c r="O963" t="s">
        <v>1086</v>
      </c>
      <c r="P963" t="s">
        <v>37</v>
      </c>
      <c r="Q963" t="s">
        <v>966</v>
      </c>
      <c r="R963">
        <v>76.209999999999994</v>
      </c>
      <c r="S963">
        <v>203.32</v>
      </c>
    </row>
    <row r="964" spans="15:19">
      <c r="O964" t="s">
        <v>1087</v>
      </c>
      <c r="P964" t="s">
        <v>77</v>
      </c>
      <c r="Q964" t="s">
        <v>966</v>
      </c>
      <c r="R964">
        <v>76.03</v>
      </c>
      <c r="S964">
        <v>77.5</v>
      </c>
    </row>
    <row r="965" spans="15:19">
      <c r="O965" t="s">
        <v>1088</v>
      </c>
      <c r="P965" t="s">
        <v>47</v>
      </c>
      <c r="Q965" t="s">
        <v>966</v>
      </c>
      <c r="R965">
        <v>38.26</v>
      </c>
      <c r="S965">
        <v>222.55</v>
      </c>
    </row>
    <row r="966" spans="15:19">
      <c r="O966" t="s">
        <v>1089</v>
      </c>
      <c r="P966" t="s">
        <v>79</v>
      </c>
      <c r="Q966" t="s">
        <v>966</v>
      </c>
      <c r="R966">
        <v>38.06</v>
      </c>
      <c r="S966">
        <v>230.67</v>
      </c>
    </row>
    <row r="967" spans="15:19">
      <c r="O967" t="s">
        <v>1090</v>
      </c>
      <c r="P967" t="s">
        <v>95</v>
      </c>
      <c r="Q967" t="s">
        <v>966</v>
      </c>
      <c r="R967">
        <v>83.63</v>
      </c>
      <c r="S967">
        <v>184.57</v>
      </c>
    </row>
    <row r="968" spans="15:19">
      <c r="O968" t="s">
        <v>1149</v>
      </c>
      <c r="P968" t="s">
        <v>90</v>
      </c>
      <c r="Q968" t="s">
        <v>966</v>
      </c>
      <c r="R968">
        <v>37.9</v>
      </c>
      <c r="S968">
        <v>65.289999999999907</v>
      </c>
    </row>
    <row r="969" spans="15:19">
      <c r="O969" t="s">
        <v>1113</v>
      </c>
      <c r="P969" t="s">
        <v>98</v>
      </c>
      <c r="Q969" t="s">
        <v>966</v>
      </c>
      <c r="R969">
        <v>114.27</v>
      </c>
      <c r="S969">
        <v>167.33</v>
      </c>
    </row>
    <row r="970" spans="15:19">
      <c r="O970" t="s">
        <v>1091</v>
      </c>
      <c r="P970" t="s">
        <v>99</v>
      </c>
      <c r="Q970" t="s">
        <v>966</v>
      </c>
      <c r="R970">
        <v>114.22</v>
      </c>
      <c r="S970">
        <v>176.87</v>
      </c>
    </row>
    <row r="971" spans="15:19">
      <c r="O971" t="s">
        <v>1128</v>
      </c>
      <c r="P971" t="s">
        <v>105</v>
      </c>
      <c r="Q971" t="s">
        <v>966</v>
      </c>
      <c r="R971">
        <v>37.96</v>
      </c>
      <c r="S971">
        <v>249.51</v>
      </c>
    </row>
    <row r="972" spans="15:19">
      <c r="O972" t="s">
        <v>1136</v>
      </c>
      <c r="P972" t="s">
        <v>109</v>
      </c>
      <c r="Q972" t="s">
        <v>966</v>
      </c>
      <c r="R972">
        <v>40.56</v>
      </c>
      <c r="S972">
        <v>247.63</v>
      </c>
    </row>
    <row r="973" spans="15:19">
      <c r="O973" t="s">
        <v>1137</v>
      </c>
      <c r="P973" t="s">
        <v>49</v>
      </c>
      <c r="Q973" t="s">
        <v>966</v>
      </c>
      <c r="R973">
        <v>38.01</v>
      </c>
      <c r="S973">
        <v>267.56</v>
      </c>
    </row>
    <row r="974" spans="15:19">
      <c r="O974" t="s">
        <v>955</v>
      </c>
      <c r="P974" t="s">
        <v>158</v>
      </c>
      <c r="Q974" t="s">
        <v>966</v>
      </c>
      <c r="R974">
        <v>37.770000000000003</v>
      </c>
      <c r="S974">
        <v>227.77</v>
      </c>
    </row>
    <row r="975" spans="15:19">
      <c r="O975" t="s">
        <v>958</v>
      </c>
      <c r="P975" t="s">
        <v>161</v>
      </c>
      <c r="Q975" t="s">
        <v>966</v>
      </c>
      <c r="R975">
        <v>75.91</v>
      </c>
      <c r="S975">
        <v>190.4</v>
      </c>
    </row>
    <row r="976" spans="15:19">
      <c r="O976" t="s">
        <v>976</v>
      </c>
      <c r="P976" t="s">
        <v>178</v>
      </c>
      <c r="Q976" t="s">
        <v>966</v>
      </c>
      <c r="R976">
        <v>190.45</v>
      </c>
      <c r="S976">
        <v>231.60999999999899</v>
      </c>
    </row>
    <row r="977" spans="15:19">
      <c r="O977" t="s">
        <v>1119</v>
      </c>
      <c r="P977" t="s">
        <v>184</v>
      </c>
      <c r="Q977" t="s">
        <v>966</v>
      </c>
      <c r="R977">
        <v>76.16</v>
      </c>
      <c r="S977">
        <v>193.06</v>
      </c>
    </row>
    <row r="978" spans="15:19">
      <c r="O978" t="s">
        <v>1120</v>
      </c>
      <c r="P978" t="s">
        <v>187</v>
      </c>
      <c r="Q978" t="s">
        <v>966</v>
      </c>
      <c r="R978">
        <v>38.19</v>
      </c>
      <c r="S978">
        <v>236.73999999999899</v>
      </c>
    </row>
    <row r="979" spans="15:19">
      <c r="O979" t="s">
        <v>1121</v>
      </c>
      <c r="P979" t="s">
        <v>193</v>
      </c>
      <c r="Q979" t="s">
        <v>966</v>
      </c>
      <c r="R979">
        <v>114.1</v>
      </c>
      <c r="S979">
        <v>269.64</v>
      </c>
    </row>
    <row r="980" spans="15:19">
      <c r="O980" t="s">
        <v>1104</v>
      </c>
      <c r="P980" t="s">
        <v>195</v>
      </c>
      <c r="Q980" t="s">
        <v>966</v>
      </c>
      <c r="R980">
        <v>38.11</v>
      </c>
      <c r="S980">
        <v>113.14</v>
      </c>
    </row>
    <row r="981" spans="15:19">
      <c r="O981" t="s">
        <v>1105</v>
      </c>
      <c r="P981" t="s">
        <v>197</v>
      </c>
      <c r="Q981" t="s">
        <v>966</v>
      </c>
      <c r="R981">
        <v>76.06</v>
      </c>
      <c r="S981">
        <v>228.75</v>
      </c>
    </row>
    <row r="982" spans="15:19">
      <c r="O982" t="s">
        <v>1106</v>
      </c>
      <c r="P982" t="s">
        <v>198</v>
      </c>
      <c r="Q982" t="s">
        <v>966</v>
      </c>
      <c r="R982">
        <v>113.84</v>
      </c>
      <c r="S982">
        <v>261.95999999999998</v>
      </c>
    </row>
    <row r="983" spans="15:19">
      <c r="O983" t="s">
        <v>989</v>
      </c>
      <c r="P983" t="s">
        <v>203</v>
      </c>
      <c r="Q983" t="s">
        <v>966</v>
      </c>
      <c r="R983">
        <v>6.21</v>
      </c>
      <c r="S983">
        <v>145.72</v>
      </c>
    </row>
    <row r="984" spans="15:19">
      <c r="O984" t="s">
        <v>1295</v>
      </c>
      <c r="P984" t="s">
        <v>205</v>
      </c>
      <c r="Q984" t="s">
        <v>966</v>
      </c>
      <c r="R984">
        <v>114.23</v>
      </c>
      <c r="S984">
        <v>223.41</v>
      </c>
    </row>
    <row r="985" spans="15:19">
      <c r="O985" t="s">
        <v>1122</v>
      </c>
      <c r="P985" t="s">
        <v>206</v>
      </c>
      <c r="Q985" t="s">
        <v>966</v>
      </c>
      <c r="R985">
        <v>158.4</v>
      </c>
      <c r="S985">
        <v>269.63</v>
      </c>
    </row>
    <row r="986" spans="15:19">
      <c r="O986" t="s">
        <v>1109</v>
      </c>
      <c r="P986" t="s">
        <v>208</v>
      </c>
      <c r="Q986" t="s">
        <v>966</v>
      </c>
      <c r="R986">
        <v>76.260000000000005</v>
      </c>
      <c r="S986">
        <v>234.83</v>
      </c>
    </row>
    <row r="987" spans="15:19">
      <c r="O987" t="s">
        <v>1123</v>
      </c>
      <c r="P987" t="s">
        <v>209</v>
      </c>
      <c r="Q987" t="s">
        <v>966</v>
      </c>
      <c r="R987">
        <v>114.43</v>
      </c>
      <c r="S987">
        <v>263.14999999999998</v>
      </c>
    </row>
    <row r="988" spans="15:19">
      <c r="O988" t="s">
        <v>995</v>
      </c>
      <c r="P988" t="s">
        <v>217</v>
      </c>
      <c r="Q988" t="s">
        <v>966</v>
      </c>
      <c r="R988">
        <v>38.06</v>
      </c>
      <c r="S988">
        <v>252.81</v>
      </c>
    </row>
    <row r="989" spans="15:19">
      <c r="O989" t="s">
        <v>997</v>
      </c>
      <c r="P989" t="s">
        <v>220</v>
      </c>
      <c r="Q989" t="s">
        <v>966</v>
      </c>
      <c r="R989">
        <v>76.290000000000006</v>
      </c>
      <c r="S989">
        <v>203.03</v>
      </c>
    </row>
    <row r="990" spans="15:19">
      <c r="O990" t="s">
        <v>1075</v>
      </c>
      <c r="P990" t="s">
        <v>63</v>
      </c>
      <c r="Q990" t="s">
        <v>1314</v>
      </c>
      <c r="R990">
        <v>36.35</v>
      </c>
      <c r="S990">
        <v>140.67999999999901</v>
      </c>
    </row>
    <row r="991" spans="15:19">
      <c r="O991" t="s">
        <v>1076</v>
      </c>
      <c r="P991" t="s">
        <v>66</v>
      </c>
      <c r="Q991" t="s">
        <v>1314</v>
      </c>
      <c r="R991">
        <v>30.41</v>
      </c>
      <c r="S991">
        <v>320.58999999999997</v>
      </c>
    </row>
    <row r="992" spans="15:19">
      <c r="O992" t="s">
        <v>1080</v>
      </c>
      <c r="P992" t="s">
        <v>70</v>
      </c>
      <c r="Q992" t="s">
        <v>1314</v>
      </c>
      <c r="R992">
        <v>22.15</v>
      </c>
      <c r="S992">
        <v>150.43</v>
      </c>
    </row>
    <row r="993" spans="15:19">
      <c r="O993" t="s">
        <v>1081</v>
      </c>
      <c r="P993" t="s">
        <v>71</v>
      </c>
      <c r="Q993" t="s">
        <v>1314</v>
      </c>
      <c r="R993">
        <v>13.93</v>
      </c>
      <c r="S993">
        <v>200.44</v>
      </c>
    </row>
    <row r="994" spans="15:19">
      <c r="O994" t="s">
        <v>1112</v>
      </c>
      <c r="P994" t="s">
        <v>64</v>
      </c>
      <c r="Q994" t="s">
        <v>1314</v>
      </c>
      <c r="R994">
        <v>109.06</v>
      </c>
      <c r="S994">
        <v>318.89</v>
      </c>
    </row>
    <row r="995" spans="15:19">
      <c r="O995" t="s">
        <v>1085</v>
      </c>
      <c r="P995" t="s">
        <v>76</v>
      </c>
      <c r="Q995" t="s">
        <v>1314</v>
      </c>
      <c r="R995">
        <v>72.510000000000005</v>
      </c>
      <c r="S995">
        <v>176.71</v>
      </c>
    </row>
    <row r="996" spans="15:19">
      <c r="O996" t="s">
        <v>1089</v>
      </c>
      <c r="P996" t="s">
        <v>79</v>
      </c>
      <c r="Q996" t="s">
        <v>1314</v>
      </c>
      <c r="R996">
        <v>36.32</v>
      </c>
      <c r="S996">
        <v>300.56</v>
      </c>
    </row>
    <row r="997" spans="15:19">
      <c r="O997" t="s">
        <v>1113</v>
      </c>
      <c r="P997" t="s">
        <v>98</v>
      </c>
      <c r="Q997" t="s">
        <v>1314</v>
      </c>
      <c r="R997">
        <v>98.72</v>
      </c>
      <c r="S997">
        <v>277.7</v>
      </c>
    </row>
    <row r="998" spans="15:19">
      <c r="O998" t="s">
        <v>1091</v>
      </c>
      <c r="P998" t="s">
        <v>99</v>
      </c>
      <c r="Q998" t="s">
        <v>1314</v>
      </c>
      <c r="R998">
        <v>143.01</v>
      </c>
      <c r="S998">
        <v>289.62</v>
      </c>
    </row>
    <row r="999" spans="15:19">
      <c r="O999" t="s">
        <v>1145</v>
      </c>
      <c r="P999" t="s">
        <v>59</v>
      </c>
      <c r="Q999" t="s">
        <v>1314</v>
      </c>
      <c r="R999">
        <v>10.33</v>
      </c>
      <c r="S999">
        <v>185.67</v>
      </c>
    </row>
    <row r="1000" spans="15:19">
      <c r="O1000" t="s">
        <v>1120</v>
      </c>
      <c r="P1000" t="s">
        <v>187</v>
      </c>
      <c r="Q1000" t="s">
        <v>1314</v>
      </c>
      <c r="R1000">
        <v>17.97</v>
      </c>
      <c r="S1000">
        <v>153.99</v>
      </c>
    </row>
    <row r="1001" spans="15:19">
      <c r="O1001" t="s">
        <v>1101</v>
      </c>
      <c r="P1001" t="s">
        <v>189</v>
      </c>
      <c r="Q1001" t="s">
        <v>1314</v>
      </c>
      <c r="R1001">
        <v>36.340000000000003</v>
      </c>
      <c r="S1001">
        <v>143.19</v>
      </c>
    </row>
    <row r="1002" spans="15:19">
      <c r="O1002" t="s">
        <v>997</v>
      </c>
      <c r="P1002" t="s">
        <v>220</v>
      </c>
      <c r="Q1002" t="s">
        <v>1314</v>
      </c>
      <c r="R1002">
        <v>22.15</v>
      </c>
      <c r="S1002">
        <v>167.43</v>
      </c>
    </row>
    <row r="1003" spans="15:19">
      <c r="O1003" t="s">
        <v>1315</v>
      </c>
      <c r="P1003" t="s">
        <v>62</v>
      </c>
      <c r="Q1003" t="s">
        <v>1314</v>
      </c>
      <c r="R1003">
        <v>108.92</v>
      </c>
      <c r="S1003">
        <v>108.92</v>
      </c>
    </row>
    <row r="1004" spans="15:19">
      <c r="O1004" t="s">
        <v>1075</v>
      </c>
      <c r="P1004" t="s">
        <v>63</v>
      </c>
      <c r="Q1004" t="s">
        <v>1314</v>
      </c>
      <c r="R1004">
        <v>66.959999999999994</v>
      </c>
      <c r="S1004">
        <v>284.70999999999998</v>
      </c>
    </row>
    <row r="1005" spans="15:19">
      <c r="O1005" t="s">
        <v>1111</v>
      </c>
      <c r="P1005" t="s">
        <v>65</v>
      </c>
      <c r="Q1005" t="s">
        <v>1314</v>
      </c>
      <c r="R1005">
        <v>108.71</v>
      </c>
      <c r="S1005">
        <v>301.69</v>
      </c>
    </row>
    <row r="1006" spans="15:19">
      <c r="O1006" t="s">
        <v>1076</v>
      </c>
      <c r="P1006" t="s">
        <v>66</v>
      </c>
      <c r="Q1006" t="s">
        <v>1314</v>
      </c>
      <c r="R1006">
        <v>3.92</v>
      </c>
      <c r="S1006">
        <v>250.8</v>
      </c>
    </row>
    <row r="1007" spans="15:19">
      <c r="O1007" t="s">
        <v>1080</v>
      </c>
      <c r="P1007" t="s">
        <v>70</v>
      </c>
      <c r="Q1007" t="s">
        <v>1314</v>
      </c>
      <c r="R1007">
        <v>109.05</v>
      </c>
      <c r="S1007">
        <v>247.26</v>
      </c>
    </row>
    <row r="1008" spans="15:19">
      <c r="O1008" t="s">
        <v>1081</v>
      </c>
      <c r="P1008" t="s">
        <v>71</v>
      </c>
      <c r="Q1008" t="s">
        <v>1314</v>
      </c>
      <c r="R1008">
        <v>56.8</v>
      </c>
      <c r="S1008">
        <v>273.76</v>
      </c>
    </row>
    <row r="1009" spans="15:19">
      <c r="O1009" t="s">
        <v>1083</v>
      </c>
      <c r="P1009" t="s">
        <v>74</v>
      </c>
      <c r="Q1009" t="s">
        <v>1314</v>
      </c>
      <c r="R1009">
        <v>18.21</v>
      </c>
      <c r="S1009">
        <v>252.48</v>
      </c>
    </row>
    <row r="1010" spans="15:19">
      <c r="O1010" t="s">
        <v>1112</v>
      </c>
      <c r="P1010" t="s">
        <v>64</v>
      </c>
      <c r="Q1010" t="s">
        <v>1314</v>
      </c>
      <c r="R1010">
        <v>36.229999999999997</v>
      </c>
      <c r="S1010">
        <v>213.79999999999899</v>
      </c>
    </row>
    <row r="1011" spans="15:19">
      <c r="O1011" t="s">
        <v>1084</v>
      </c>
      <c r="P1011" t="s">
        <v>75</v>
      </c>
      <c r="Q1011" t="s">
        <v>1314</v>
      </c>
      <c r="R1011">
        <v>109.31</v>
      </c>
      <c r="S1011">
        <v>332.61</v>
      </c>
    </row>
    <row r="1012" spans="15:19">
      <c r="O1012" t="s">
        <v>1085</v>
      </c>
      <c r="P1012" t="s">
        <v>76</v>
      </c>
      <c r="Q1012" t="s">
        <v>1314</v>
      </c>
      <c r="R1012">
        <v>34.700000000000003</v>
      </c>
      <c r="S1012">
        <v>271.24</v>
      </c>
    </row>
    <row r="1013" spans="15:19">
      <c r="O1013" t="s">
        <v>1086</v>
      </c>
      <c r="P1013" t="s">
        <v>37</v>
      </c>
      <c r="Q1013" t="s">
        <v>1314</v>
      </c>
      <c r="R1013">
        <v>38.15</v>
      </c>
      <c r="S1013">
        <v>203.32</v>
      </c>
    </row>
    <row r="1014" spans="15:19">
      <c r="O1014" t="s">
        <v>1088</v>
      </c>
      <c r="P1014" t="s">
        <v>47</v>
      </c>
      <c r="Q1014" t="s">
        <v>1314</v>
      </c>
      <c r="R1014">
        <v>36.299999999999997</v>
      </c>
      <c r="S1014">
        <v>222.55</v>
      </c>
    </row>
    <row r="1015" spans="15:19">
      <c r="O1015" t="s">
        <v>1089</v>
      </c>
      <c r="P1015" t="s">
        <v>79</v>
      </c>
      <c r="Q1015" t="s">
        <v>1314</v>
      </c>
      <c r="R1015">
        <v>22.1</v>
      </c>
      <c r="S1015">
        <v>230.67</v>
      </c>
    </row>
    <row r="1016" spans="15:19">
      <c r="O1016" t="s">
        <v>1113</v>
      </c>
      <c r="P1016" t="s">
        <v>98</v>
      </c>
      <c r="Q1016" t="s">
        <v>1314</v>
      </c>
      <c r="R1016">
        <v>8.01</v>
      </c>
      <c r="S1016">
        <v>167.33</v>
      </c>
    </row>
    <row r="1017" spans="15:19">
      <c r="O1017" t="s">
        <v>1116</v>
      </c>
      <c r="P1017" t="s">
        <v>53</v>
      </c>
      <c r="Q1017" t="s">
        <v>1314</v>
      </c>
      <c r="R1017">
        <v>24.18</v>
      </c>
      <c r="S1017">
        <v>232.5</v>
      </c>
    </row>
    <row r="1018" spans="15:19">
      <c r="O1018" t="s">
        <v>1120</v>
      </c>
      <c r="P1018" t="s">
        <v>187</v>
      </c>
      <c r="Q1018" t="s">
        <v>1314</v>
      </c>
      <c r="R1018">
        <v>14.26</v>
      </c>
      <c r="S1018">
        <v>236.73999999999899</v>
      </c>
    </row>
    <row r="1019" spans="15:19">
      <c r="O1019" t="s">
        <v>1123</v>
      </c>
      <c r="P1019" t="s">
        <v>209</v>
      </c>
      <c r="Q1019" t="s">
        <v>1314</v>
      </c>
      <c r="R1019">
        <v>15.93</v>
      </c>
      <c r="S1019">
        <v>263.14999999999998</v>
      </c>
    </row>
    <row r="1020" spans="15:19">
      <c r="O1020" t="s">
        <v>997</v>
      </c>
      <c r="P1020" t="s">
        <v>220</v>
      </c>
      <c r="Q1020" t="s">
        <v>1314</v>
      </c>
      <c r="R1020">
        <v>11.84</v>
      </c>
      <c r="S1020">
        <v>203.03</v>
      </c>
    </row>
    <row r="1021" spans="15:19">
      <c r="O1021" t="s">
        <v>1291</v>
      </c>
      <c r="P1021" t="s">
        <v>307</v>
      </c>
      <c r="Q1021" t="s">
        <v>1069</v>
      </c>
      <c r="R1021">
        <v>16.54</v>
      </c>
      <c r="S1021">
        <v>137.19</v>
      </c>
    </row>
    <row r="1022" spans="15:19">
      <c r="O1022" t="s">
        <v>1176</v>
      </c>
      <c r="P1022" t="s">
        <v>381</v>
      </c>
      <c r="Q1022" t="s">
        <v>1069</v>
      </c>
      <c r="R1022">
        <v>123.63</v>
      </c>
      <c r="S1022">
        <v>134.54</v>
      </c>
    </row>
    <row r="1023" spans="15:19">
      <c r="O1023" t="s">
        <v>1277</v>
      </c>
      <c r="P1023" t="s">
        <v>386</v>
      </c>
      <c r="Q1023" t="s">
        <v>1069</v>
      </c>
      <c r="R1023">
        <v>24.6</v>
      </c>
      <c r="S1023">
        <v>77.45</v>
      </c>
    </row>
    <row r="1024" spans="15:19">
      <c r="O1024" t="s">
        <v>1178</v>
      </c>
      <c r="P1024" t="s">
        <v>85</v>
      </c>
      <c r="Q1024" t="s">
        <v>1069</v>
      </c>
      <c r="R1024">
        <v>10.62</v>
      </c>
      <c r="S1024">
        <v>165.57999999999899</v>
      </c>
    </row>
    <row r="1025" spans="15:19">
      <c r="O1025" t="s">
        <v>1273</v>
      </c>
      <c r="P1025" t="s">
        <v>323</v>
      </c>
      <c r="Q1025" t="s">
        <v>1069</v>
      </c>
      <c r="R1025">
        <v>59.57</v>
      </c>
      <c r="S1025">
        <v>222.69</v>
      </c>
    </row>
    <row r="1026" spans="15:19">
      <c r="O1026" t="s">
        <v>1267</v>
      </c>
      <c r="P1026" t="s">
        <v>325</v>
      </c>
      <c r="Q1026" t="s">
        <v>1069</v>
      </c>
      <c r="R1026">
        <v>50.24</v>
      </c>
      <c r="S1026">
        <v>160.44999999999999</v>
      </c>
    </row>
    <row r="1027" spans="15:19">
      <c r="O1027" t="s">
        <v>1214</v>
      </c>
      <c r="P1027" t="s">
        <v>347</v>
      </c>
      <c r="Q1027" t="s">
        <v>1069</v>
      </c>
      <c r="R1027">
        <v>84.6</v>
      </c>
      <c r="S1027">
        <v>183.01999999999899</v>
      </c>
    </row>
    <row r="1028" spans="15:19">
      <c r="O1028" t="s">
        <v>1238</v>
      </c>
      <c r="P1028" t="s">
        <v>355</v>
      </c>
      <c r="Q1028" t="s">
        <v>1069</v>
      </c>
      <c r="R1028">
        <v>95.58</v>
      </c>
      <c r="S1028">
        <v>248.06</v>
      </c>
    </row>
    <row r="1029" spans="15:19">
      <c r="O1029" t="s">
        <v>1186</v>
      </c>
      <c r="P1029" t="s">
        <v>363</v>
      </c>
      <c r="Q1029" t="s">
        <v>1069</v>
      </c>
      <c r="R1029">
        <v>86.43</v>
      </c>
      <c r="S1029">
        <v>237.29</v>
      </c>
    </row>
    <row r="1030" spans="15:19">
      <c r="O1030" t="s">
        <v>1241</v>
      </c>
      <c r="P1030" t="s">
        <v>367</v>
      </c>
      <c r="Q1030" t="s">
        <v>1069</v>
      </c>
      <c r="R1030">
        <v>36.950000000000003</v>
      </c>
      <c r="S1030">
        <v>227.93</v>
      </c>
    </row>
    <row r="1031" spans="15:19">
      <c r="O1031" t="s">
        <v>1285</v>
      </c>
      <c r="P1031" t="s">
        <v>78</v>
      </c>
      <c r="Q1031" t="s">
        <v>1069</v>
      </c>
      <c r="R1031">
        <v>109.64</v>
      </c>
      <c r="S1031">
        <v>166.79</v>
      </c>
    </row>
    <row r="1032" spans="15:19">
      <c r="O1032" t="s">
        <v>1203</v>
      </c>
      <c r="P1032" t="s">
        <v>313</v>
      </c>
      <c r="Q1032" t="s">
        <v>1069</v>
      </c>
      <c r="R1032">
        <v>107.57</v>
      </c>
      <c r="S1032">
        <v>157.24</v>
      </c>
    </row>
    <row r="1033" spans="15:19">
      <c r="O1033" t="s">
        <v>1206</v>
      </c>
      <c r="P1033" t="s">
        <v>332</v>
      </c>
      <c r="Q1033" t="s">
        <v>1069</v>
      </c>
      <c r="R1033">
        <v>193.21</v>
      </c>
      <c r="S1033">
        <v>200.56</v>
      </c>
    </row>
    <row r="1034" spans="15:19">
      <c r="O1034" t="s">
        <v>1268</v>
      </c>
      <c r="P1034" t="s">
        <v>352</v>
      </c>
      <c r="Q1034" t="s">
        <v>1069</v>
      </c>
      <c r="R1034">
        <v>122.74</v>
      </c>
      <c r="S1034">
        <v>245.93</v>
      </c>
    </row>
    <row r="1035" spans="15:19">
      <c r="O1035" t="s">
        <v>1269</v>
      </c>
      <c r="P1035" t="s">
        <v>362</v>
      </c>
      <c r="Q1035" t="s">
        <v>1069</v>
      </c>
      <c r="R1035">
        <v>12.56</v>
      </c>
      <c r="S1035">
        <v>200.82999999999899</v>
      </c>
    </row>
    <row r="1036" spans="15:19">
      <c r="O1036" t="s">
        <v>1208</v>
      </c>
      <c r="P1036" t="s">
        <v>368</v>
      </c>
      <c r="Q1036" t="s">
        <v>1069</v>
      </c>
      <c r="R1036">
        <v>92.45</v>
      </c>
      <c r="S1036">
        <v>181.43</v>
      </c>
    </row>
    <row r="1037" spans="15:19">
      <c r="O1037" t="s">
        <v>1293</v>
      </c>
      <c r="P1037" t="s">
        <v>417</v>
      </c>
      <c r="Q1037" t="s">
        <v>1039</v>
      </c>
      <c r="R1037">
        <v>14.31</v>
      </c>
      <c r="S1037">
        <v>290.95</v>
      </c>
    </row>
    <row r="1038" spans="15:19">
      <c r="O1038" t="s">
        <v>1306</v>
      </c>
      <c r="P1038" t="s">
        <v>289</v>
      </c>
      <c r="Q1038" t="s">
        <v>1039</v>
      </c>
      <c r="R1038">
        <v>5.04</v>
      </c>
      <c r="S1038">
        <v>190.76</v>
      </c>
    </row>
    <row r="1039" spans="15:19">
      <c r="O1039" t="s">
        <v>1307</v>
      </c>
      <c r="P1039" t="s">
        <v>290</v>
      </c>
      <c r="Q1039" t="s">
        <v>1039</v>
      </c>
      <c r="R1039">
        <v>14.36</v>
      </c>
      <c r="S1039">
        <v>56.72</v>
      </c>
    </row>
    <row r="1040" spans="15:19">
      <c r="O1040" t="s">
        <v>1289</v>
      </c>
      <c r="P1040" t="s">
        <v>297</v>
      </c>
      <c r="Q1040" t="s">
        <v>1039</v>
      </c>
      <c r="R1040">
        <v>71.540000000000006</v>
      </c>
      <c r="S1040">
        <v>196.05</v>
      </c>
    </row>
    <row r="1041" spans="15:19">
      <c r="O1041" t="s">
        <v>1158</v>
      </c>
      <c r="P1041" t="s">
        <v>306</v>
      </c>
      <c r="Q1041" t="s">
        <v>1039</v>
      </c>
      <c r="R1041">
        <v>14.43</v>
      </c>
      <c r="S1041">
        <v>147.46</v>
      </c>
    </row>
    <row r="1042" spans="15:19">
      <c r="O1042" t="s">
        <v>1159</v>
      </c>
      <c r="P1042" t="s">
        <v>377</v>
      </c>
      <c r="Q1042" t="s">
        <v>1039</v>
      </c>
      <c r="R1042">
        <v>57.64</v>
      </c>
      <c r="S1042">
        <v>81.41</v>
      </c>
    </row>
    <row r="1043" spans="15:19">
      <c r="O1043" t="s">
        <v>1160</v>
      </c>
      <c r="P1043" t="s">
        <v>379</v>
      </c>
      <c r="Q1043" t="s">
        <v>1039</v>
      </c>
      <c r="R1043">
        <v>57.32</v>
      </c>
      <c r="S1043">
        <v>147.71</v>
      </c>
    </row>
    <row r="1044" spans="15:19">
      <c r="O1044" t="s">
        <v>1161</v>
      </c>
      <c r="P1044" t="s">
        <v>84</v>
      </c>
      <c r="Q1044" t="s">
        <v>1039</v>
      </c>
      <c r="R1044">
        <v>57.19</v>
      </c>
      <c r="S1044">
        <v>98.61</v>
      </c>
    </row>
    <row r="1045" spans="15:19">
      <c r="O1045" t="s">
        <v>1178</v>
      </c>
      <c r="P1045" t="s">
        <v>85</v>
      </c>
      <c r="Q1045" t="s">
        <v>1039</v>
      </c>
      <c r="R1045">
        <v>111.38</v>
      </c>
      <c r="S1045">
        <v>165.57999999999899</v>
      </c>
    </row>
    <row r="1046" spans="15:19">
      <c r="O1046" t="s">
        <v>1162</v>
      </c>
      <c r="P1046" t="s">
        <v>318</v>
      </c>
      <c r="Q1046" t="s">
        <v>1039</v>
      </c>
      <c r="R1046">
        <v>14.44</v>
      </c>
      <c r="S1046">
        <v>206.93</v>
      </c>
    </row>
    <row r="1047" spans="15:19">
      <c r="O1047" t="s">
        <v>1207</v>
      </c>
      <c r="P1047" t="s">
        <v>340</v>
      </c>
      <c r="Q1047" t="s">
        <v>1039</v>
      </c>
      <c r="R1047">
        <v>37.93</v>
      </c>
      <c r="S1047">
        <v>222.76999999999899</v>
      </c>
    </row>
    <row r="1048" spans="15:19">
      <c r="O1048" t="s">
        <v>1237</v>
      </c>
      <c r="P1048" t="s">
        <v>346</v>
      </c>
      <c r="Q1048" t="s">
        <v>1039</v>
      </c>
      <c r="R1048">
        <v>84.05</v>
      </c>
      <c r="S1048">
        <v>205.74</v>
      </c>
    </row>
    <row r="1049" spans="15:19">
      <c r="O1049" t="s">
        <v>1268</v>
      </c>
      <c r="P1049" t="s">
        <v>352</v>
      </c>
      <c r="Q1049" t="s">
        <v>1039</v>
      </c>
      <c r="R1049">
        <v>71.900000000000006</v>
      </c>
      <c r="S1049">
        <v>109.32</v>
      </c>
    </row>
    <row r="1050" spans="15:19">
      <c r="O1050" t="s">
        <v>1239</v>
      </c>
      <c r="P1050" t="s">
        <v>356</v>
      </c>
      <c r="Q1050" t="s">
        <v>1039</v>
      </c>
      <c r="R1050">
        <v>99.87</v>
      </c>
      <c r="S1050">
        <v>215.03</v>
      </c>
    </row>
    <row r="1051" spans="15:19">
      <c r="O1051" t="s">
        <v>1263</v>
      </c>
      <c r="P1051" t="s">
        <v>357</v>
      </c>
      <c r="Q1051" t="s">
        <v>1039</v>
      </c>
      <c r="R1051">
        <v>84.61</v>
      </c>
      <c r="S1051">
        <v>231.32</v>
      </c>
    </row>
    <row r="1052" spans="15:19">
      <c r="O1052" t="s">
        <v>1165</v>
      </c>
      <c r="P1052" t="s">
        <v>358</v>
      </c>
      <c r="Q1052" t="s">
        <v>1039</v>
      </c>
      <c r="R1052">
        <v>83.46</v>
      </c>
      <c r="S1052">
        <v>269.88</v>
      </c>
    </row>
    <row r="1053" spans="15:19">
      <c r="O1053" t="s">
        <v>1166</v>
      </c>
      <c r="P1053" t="s">
        <v>359</v>
      </c>
      <c r="Q1053" t="s">
        <v>1039</v>
      </c>
      <c r="R1053">
        <v>53.42</v>
      </c>
      <c r="S1053">
        <v>244.72</v>
      </c>
    </row>
    <row r="1054" spans="15:19">
      <c r="O1054" t="s">
        <v>1269</v>
      </c>
      <c r="P1054" t="s">
        <v>362</v>
      </c>
      <c r="Q1054" t="s">
        <v>1039</v>
      </c>
      <c r="R1054">
        <v>67.05</v>
      </c>
      <c r="S1054">
        <v>191.04</v>
      </c>
    </row>
    <row r="1055" spans="15:19">
      <c r="O1055" t="s">
        <v>1307</v>
      </c>
      <c r="P1055" t="s">
        <v>290</v>
      </c>
      <c r="Q1055" t="s">
        <v>1039</v>
      </c>
      <c r="R1055">
        <v>14.32</v>
      </c>
      <c r="S1055">
        <v>89.37</v>
      </c>
    </row>
    <row r="1056" spans="15:19">
      <c r="O1056" t="s">
        <v>1271</v>
      </c>
      <c r="P1056" t="s">
        <v>303</v>
      </c>
      <c r="Q1056" t="s">
        <v>1039</v>
      </c>
      <c r="R1056">
        <v>14.31</v>
      </c>
      <c r="S1056">
        <v>190.81</v>
      </c>
    </row>
    <row r="1057" spans="15:19">
      <c r="O1057" t="s">
        <v>1316</v>
      </c>
      <c r="P1057" t="s">
        <v>378</v>
      </c>
      <c r="Q1057" t="s">
        <v>1039</v>
      </c>
      <c r="R1057">
        <v>14.43</v>
      </c>
      <c r="S1057">
        <v>23.1</v>
      </c>
    </row>
    <row r="1058" spans="15:19">
      <c r="O1058" t="s">
        <v>1177</v>
      </c>
      <c r="P1058" t="s">
        <v>387</v>
      </c>
      <c r="Q1058" t="s">
        <v>1039</v>
      </c>
      <c r="R1058">
        <v>71.98</v>
      </c>
      <c r="S1058">
        <v>122.57</v>
      </c>
    </row>
    <row r="1059" spans="15:19">
      <c r="O1059" t="s">
        <v>1265</v>
      </c>
      <c r="P1059" t="s">
        <v>315</v>
      </c>
      <c r="Q1059" t="s">
        <v>1039</v>
      </c>
      <c r="R1059">
        <v>70.430000000000007</v>
      </c>
      <c r="S1059">
        <v>220.66</v>
      </c>
    </row>
    <row r="1060" spans="15:19">
      <c r="O1060" t="s">
        <v>1162</v>
      </c>
      <c r="P1060" t="s">
        <v>318</v>
      </c>
      <c r="Q1060" t="s">
        <v>1039</v>
      </c>
      <c r="R1060">
        <v>14.38</v>
      </c>
      <c r="S1060">
        <v>256.31</v>
      </c>
    </row>
    <row r="1061" spans="15:19">
      <c r="O1061" t="s">
        <v>1163</v>
      </c>
      <c r="P1061" t="s">
        <v>321</v>
      </c>
      <c r="Q1061" t="s">
        <v>1039</v>
      </c>
      <c r="R1061">
        <v>71.69</v>
      </c>
      <c r="S1061">
        <v>172.23999999999899</v>
      </c>
    </row>
    <row r="1062" spans="15:19">
      <c r="O1062" t="s">
        <v>1180</v>
      </c>
      <c r="P1062" t="s">
        <v>326</v>
      </c>
      <c r="Q1062" t="s">
        <v>1039</v>
      </c>
      <c r="R1062">
        <v>42.86</v>
      </c>
      <c r="S1062">
        <v>165.71</v>
      </c>
    </row>
    <row r="1063" spans="15:19">
      <c r="O1063" t="s">
        <v>1181</v>
      </c>
      <c r="P1063" t="s">
        <v>329</v>
      </c>
      <c r="Q1063" t="s">
        <v>1039</v>
      </c>
      <c r="R1063">
        <v>43.12</v>
      </c>
      <c r="S1063">
        <v>190.2</v>
      </c>
    </row>
    <row r="1064" spans="15:19">
      <c r="O1064" t="s">
        <v>1227</v>
      </c>
      <c r="P1064" t="s">
        <v>338</v>
      </c>
      <c r="Q1064" t="s">
        <v>1039</v>
      </c>
      <c r="R1064">
        <v>71.95</v>
      </c>
      <c r="S1064">
        <v>174.23</v>
      </c>
    </row>
    <row r="1065" spans="15:19">
      <c r="O1065" t="s">
        <v>1182</v>
      </c>
      <c r="P1065" t="s">
        <v>341</v>
      </c>
      <c r="Q1065" t="s">
        <v>1039</v>
      </c>
      <c r="R1065">
        <v>14.42</v>
      </c>
      <c r="S1065">
        <v>228.51</v>
      </c>
    </row>
    <row r="1066" spans="15:19">
      <c r="O1066" t="s">
        <v>1184</v>
      </c>
      <c r="P1066" t="s">
        <v>353</v>
      </c>
      <c r="Q1066" t="s">
        <v>1039</v>
      </c>
      <c r="R1066">
        <v>158.46</v>
      </c>
      <c r="S1066">
        <v>192.64</v>
      </c>
    </row>
    <row r="1067" spans="15:19">
      <c r="O1067" t="s">
        <v>1185</v>
      </c>
      <c r="P1067" t="s">
        <v>354</v>
      </c>
      <c r="Q1067" t="s">
        <v>1039</v>
      </c>
      <c r="R1067">
        <v>84.68</v>
      </c>
      <c r="S1067">
        <v>233.68</v>
      </c>
    </row>
    <row r="1068" spans="15:19">
      <c r="O1068" t="s">
        <v>1269</v>
      </c>
      <c r="P1068" t="s">
        <v>362</v>
      </c>
      <c r="Q1068" t="s">
        <v>1039</v>
      </c>
      <c r="R1068">
        <v>84.46</v>
      </c>
      <c r="S1068">
        <v>200.82999999999899</v>
      </c>
    </row>
    <row r="1069" spans="15:19">
      <c r="O1069" t="s">
        <v>1186</v>
      </c>
      <c r="P1069" t="s">
        <v>363</v>
      </c>
      <c r="Q1069" t="s">
        <v>1039</v>
      </c>
      <c r="R1069">
        <v>71.86</v>
      </c>
      <c r="S1069">
        <v>125.1</v>
      </c>
    </row>
    <row r="1070" spans="15:19">
      <c r="O1070" t="s">
        <v>1232</v>
      </c>
      <c r="P1070" t="s">
        <v>364</v>
      </c>
      <c r="Q1070" t="s">
        <v>1039</v>
      </c>
      <c r="R1070">
        <v>83.99</v>
      </c>
      <c r="S1070">
        <v>155.72</v>
      </c>
    </row>
    <row r="1071" spans="15:19">
      <c r="O1071" t="s">
        <v>1208</v>
      </c>
      <c r="P1071" t="s">
        <v>368</v>
      </c>
      <c r="Q1071" t="s">
        <v>1039</v>
      </c>
      <c r="R1071">
        <v>68.77</v>
      </c>
      <c r="S1071">
        <v>181.43</v>
      </c>
    </row>
    <row r="1072" spans="15:19">
      <c r="O1072" t="s">
        <v>1243</v>
      </c>
      <c r="P1072" t="s">
        <v>226</v>
      </c>
      <c r="Q1072" t="s">
        <v>954</v>
      </c>
      <c r="R1072">
        <v>76.03</v>
      </c>
      <c r="S1072">
        <v>92.77</v>
      </c>
    </row>
    <row r="1073" spans="15:19">
      <c r="O1073" t="s">
        <v>1244</v>
      </c>
      <c r="P1073" t="s">
        <v>227</v>
      </c>
      <c r="Q1073" t="s">
        <v>954</v>
      </c>
      <c r="R1073">
        <v>119.08</v>
      </c>
      <c r="S1073">
        <v>149.6</v>
      </c>
    </row>
    <row r="1074" spans="15:19">
      <c r="O1074" t="s">
        <v>1317</v>
      </c>
      <c r="P1074" t="s">
        <v>228</v>
      </c>
      <c r="Q1074" t="s">
        <v>954</v>
      </c>
      <c r="R1074">
        <v>195.13</v>
      </c>
      <c r="S1074">
        <v>195.63</v>
      </c>
    </row>
    <row r="1075" spans="15:19">
      <c r="O1075" t="s">
        <v>1253</v>
      </c>
      <c r="P1075" t="s">
        <v>229</v>
      </c>
      <c r="Q1075" t="s">
        <v>954</v>
      </c>
      <c r="R1075">
        <v>172.15</v>
      </c>
      <c r="S1075">
        <v>179.7</v>
      </c>
    </row>
    <row r="1076" spans="15:19">
      <c r="O1076" t="s">
        <v>1318</v>
      </c>
      <c r="P1076" t="s">
        <v>230</v>
      </c>
      <c r="Q1076" t="s">
        <v>954</v>
      </c>
      <c r="R1076">
        <v>125.47</v>
      </c>
      <c r="S1076">
        <v>145.75</v>
      </c>
    </row>
    <row r="1077" spans="15:19">
      <c r="O1077" t="s">
        <v>1319</v>
      </c>
      <c r="P1077" t="s">
        <v>233</v>
      </c>
      <c r="Q1077" t="s">
        <v>954</v>
      </c>
      <c r="R1077">
        <v>195.87</v>
      </c>
      <c r="S1077">
        <v>195.87</v>
      </c>
    </row>
    <row r="1078" spans="15:19">
      <c r="O1078" t="s">
        <v>1320</v>
      </c>
      <c r="P1078" t="s">
        <v>235</v>
      </c>
      <c r="Q1078" t="s">
        <v>954</v>
      </c>
      <c r="R1078">
        <v>215.87</v>
      </c>
      <c r="S1078">
        <v>215.87</v>
      </c>
    </row>
    <row r="1079" spans="15:19">
      <c r="O1079" t="s">
        <v>1321</v>
      </c>
      <c r="P1079" t="s">
        <v>236</v>
      </c>
      <c r="Q1079" t="s">
        <v>954</v>
      </c>
      <c r="R1079">
        <v>105.96</v>
      </c>
      <c r="S1079">
        <v>105.96</v>
      </c>
    </row>
    <row r="1080" spans="15:19">
      <c r="O1080" t="s">
        <v>1245</v>
      </c>
      <c r="P1080" t="s">
        <v>237</v>
      </c>
      <c r="Q1080" t="s">
        <v>954</v>
      </c>
      <c r="R1080">
        <v>140.87</v>
      </c>
      <c r="S1080">
        <v>189.65</v>
      </c>
    </row>
    <row r="1081" spans="15:19">
      <c r="O1081" t="s">
        <v>1322</v>
      </c>
      <c r="P1081" t="s">
        <v>241</v>
      </c>
      <c r="Q1081" t="s">
        <v>954</v>
      </c>
      <c r="R1081">
        <v>124.71</v>
      </c>
      <c r="S1081">
        <v>148.01</v>
      </c>
    </row>
    <row r="1082" spans="15:19">
      <c r="O1082" t="s">
        <v>1323</v>
      </c>
      <c r="P1082" t="s">
        <v>242</v>
      </c>
      <c r="Q1082" t="s">
        <v>954</v>
      </c>
      <c r="R1082">
        <v>116.84</v>
      </c>
      <c r="S1082">
        <v>117.99</v>
      </c>
    </row>
    <row r="1083" spans="15:19">
      <c r="O1083" t="s">
        <v>1324</v>
      </c>
      <c r="P1083" t="s">
        <v>244</v>
      </c>
      <c r="Q1083" t="s">
        <v>954</v>
      </c>
      <c r="R1083">
        <v>195.51</v>
      </c>
      <c r="S1083">
        <v>195.51</v>
      </c>
    </row>
    <row r="1084" spans="15:19">
      <c r="O1084" t="s">
        <v>1254</v>
      </c>
      <c r="P1084" t="s">
        <v>245</v>
      </c>
      <c r="Q1084" t="s">
        <v>954</v>
      </c>
      <c r="R1084">
        <v>105.83</v>
      </c>
      <c r="S1084">
        <v>117.1</v>
      </c>
    </row>
    <row r="1085" spans="15:19">
      <c r="O1085" t="s">
        <v>1246</v>
      </c>
      <c r="P1085" t="s">
        <v>248</v>
      </c>
      <c r="Q1085" t="s">
        <v>954</v>
      </c>
      <c r="R1085">
        <v>176.4</v>
      </c>
      <c r="S1085">
        <v>227.75</v>
      </c>
    </row>
    <row r="1086" spans="15:19">
      <c r="O1086" t="s">
        <v>1325</v>
      </c>
      <c r="P1086" t="s">
        <v>249</v>
      </c>
      <c r="Q1086" t="s">
        <v>954</v>
      </c>
      <c r="R1086">
        <v>224.14</v>
      </c>
      <c r="S1086">
        <v>224.14</v>
      </c>
    </row>
    <row r="1087" spans="15:19">
      <c r="O1087" t="s">
        <v>1326</v>
      </c>
      <c r="P1087" t="s">
        <v>250</v>
      </c>
      <c r="Q1087" t="s">
        <v>954</v>
      </c>
      <c r="R1087">
        <v>159.72999999999999</v>
      </c>
      <c r="S1087">
        <v>159.72999999999999</v>
      </c>
    </row>
    <row r="1088" spans="15:19">
      <c r="O1088" t="s">
        <v>1255</v>
      </c>
      <c r="P1088" t="s">
        <v>252</v>
      </c>
      <c r="Q1088" t="s">
        <v>954</v>
      </c>
      <c r="R1088">
        <v>188.2</v>
      </c>
      <c r="S1088">
        <v>188.2</v>
      </c>
    </row>
    <row r="1089" spans="15:19">
      <c r="O1089" t="s">
        <v>1327</v>
      </c>
      <c r="P1089" t="s">
        <v>254</v>
      </c>
      <c r="Q1089" t="s">
        <v>954</v>
      </c>
      <c r="R1089">
        <v>108.93</v>
      </c>
      <c r="S1089">
        <v>108.93</v>
      </c>
    </row>
    <row r="1090" spans="15:19">
      <c r="O1090" t="s">
        <v>1328</v>
      </c>
      <c r="P1090" t="s">
        <v>253</v>
      </c>
      <c r="Q1090" t="s">
        <v>954</v>
      </c>
      <c r="R1090">
        <v>54.65</v>
      </c>
      <c r="S1090">
        <v>62.15</v>
      </c>
    </row>
    <row r="1091" spans="15:19">
      <c r="O1091" t="s">
        <v>1056</v>
      </c>
      <c r="P1091" t="s">
        <v>201</v>
      </c>
      <c r="Q1091" t="s">
        <v>954</v>
      </c>
      <c r="R1091">
        <v>34.380000000000003</v>
      </c>
      <c r="S1091">
        <v>180.81</v>
      </c>
    </row>
    <row r="1092" spans="15:19">
      <c r="O1092" t="s">
        <v>1329</v>
      </c>
      <c r="P1092" t="s">
        <v>224</v>
      </c>
      <c r="Q1092" t="s">
        <v>954</v>
      </c>
      <c r="R1092">
        <v>34.64</v>
      </c>
      <c r="S1092">
        <v>53.86</v>
      </c>
    </row>
    <row r="1093" spans="15:19">
      <c r="O1093" t="s">
        <v>1330</v>
      </c>
      <c r="P1093" t="s">
        <v>225</v>
      </c>
      <c r="Q1093" t="s">
        <v>954</v>
      </c>
      <c r="R1093">
        <v>71.03</v>
      </c>
      <c r="S1093">
        <v>71.03</v>
      </c>
    </row>
    <row r="1094" spans="15:19">
      <c r="O1094" t="s">
        <v>1243</v>
      </c>
      <c r="P1094" t="s">
        <v>226</v>
      </c>
      <c r="Q1094" t="s">
        <v>954</v>
      </c>
      <c r="R1094">
        <v>160.80000000000001</v>
      </c>
      <c r="S1094">
        <v>160.80000000000001</v>
      </c>
    </row>
    <row r="1095" spans="15:19">
      <c r="O1095" t="s">
        <v>1244</v>
      </c>
      <c r="P1095" t="s">
        <v>227</v>
      </c>
      <c r="Q1095" t="s">
        <v>954</v>
      </c>
      <c r="R1095">
        <v>79.930000000000007</v>
      </c>
      <c r="S1095">
        <v>93.44</v>
      </c>
    </row>
    <row r="1096" spans="15:19">
      <c r="O1096" t="s">
        <v>1317</v>
      </c>
      <c r="P1096" t="s">
        <v>228</v>
      </c>
      <c r="Q1096" t="s">
        <v>954</v>
      </c>
      <c r="R1096">
        <v>100.67</v>
      </c>
      <c r="S1096">
        <v>109.97</v>
      </c>
    </row>
    <row r="1097" spans="15:19">
      <c r="O1097" t="s">
        <v>1253</v>
      </c>
      <c r="P1097" t="s">
        <v>229</v>
      </c>
      <c r="Q1097" t="s">
        <v>954</v>
      </c>
      <c r="R1097">
        <v>68.02</v>
      </c>
      <c r="S1097">
        <v>112.44</v>
      </c>
    </row>
    <row r="1098" spans="15:19">
      <c r="O1098" t="s">
        <v>1331</v>
      </c>
      <c r="P1098" t="s">
        <v>232</v>
      </c>
      <c r="Q1098" t="s">
        <v>954</v>
      </c>
      <c r="R1098">
        <v>195.82</v>
      </c>
      <c r="S1098">
        <v>195.82</v>
      </c>
    </row>
    <row r="1099" spans="15:19">
      <c r="O1099" t="s">
        <v>1319</v>
      </c>
      <c r="P1099" t="s">
        <v>233</v>
      </c>
      <c r="Q1099" t="s">
        <v>954</v>
      </c>
      <c r="R1099">
        <v>107.56</v>
      </c>
      <c r="S1099">
        <v>107.56</v>
      </c>
    </row>
    <row r="1100" spans="15:19">
      <c r="O1100" t="s">
        <v>1321</v>
      </c>
      <c r="P1100" t="s">
        <v>236</v>
      </c>
      <c r="Q1100" t="s">
        <v>954</v>
      </c>
      <c r="R1100">
        <v>88.21</v>
      </c>
      <c r="S1100">
        <v>89.6</v>
      </c>
    </row>
    <row r="1101" spans="15:19">
      <c r="O1101" t="s">
        <v>1245</v>
      </c>
      <c r="P1101" t="s">
        <v>237</v>
      </c>
      <c r="Q1101" t="s">
        <v>954</v>
      </c>
      <c r="R1101">
        <v>89.51</v>
      </c>
      <c r="S1101">
        <v>91.55</v>
      </c>
    </row>
    <row r="1102" spans="15:19">
      <c r="O1102" t="s">
        <v>1332</v>
      </c>
      <c r="P1102" t="s">
        <v>240</v>
      </c>
      <c r="Q1102" t="s">
        <v>954</v>
      </c>
      <c r="R1102">
        <v>19.010000000000002</v>
      </c>
      <c r="S1102">
        <v>19.010000000000002</v>
      </c>
    </row>
    <row r="1103" spans="15:19">
      <c r="O1103" t="s">
        <v>1323</v>
      </c>
      <c r="P1103" t="s">
        <v>242</v>
      </c>
      <c r="Q1103" t="s">
        <v>954</v>
      </c>
      <c r="R1103">
        <v>173.48</v>
      </c>
      <c r="S1103">
        <v>173.48</v>
      </c>
    </row>
    <row r="1104" spans="15:19">
      <c r="O1104" t="s">
        <v>1333</v>
      </c>
      <c r="P1104" t="s">
        <v>243</v>
      </c>
      <c r="Q1104" t="s">
        <v>954</v>
      </c>
      <c r="R1104">
        <v>123.58</v>
      </c>
      <c r="S1104">
        <v>123.58</v>
      </c>
    </row>
    <row r="1105" spans="15:19">
      <c r="O1105" t="s">
        <v>1324</v>
      </c>
      <c r="P1105" t="s">
        <v>244</v>
      </c>
      <c r="Q1105" t="s">
        <v>954</v>
      </c>
      <c r="R1105">
        <v>171.62</v>
      </c>
      <c r="S1105">
        <v>183.42</v>
      </c>
    </row>
    <row r="1106" spans="15:19">
      <c r="O1106" t="s">
        <v>1246</v>
      </c>
      <c r="P1106" t="s">
        <v>248</v>
      </c>
      <c r="Q1106" t="s">
        <v>954</v>
      </c>
      <c r="R1106">
        <v>210.02</v>
      </c>
      <c r="S1106">
        <v>210.02</v>
      </c>
    </row>
    <row r="1107" spans="15:19">
      <c r="O1107" t="s">
        <v>1325</v>
      </c>
      <c r="P1107" t="s">
        <v>249</v>
      </c>
      <c r="Q1107" t="s">
        <v>954</v>
      </c>
      <c r="R1107">
        <v>210</v>
      </c>
      <c r="S1107">
        <v>220.89</v>
      </c>
    </row>
    <row r="1108" spans="15:19">
      <c r="O1108" t="s">
        <v>1326</v>
      </c>
      <c r="P1108" t="s">
        <v>250</v>
      </c>
      <c r="Q1108" t="s">
        <v>954</v>
      </c>
      <c r="R1108">
        <v>177.48</v>
      </c>
      <c r="S1108">
        <v>177.48</v>
      </c>
    </row>
    <row r="1109" spans="15:19">
      <c r="O1109" t="s">
        <v>1247</v>
      </c>
      <c r="P1109" t="s">
        <v>251</v>
      </c>
      <c r="Q1109" t="s">
        <v>954</v>
      </c>
      <c r="R1109">
        <v>19.05</v>
      </c>
      <c r="S1109">
        <v>38.28</v>
      </c>
    </row>
    <row r="1110" spans="15:19">
      <c r="O1110" t="s">
        <v>1255</v>
      </c>
      <c r="P1110" t="s">
        <v>252</v>
      </c>
      <c r="Q1110" t="s">
        <v>954</v>
      </c>
      <c r="R1110">
        <v>153.72999999999999</v>
      </c>
      <c r="S1110">
        <v>264.20999999999998</v>
      </c>
    </row>
    <row r="1111" spans="15:19">
      <c r="O1111" t="s">
        <v>1327</v>
      </c>
      <c r="P1111" t="s">
        <v>254</v>
      </c>
      <c r="Q1111" t="s">
        <v>954</v>
      </c>
      <c r="R1111">
        <v>265.66000000000003</v>
      </c>
      <c r="S1111">
        <v>265.66000000000003</v>
      </c>
    </row>
    <row r="1112" spans="15:19">
      <c r="O1112" t="s">
        <v>1328</v>
      </c>
      <c r="P1112" t="s">
        <v>253</v>
      </c>
      <c r="Q1112" t="s">
        <v>954</v>
      </c>
      <c r="R1112">
        <v>158.44999999999999</v>
      </c>
      <c r="S1112">
        <v>169.35</v>
      </c>
    </row>
  </sheetData>
  <mergeCells count="14">
    <mergeCell ref="U9:W9"/>
    <mergeCell ref="Y9:Y10"/>
    <mergeCell ref="O11:O14"/>
    <mergeCell ref="O15:P15"/>
    <mergeCell ref="O1:O2"/>
    <mergeCell ref="P1:P2"/>
    <mergeCell ref="R1:T1"/>
    <mergeCell ref="U1:W1"/>
    <mergeCell ref="Y1:Y2"/>
    <mergeCell ref="O3:O6"/>
    <mergeCell ref="O7:P7"/>
    <mergeCell ref="O9:O10"/>
    <mergeCell ref="P9:P10"/>
    <mergeCell ref="R9:T9"/>
  </mergeCells>
  <conditionalFormatting sqref="T1:T20 F1:F39 V34:V38 F44 F65:F1048576">
    <cfRule type="cellIs" dxfId="1" priority="1" operator="equal">
      <formula>"FS"</formula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8AE46-460F-43E5-96FE-751A74642822}">
  <sheetPr codeName="Hoja16">
    <tabColor rgb="FF92D050"/>
  </sheetPr>
  <dimension ref="A1:Y741"/>
  <sheetViews>
    <sheetView tabSelected="1" topLeftCell="A336" zoomScale="80" zoomScaleNormal="94" workbookViewId="0">
      <selection activeCell="L358" sqref="L358"/>
    </sheetView>
  </sheetViews>
  <sheetFormatPr baseColWidth="10" defaultColWidth="9.140625" defaultRowHeight="15"/>
  <cols>
    <col min="1" max="1" width="14" style="27" bestFit="1" customWidth="1"/>
    <col min="2" max="3" width="13.5703125" style="27" customWidth="1"/>
    <col min="4" max="4" width="13.7109375" style="27" bestFit="1" customWidth="1"/>
    <col min="5" max="5" width="19" style="27" customWidth="1"/>
    <col min="6" max="6" width="17.7109375" style="27" customWidth="1"/>
    <col min="7" max="8" width="18.28515625" style="27" bestFit="1" customWidth="1"/>
    <col min="9" max="9" width="20" style="52" bestFit="1" customWidth="1"/>
    <col min="10" max="10" width="12.5703125" style="27" bestFit="1" customWidth="1"/>
    <col min="11" max="11" width="20" style="27" customWidth="1"/>
    <col min="12" max="12" width="11.5703125" style="27" bestFit="1" customWidth="1"/>
    <col min="13" max="13" width="28.7109375" style="27" bestFit="1" customWidth="1"/>
    <col min="14" max="14" width="20.7109375" style="27" bestFit="1" customWidth="1"/>
    <col min="15" max="16" width="24.140625" style="27" bestFit="1" customWidth="1"/>
    <col min="17" max="17" width="11" style="27" bestFit="1" customWidth="1"/>
    <col min="18" max="18" width="9.140625" style="27"/>
    <col min="19" max="19" width="14.42578125" style="55" bestFit="1" customWidth="1"/>
    <col min="20" max="20" width="8.7109375" style="27" bestFit="1" customWidth="1"/>
    <col min="21" max="21" width="16.28515625" style="27" bestFit="1" customWidth="1"/>
    <col min="22" max="23" width="9.140625" style="27"/>
    <col min="24" max="24" width="17.5703125" style="27" bestFit="1" customWidth="1"/>
    <col min="25" max="25" width="16.28515625" style="27" bestFit="1" customWidth="1"/>
    <col min="26" max="16384" width="9.140625" style="27"/>
  </cols>
  <sheetData>
    <row r="1" spans="1:25">
      <c r="A1" s="345" t="s">
        <v>0</v>
      </c>
      <c r="B1" s="346" t="s">
        <v>87</v>
      </c>
      <c r="C1" s="3" t="s">
        <v>2</v>
      </c>
      <c r="D1" s="346" t="s">
        <v>3</v>
      </c>
      <c r="E1" s="346" t="s">
        <v>4</v>
      </c>
      <c r="F1" s="346" t="s">
        <v>5</v>
      </c>
      <c r="G1" s="346" t="s">
        <v>6</v>
      </c>
      <c r="H1" s="346" t="s">
        <v>1334</v>
      </c>
      <c r="I1" s="347" t="s">
        <v>7</v>
      </c>
      <c r="J1" s="346" t="s">
        <v>827</v>
      </c>
      <c r="K1" s="346" t="s">
        <v>1335</v>
      </c>
      <c r="L1" s="346" t="s">
        <v>1336</v>
      </c>
      <c r="M1" s="346" t="s">
        <v>875</v>
      </c>
      <c r="N1" s="348" t="s">
        <v>1337</v>
      </c>
      <c r="O1" s="348" t="s">
        <v>1338</v>
      </c>
      <c r="P1" s="348" t="s">
        <v>1339</v>
      </c>
      <c r="Q1" s="349" t="s">
        <v>1340</v>
      </c>
      <c r="R1" s="350"/>
    </row>
    <row r="2" spans="1:25" hidden="1">
      <c r="A2" s="7" t="s">
        <v>421</v>
      </c>
      <c r="B2" s="2" t="s">
        <v>422</v>
      </c>
      <c r="C2" s="2">
        <v>5001</v>
      </c>
      <c r="D2" s="2" t="s">
        <v>12</v>
      </c>
      <c r="E2" s="2" t="s">
        <v>13</v>
      </c>
      <c r="F2" s="2" t="s">
        <v>14</v>
      </c>
      <c r="G2" s="277" t="s">
        <v>423</v>
      </c>
      <c r="H2" s="277" t="s">
        <v>423</v>
      </c>
      <c r="I2" s="277">
        <v>44982</v>
      </c>
      <c r="J2" s="2" t="s">
        <v>1341</v>
      </c>
      <c r="K2" s="2" t="s">
        <v>839</v>
      </c>
      <c r="L2" s="2" t="s">
        <v>423</v>
      </c>
      <c r="M2" s="2"/>
      <c r="N2" s="2" t="str">
        <f>DitrbFlota[[#This Row],[TIPO BUS]]&amp;"-"&amp;DitrbFlota[[#This Row],[MARCA CHASIS]]</f>
        <v>A2-VOLVO</v>
      </c>
      <c r="O2" s="2">
        <f>MONTH(DitrbFlota[[#This Row],[Inicio Operación]])</f>
        <v>2</v>
      </c>
      <c r="P2" s="2">
        <f>YEAR(DitrbFlota[[#This Row],[Inicio Operación]])</f>
        <v>2023</v>
      </c>
      <c r="Q2" s="29">
        <v>77</v>
      </c>
    </row>
    <row r="3" spans="1:25" hidden="1">
      <c r="A3" s="7" t="s">
        <v>421</v>
      </c>
      <c r="B3" s="2" t="s">
        <v>425</v>
      </c>
      <c r="C3" s="2">
        <v>5002</v>
      </c>
      <c r="D3" s="2" t="s">
        <v>12</v>
      </c>
      <c r="E3" s="2" t="s">
        <v>13</v>
      </c>
      <c r="F3" s="2" t="s">
        <v>14</v>
      </c>
      <c r="G3" s="277" t="s">
        <v>423</v>
      </c>
      <c r="H3" s="277" t="s">
        <v>423</v>
      </c>
      <c r="I3" s="277">
        <v>44982</v>
      </c>
      <c r="J3" s="2" t="s">
        <v>1341</v>
      </c>
      <c r="K3" s="2" t="s">
        <v>839</v>
      </c>
      <c r="L3" s="2" t="s">
        <v>423</v>
      </c>
      <c r="M3" s="2"/>
      <c r="N3" s="2" t="str">
        <f>DitrbFlota[[#This Row],[TIPO BUS]]&amp;"-"&amp;DitrbFlota[[#This Row],[MARCA CHASIS]]</f>
        <v>A2-VOLVO</v>
      </c>
      <c r="O3" s="2">
        <f>MONTH(DitrbFlota[[#This Row],[Inicio Operación]])</f>
        <v>2</v>
      </c>
      <c r="P3" s="2">
        <f>YEAR(DitrbFlota[[#This Row],[Inicio Operación]])</f>
        <v>2023</v>
      </c>
      <c r="Q3" s="29">
        <v>77</v>
      </c>
      <c r="S3" s="357" t="s">
        <v>1410</v>
      </c>
      <c r="T3" s="33" t="s">
        <v>1411</v>
      </c>
      <c r="U3"/>
      <c r="W3"/>
      <c r="X3"/>
      <c r="Y3"/>
    </row>
    <row r="4" spans="1:25" hidden="1">
      <c r="A4" s="7" t="s">
        <v>421</v>
      </c>
      <c r="B4" s="2" t="s">
        <v>426</v>
      </c>
      <c r="C4" s="2">
        <v>5003</v>
      </c>
      <c r="D4" s="2" t="s">
        <v>12</v>
      </c>
      <c r="E4" s="2" t="s">
        <v>13</v>
      </c>
      <c r="F4" s="2" t="s">
        <v>14</v>
      </c>
      <c r="G4" s="277" t="s">
        <v>423</v>
      </c>
      <c r="H4" s="277" t="s">
        <v>423</v>
      </c>
      <c r="I4" s="277">
        <v>44982</v>
      </c>
      <c r="J4" s="2" t="s">
        <v>1341</v>
      </c>
      <c r="K4" s="2" t="s">
        <v>839</v>
      </c>
      <c r="L4" s="2" t="s">
        <v>423</v>
      </c>
      <c r="M4" s="2"/>
      <c r="N4" s="2" t="str">
        <f>DitrbFlota[[#This Row],[TIPO BUS]]&amp;"-"&amp;DitrbFlota[[#This Row],[MARCA CHASIS]]</f>
        <v>A2-VOLVO</v>
      </c>
      <c r="O4" s="2">
        <f>MONTH(DitrbFlota[[#This Row],[Inicio Operación]])</f>
        <v>2</v>
      </c>
      <c r="P4" s="2">
        <f>YEAR(DitrbFlota[[#This Row],[Inicio Operación]])</f>
        <v>2023</v>
      </c>
      <c r="Q4" s="29">
        <v>77</v>
      </c>
      <c r="S4" t="s">
        <v>10</v>
      </c>
      <c r="T4" s="33">
        <v>363</v>
      </c>
      <c r="U4"/>
      <c r="W4"/>
      <c r="X4"/>
      <c r="Y4"/>
    </row>
    <row r="5" spans="1:25" hidden="1">
      <c r="A5" s="7" t="s">
        <v>421</v>
      </c>
      <c r="B5" s="2" t="s">
        <v>427</v>
      </c>
      <c r="C5" s="2">
        <v>5004</v>
      </c>
      <c r="D5" s="2" t="s">
        <v>12</v>
      </c>
      <c r="E5" s="2" t="s">
        <v>13</v>
      </c>
      <c r="F5" s="2" t="s">
        <v>14</v>
      </c>
      <c r="G5" s="277" t="s">
        <v>423</v>
      </c>
      <c r="H5" s="277" t="s">
        <v>423</v>
      </c>
      <c r="I5" s="277">
        <v>44982</v>
      </c>
      <c r="J5" s="2" t="s">
        <v>1341</v>
      </c>
      <c r="K5" s="2" t="s">
        <v>839</v>
      </c>
      <c r="L5" s="2" t="s">
        <v>423</v>
      </c>
      <c r="M5" s="2"/>
      <c r="N5" s="2" t="str">
        <f>DitrbFlota[[#This Row],[TIPO BUS]]&amp;"-"&amp;DitrbFlota[[#This Row],[MARCA CHASIS]]</f>
        <v>A2-VOLVO</v>
      </c>
      <c r="O5" s="2">
        <f>MONTH(DitrbFlota[[#This Row],[Inicio Operación]])</f>
        <v>2</v>
      </c>
      <c r="P5" s="2">
        <f>YEAR(DitrbFlota[[#This Row],[Inicio Operación]])</f>
        <v>2023</v>
      </c>
      <c r="Q5" s="29">
        <v>77</v>
      </c>
      <c r="S5" t="s">
        <v>13</v>
      </c>
      <c r="T5" s="33">
        <v>308</v>
      </c>
      <c r="U5"/>
      <c r="W5"/>
      <c r="X5"/>
      <c r="Y5"/>
    </row>
    <row r="6" spans="1:25" hidden="1">
      <c r="A6" s="7" t="s">
        <v>421</v>
      </c>
      <c r="B6" s="2" t="s">
        <v>428</v>
      </c>
      <c r="C6" s="2">
        <v>5005</v>
      </c>
      <c r="D6" s="2" t="s">
        <v>12</v>
      </c>
      <c r="E6" s="2" t="s">
        <v>13</v>
      </c>
      <c r="F6" s="2" t="s">
        <v>14</v>
      </c>
      <c r="G6" s="277" t="s">
        <v>423</v>
      </c>
      <c r="H6" s="277" t="s">
        <v>423</v>
      </c>
      <c r="I6" s="277">
        <v>44982</v>
      </c>
      <c r="J6" s="2" t="s">
        <v>1341</v>
      </c>
      <c r="K6" s="2" t="s">
        <v>839</v>
      </c>
      <c r="L6" s="2" t="s">
        <v>423</v>
      </c>
      <c r="M6" s="2"/>
      <c r="N6" s="2" t="str">
        <f>DitrbFlota[[#This Row],[TIPO BUS]]&amp;"-"&amp;DitrbFlota[[#This Row],[MARCA CHASIS]]</f>
        <v>A2-VOLVO</v>
      </c>
      <c r="O6" s="2">
        <f>MONTH(DitrbFlota[[#This Row],[Inicio Operación]])</f>
        <v>2</v>
      </c>
      <c r="P6" s="2">
        <f>YEAR(DitrbFlota[[#This Row],[Inicio Operación]])</f>
        <v>2023</v>
      </c>
      <c r="Q6" s="29">
        <v>77</v>
      </c>
      <c r="S6" t="s">
        <v>25</v>
      </c>
      <c r="T6" s="33">
        <v>37</v>
      </c>
      <c r="U6"/>
      <c r="W6"/>
      <c r="X6"/>
      <c r="Y6"/>
    </row>
    <row r="7" spans="1:25" hidden="1">
      <c r="A7" s="7" t="s">
        <v>421</v>
      </c>
      <c r="B7" s="2" t="s">
        <v>429</v>
      </c>
      <c r="C7" s="2">
        <v>5023</v>
      </c>
      <c r="D7" s="2" t="s">
        <v>12</v>
      </c>
      <c r="E7" s="2" t="s">
        <v>13</v>
      </c>
      <c r="F7" s="2" t="s">
        <v>14</v>
      </c>
      <c r="G7" s="277" t="s">
        <v>423</v>
      </c>
      <c r="H7" s="277" t="s">
        <v>423</v>
      </c>
      <c r="I7" s="277">
        <v>45537</v>
      </c>
      <c r="J7" s="2" t="s">
        <v>1341</v>
      </c>
      <c r="K7" s="2" t="s">
        <v>839</v>
      </c>
      <c r="L7" s="2" t="s">
        <v>423</v>
      </c>
      <c r="M7" s="2"/>
      <c r="N7" s="2" t="str">
        <f>DitrbFlota[[#This Row],[TIPO BUS]]&amp;"-"&amp;DitrbFlota[[#This Row],[MARCA CHASIS]]</f>
        <v>A2-VOLVO</v>
      </c>
      <c r="O7" s="2">
        <f>MONTH(DitrbFlota[[#This Row],[Inicio Operación]])</f>
        <v>9</v>
      </c>
      <c r="P7" s="2">
        <f>YEAR(DitrbFlota[[#This Row],[Inicio Operación]])</f>
        <v>2024</v>
      </c>
      <c r="Q7" s="29">
        <v>77</v>
      </c>
      <c r="S7" t="s">
        <v>405</v>
      </c>
      <c r="T7" s="33">
        <v>16</v>
      </c>
      <c r="U7"/>
      <c r="W7"/>
      <c r="X7"/>
      <c r="Y7"/>
    </row>
    <row r="8" spans="1:25" hidden="1">
      <c r="A8" s="7" t="s">
        <v>421</v>
      </c>
      <c r="B8" s="2" t="s">
        <v>430</v>
      </c>
      <c r="C8" s="2">
        <v>6000</v>
      </c>
      <c r="D8" s="2" t="s">
        <v>285</v>
      </c>
      <c r="E8" s="2" t="s">
        <v>13</v>
      </c>
      <c r="F8" s="2" t="s">
        <v>145</v>
      </c>
      <c r="G8" s="277" t="s">
        <v>423</v>
      </c>
      <c r="H8" s="277" t="s">
        <v>423</v>
      </c>
      <c r="I8" s="277">
        <v>45003</v>
      </c>
      <c r="J8" s="2" t="s">
        <v>830</v>
      </c>
      <c r="K8" s="2" t="s">
        <v>839</v>
      </c>
      <c r="L8" s="2" t="s">
        <v>423</v>
      </c>
      <c r="M8" s="2"/>
      <c r="N8" s="2" t="str">
        <f>DitrbFlota[[#This Row],[TIPO BUS]]&amp;"-"&amp;DitrbFlota[[#This Row],[MARCA CHASIS]]</f>
        <v>BPAL-MERCEDES BENZ</v>
      </c>
      <c r="O8" s="2">
        <f>MONTH(DitrbFlota[[#This Row],[Inicio Operación]])</f>
        <v>3</v>
      </c>
      <c r="P8" s="2">
        <f>YEAR(DitrbFlota[[#This Row],[Inicio Operación]])</f>
        <v>2023</v>
      </c>
      <c r="Q8" s="29">
        <v>90</v>
      </c>
      <c r="S8" t="s">
        <v>829</v>
      </c>
      <c r="T8" s="33">
        <v>2</v>
      </c>
      <c r="U8"/>
      <c r="W8"/>
      <c r="X8"/>
      <c r="Y8"/>
    </row>
    <row r="9" spans="1:25" hidden="1">
      <c r="A9" s="7" t="s">
        <v>421</v>
      </c>
      <c r="B9" s="2" t="s">
        <v>431</v>
      </c>
      <c r="C9" s="2">
        <v>6001</v>
      </c>
      <c r="D9" s="2" t="s">
        <v>285</v>
      </c>
      <c r="E9" s="2" t="s">
        <v>13</v>
      </c>
      <c r="F9" s="2" t="s">
        <v>145</v>
      </c>
      <c r="G9" s="277" t="s">
        <v>423</v>
      </c>
      <c r="H9" s="277" t="s">
        <v>423</v>
      </c>
      <c r="I9" s="277">
        <v>45003</v>
      </c>
      <c r="J9" s="2" t="s">
        <v>830</v>
      </c>
      <c r="K9" s="2" t="s">
        <v>839</v>
      </c>
      <c r="L9" s="2" t="s">
        <v>423</v>
      </c>
      <c r="M9" s="2"/>
      <c r="N9" s="2" t="str">
        <f>DitrbFlota[[#This Row],[TIPO BUS]]&amp;"-"&amp;DitrbFlota[[#This Row],[MARCA CHASIS]]</f>
        <v>BPAL-MERCEDES BENZ</v>
      </c>
      <c r="O9" s="2">
        <f>MONTH(DitrbFlota[[#This Row],[Inicio Operación]])</f>
        <v>3</v>
      </c>
      <c r="P9" s="2">
        <f>YEAR(DitrbFlota[[#This Row],[Inicio Operación]])</f>
        <v>2023</v>
      </c>
      <c r="Q9" s="29">
        <v>90</v>
      </c>
      <c r="S9" t="s">
        <v>421</v>
      </c>
      <c r="T9" s="33">
        <v>377</v>
      </c>
      <c r="U9"/>
      <c r="W9"/>
      <c r="X9"/>
      <c r="Y9"/>
    </row>
    <row r="10" spans="1:25" hidden="1">
      <c r="A10" s="7" t="s">
        <v>421</v>
      </c>
      <c r="B10" s="2" t="s">
        <v>432</v>
      </c>
      <c r="C10" s="2">
        <v>6002</v>
      </c>
      <c r="D10" s="2" t="s">
        <v>285</v>
      </c>
      <c r="E10" s="2" t="s">
        <v>13</v>
      </c>
      <c r="F10" s="2" t="s">
        <v>145</v>
      </c>
      <c r="G10" s="277" t="s">
        <v>423</v>
      </c>
      <c r="H10" s="277" t="s">
        <v>423</v>
      </c>
      <c r="I10" s="277">
        <v>45003</v>
      </c>
      <c r="J10" s="2" t="s">
        <v>830</v>
      </c>
      <c r="K10" s="2" t="s">
        <v>839</v>
      </c>
      <c r="L10" s="2" t="s">
        <v>423</v>
      </c>
      <c r="M10" s="2"/>
      <c r="N10" s="2" t="str">
        <f>DitrbFlota[[#This Row],[TIPO BUS]]&amp;"-"&amp;DitrbFlota[[#This Row],[MARCA CHASIS]]</f>
        <v>BPAL-MERCEDES BENZ</v>
      </c>
      <c r="O10" s="2">
        <f>MONTH(DitrbFlota[[#This Row],[Inicio Operación]])</f>
        <v>3</v>
      </c>
      <c r="P10" s="2">
        <f>YEAR(DitrbFlota[[#This Row],[Inicio Operación]])</f>
        <v>2023</v>
      </c>
      <c r="Q10" s="29">
        <v>90</v>
      </c>
      <c r="S10" t="s">
        <v>13</v>
      </c>
      <c r="T10" s="33">
        <v>336</v>
      </c>
      <c r="U10"/>
      <c r="W10"/>
      <c r="X10"/>
      <c r="Y10"/>
    </row>
    <row r="11" spans="1:25" hidden="1">
      <c r="A11" s="7" t="s">
        <v>421</v>
      </c>
      <c r="B11" s="2" t="s">
        <v>433</v>
      </c>
      <c r="C11" s="2">
        <v>6003</v>
      </c>
      <c r="D11" s="2" t="s">
        <v>285</v>
      </c>
      <c r="E11" s="2" t="s">
        <v>13</v>
      </c>
      <c r="F11" s="2" t="s">
        <v>145</v>
      </c>
      <c r="G11" s="277" t="s">
        <v>423</v>
      </c>
      <c r="H11" s="277" t="s">
        <v>423</v>
      </c>
      <c r="I11" s="277">
        <v>45003</v>
      </c>
      <c r="J11" s="2" t="s">
        <v>830</v>
      </c>
      <c r="K11" s="2" t="s">
        <v>839</v>
      </c>
      <c r="L11" s="2" t="s">
        <v>423</v>
      </c>
      <c r="M11" s="2"/>
      <c r="N11" s="2" t="str">
        <f>DitrbFlota[[#This Row],[TIPO BUS]]&amp;"-"&amp;DitrbFlota[[#This Row],[MARCA CHASIS]]</f>
        <v>BPAL-MERCEDES BENZ</v>
      </c>
      <c r="O11" s="2">
        <f>MONTH(DitrbFlota[[#This Row],[Inicio Operación]])</f>
        <v>3</v>
      </c>
      <c r="P11" s="2">
        <f>YEAR(DitrbFlota[[#This Row],[Inicio Operación]])</f>
        <v>2023</v>
      </c>
      <c r="Q11" s="29">
        <v>90</v>
      </c>
      <c r="S11" t="s">
        <v>25</v>
      </c>
      <c r="T11" s="33">
        <v>30</v>
      </c>
      <c r="U11"/>
      <c r="W11"/>
      <c r="X11"/>
      <c r="Y11"/>
    </row>
    <row r="12" spans="1:25" hidden="1">
      <c r="A12" s="7" t="s">
        <v>421</v>
      </c>
      <c r="B12" s="2" t="s">
        <v>434</v>
      </c>
      <c r="C12" s="2">
        <v>6004</v>
      </c>
      <c r="D12" s="2" t="s">
        <v>285</v>
      </c>
      <c r="E12" s="2" t="s">
        <v>13</v>
      </c>
      <c r="F12" s="2" t="s">
        <v>145</v>
      </c>
      <c r="G12" s="277" t="s">
        <v>423</v>
      </c>
      <c r="H12" s="277" t="s">
        <v>423</v>
      </c>
      <c r="I12" s="277">
        <v>45003</v>
      </c>
      <c r="J12" s="2" t="s">
        <v>830</v>
      </c>
      <c r="K12" s="2" t="s">
        <v>839</v>
      </c>
      <c r="L12" s="2" t="s">
        <v>423</v>
      </c>
      <c r="M12" s="2"/>
      <c r="N12" s="2" t="str">
        <f>DitrbFlota[[#This Row],[TIPO BUS]]&amp;"-"&amp;DitrbFlota[[#This Row],[MARCA CHASIS]]</f>
        <v>BPAL-MERCEDES BENZ</v>
      </c>
      <c r="O12" s="2">
        <f>MONTH(DitrbFlota[[#This Row],[Inicio Operación]])</f>
        <v>3</v>
      </c>
      <c r="P12" s="2">
        <f>YEAR(DitrbFlota[[#This Row],[Inicio Operación]])</f>
        <v>2023</v>
      </c>
      <c r="Q12" s="29">
        <v>90</v>
      </c>
      <c r="S12" t="s">
        <v>405</v>
      </c>
      <c r="T12" s="33">
        <v>11</v>
      </c>
      <c r="U12"/>
      <c r="W12"/>
      <c r="X12"/>
      <c r="Y12"/>
    </row>
    <row r="13" spans="1:25" hidden="1">
      <c r="A13" s="7" t="s">
        <v>421</v>
      </c>
      <c r="B13" s="2" t="s">
        <v>435</v>
      </c>
      <c r="C13" s="2">
        <v>6005</v>
      </c>
      <c r="D13" s="2" t="s">
        <v>285</v>
      </c>
      <c r="E13" s="2" t="s">
        <v>13</v>
      </c>
      <c r="F13" s="2" t="s">
        <v>145</v>
      </c>
      <c r="G13" s="277" t="s">
        <v>423</v>
      </c>
      <c r="H13" s="277" t="s">
        <v>423</v>
      </c>
      <c r="I13" s="277">
        <v>45003</v>
      </c>
      <c r="J13" s="2" t="s">
        <v>830</v>
      </c>
      <c r="K13" s="2" t="s">
        <v>839</v>
      </c>
      <c r="L13" s="2" t="s">
        <v>423</v>
      </c>
      <c r="M13" s="2"/>
      <c r="N13" s="2" t="str">
        <f>DitrbFlota[[#This Row],[TIPO BUS]]&amp;"-"&amp;DitrbFlota[[#This Row],[MARCA CHASIS]]</f>
        <v>BPAL-MERCEDES BENZ</v>
      </c>
      <c r="O13" s="2">
        <f>MONTH(DitrbFlota[[#This Row],[Inicio Operación]])</f>
        <v>3</v>
      </c>
      <c r="P13" s="2">
        <f>YEAR(DitrbFlota[[#This Row],[Inicio Operación]])</f>
        <v>2023</v>
      </c>
      <c r="Q13" s="29">
        <v>90</v>
      </c>
      <c r="S13" s="149" t="s">
        <v>41</v>
      </c>
      <c r="T13" s="33">
        <v>740</v>
      </c>
      <c r="U13"/>
      <c r="W13"/>
      <c r="X13"/>
      <c r="Y13"/>
    </row>
    <row r="14" spans="1:25" hidden="1">
      <c r="A14" s="7" t="s">
        <v>421</v>
      </c>
      <c r="B14" s="2" t="s">
        <v>436</v>
      </c>
      <c r="C14" s="2">
        <v>6007</v>
      </c>
      <c r="D14" s="2" t="s">
        <v>285</v>
      </c>
      <c r="E14" s="2" t="s">
        <v>13</v>
      </c>
      <c r="F14" s="2" t="s">
        <v>145</v>
      </c>
      <c r="G14" s="277" t="s">
        <v>423</v>
      </c>
      <c r="H14" s="277" t="s">
        <v>423</v>
      </c>
      <c r="I14" s="277">
        <v>45003</v>
      </c>
      <c r="J14" s="2" t="s">
        <v>830</v>
      </c>
      <c r="K14" s="2" t="s">
        <v>839</v>
      </c>
      <c r="L14" s="2" t="s">
        <v>423</v>
      </c>
      <c r="M14" s="2"/>
      <c r="N14" s="2" t="str">
        <f>DitrbFlota[[#This Row],[TIPO BUS]]&amp;"-"&amp;DitrbFlota[[#This Row],[MARCA CHASIS]]</f>
        <v>BPAL-MERCEDES BENZ</v>
      </c>
      <c r="O14" s="2">
        <f>MONTH(DitrbFlota[[#This Row],[Inicio Operación]])</f>
        <v>3</v>
      </c>
      <c r="P14" s="2">
        <f>YEAR(DitrbFlota[[#This Row],[Inicio Operación]])</f>
        <v>2023</v>
      </c>
      <c r="Q14" s="29">
        <v>90</v>
      </c>
      <c r="S14"/>
      <c r="T14" s="33"/>
      <c r="U14"/>
      <c r="W14"/>
      <c r="X14"/>
      <c r="Y14"/>
    </row>
    <row r="15" spans="1:25" hidden="1">
      <c r="A15" s="7" t="s">
        <v>421</v>
      </c>
      <c r="B15" s="2" t="s">
        <v>437</v>
      </c>
      <c r="C15" s="2">
        <v>6008</v>
      </c>
      <c r="D15" s="2" t="s">
        <v>285</v>
      </c>
      <c r="E15" s="2" t="s">
        <v>13</v>
      </c>
      <c r="F15" s="2" t="s">
        <v>145</v>
      </c>
      <c r="G15" s="277" t="s">
        <v>423</v>
      </c>
      <c r="H15" s="277" t="s">
        <v>423</v>
      </c>
      <c r="I15" s="277">
        <v>45003</v>
      </c>
      <c r="J15" s="2" t="s">
        <v>830</v>
      </c>
      <c r="K15" s="2" t="s">
        <v>839</v>
      </c>
      <c r="L15" s="2" t="s">
        <v>423</v>
      </c>
      <c r="M15" s="2"/>
      <c r="N15" s="2" t="str">
        <f>DitrbFlota[[#This Row],[TIPO BUS]]&amp;"-"&amp;DitrbFlota[[#This Row],[MARCA CHASIS]]</f>
        <v>BPAL-MERCEDES BENZ</v>
      </c>
      <c r="O15" s="2">
        <f>MONTH(DitrbFlota[[#This Row],[Inicio Operación]])</f>
        <v>3</v>
      </c>
      <c r="P15" s="2">
        <f>YEAR(DitrbFlota[[#This Row],[Inicio Operación]])</f>
        <v>2023</v>
      </c>
      <c r="Q15" s="29">
        <v>90</v>
      </c>
      <c r="S15"/>
      <c r="T15" s="33"/>
      <c r="U15"/>
      <c r="W15"/>
      <c r="X15"/>
      <c r="Y15"/>
    </row>
    <row r="16" spans="1:25" hidden="1">
      <c r="A16" s="7" t="s">
        <v>421</v>
      </c>
      <c r="B16" s="2" t="s">
        <v>441</v>
      </c>
      <c r="C16" s="2">
        <v>6011</v>
      </c>
      <c r="D16" s="2" t="s">
        <v>285</v>
      </c>
      <c r="E16" s="2" t="s">
        <v>25</v>
      </c>
      <c r="F16" s="2" t="s">
        <v>145</v>
      </c>
      <c r="G16" s="277" t="s">
        <v>423</v>
      </c>
      <c r="H16" s="277" t="s">
        <v>423</v>
      </c>
      <c r="I16" s="277">
        <v>45003</v>
      </c>
      <c r="J16" s="2" t="s">
        <v>830</v>
      </c>
      <c r="K16" s="2" t="s">
        <v>839</v>
      </c>
      <c r="L16" s="2" t="s">
        <v>423</v>
      </c>
      <c r="M16" s="2"/>
      <c r="N16" s="2" t="str">
        <f>DitrbFlota[[#This Row],[TIPO BUS]]&amp;"-"&amp;DitrbFlota[[#This Row],[MARCA CHASIS]]</f>
        <v>BPAL-MERCEDES BENZ</v>
      </c>
      <c r="O16" s="2">
        <f>MONTH(DitrbFlota[[#This Row],[Inicio Operación]])</f>
        <v>3</v>
      </c>
      <c r="P16" s="2">
        <f>YEAR(DitrbFlota[[#This Row],[Inicio Operación]])</f>
        <v>2023</v>
      </c>
      <c r="Q16" s="29">
        <v>90</v>
      </c>
      <c r="S16"/>
      <c r="T16" s="33"/>
      <c r="U16"/>
      <c r="W16"/>
      <c r="X16"/>
      <c r="Y16"/>
    </row>
    <row r="17" spans="1:25" hidden="1">
      <c r="A17" s="7" t="s">
        <v>421</v>
      </c>
      <c r="B17" s="2" t="s">
        <v>443</v>
      </c>
      <c r="C17" s="2">
        <v>6012</v>
      </c>
      <c r="D17" s="2" t="s">
        <v>285</v>
      </c>
      <c r="E17" s="2" t="s">
        <v>13</v>
      </c>
      <c r="F17" s="2" t="s">
        <v>145</v>
      </c>
      <c r="G17" s="277" t="s">
        <v>423</v>
      </c>
      <c r="H17" s="277" t="s">
        <v>423</v>
      </c>
      <c r="I17" s="277">
        <v>45003</v>
      </c>
      <c r="J17" s="2" t="s">
        <v>830</v>
      </c>
      <c r="K17" s="2" t="s">
        <v>839</v>
      </c>
      <c r="L17" s="2" t="s">
        <v>423</v>
      </c>
      <c r="M17" s="2"/>
      <c r="N17" s="2" t="str">
        <f>DitrbFlota[[#This Row],[TIPO BUS]]&amp;"-"&amp;DitrbFlota[[#This Row],[MARCA CHASIS]]</f>
        <v>BPAL-MERCEDES BENZ</v>
      </c>
      <c r="O17" s="2">
        <f>MONTH(DitrbFlota[[#This Row],[Inicio Operación]])</f>
        <v>3</v>
      </c>
      <c r="P17" s="2">
        <f>YEAR(DitrbFlota[[#This Row],[Inicio Operación]])</f>
        <v>2023</v>
      </c>
      <c r="Q17" s="29">
        <v>90</v>
      </c>
      <c r="S17"/>
      <c r="T17" s="33"/>
      <c r="U17"/>
      <c r="W17"/>
      <c r="X17"/>
      <c r="Y17"/>
    </row>
    <row r="18" spans="1:25" hidden="1">
      <c r="A18" s="7" t="s">
        <v>421</v>
      </c>
      <c r="B18" s="2" t="s">
        <v>445</v>
      </c>
      <c r="C18" s="2">
        <v>6013</v>
      </c>
      <c r="D18" s="2" t="s">
        <v>285</v>
      </c>
      <c r="E18" s="2" t="s">
        <v>13</v>
      </c>
      <c r="F18" s="2" t="s">
        <v>145</v>
      </c>
      <c r="G18" s="277" t="s">
        <v>423</v>
      </c>
      <c r="H18" s="277" t="s">
        <v>423</v>
      </c>
      <c r="I18" s="277">
        <v>45003</v>
      </c>
      <c r="J18" s="2" t="s">
        <v>830</v>
      </c>
      <c r="K18" s="2" t="s">
        <v>839</v>
      </c>
      <c r="L18" s="2" t="s">
        <v>423</v>
      </c>
      <c r="M18" s="2"/>
      <c r="N18" s="2" t="str">
        <f>DitrbFlota[[#This Row],[TIPO BUS]]&amp;"-"&amp;DitrbFlota[[#This Row],[MARCA CHASIS]]</f>
        <v>BPAL-MERCEDES BENZ</v>
      </c>
      <c r="O18" s="2">
        <f>MONTH(DitrbFlota[[#This Row],[Inicio Operación]])</f>
        <v>3</v>
      </c>
      <c r="P18" s="2">
        <f>YEAR(DitrbFlota[[#This Row],[Inicio Operación]])</f>
        <v>2023</v>
      </c>
      <c r="Q18" s="29">
        <v>90</v>
      </c>
      <c r="S18"/>
      <c r="T18" s="33"/>
      <c r="U18"/>
      <c r="W18"/>
      <c r="X18"/>
      <c r="Y18"/>
    </row>
    <row r="19" spans="1:25" hidden="1">
      <c r="A19" s="7" t="s">
        <v>421</v>
      </c>
      <c r="B19" s="2" t="s">
        <v>446</v>
      </c>
      <c r="C19" s="2">
        <v>6014</v>
      </c>
      <c r="D19" s="2" t="s">
        <v>285</v>
      </c>
      <c r="E19" s="2" t="s">
        <v>13</v>
      </c>
      <c r="F19" s="2" t="s">
        <v>145</v>
      </c>
      <c r="G19" s="277" t="s">
        <v>423</v>
      </c>
      <c r="H19" s="277" t="s">
        <v>423</v>
      </c>
      <c r="I19" s="277">
        <v>45003</v>
      </c>
      <c r="J19" s="2" t="s">
        <v>830</v>
      </c>
      <c r="K19" s="2" t="s">
        <v>839</v>
      </c>
      <c r="L19" s="2" t="s">
        <v>423</v>
      </c>
      <c r="M19" s="2"/>
      <c r="N19" s="2" t="str">
        <f>DitrbFlota[[#This Row],[TIPO BUS]]&amp;"-"&amp;DitrbFlota[[#This Row],[MARCA CHASIS]]</f>
        <v>BPAL-MERCEDES BENZ</v>
      </c>
      <c r="O19" s="2">
        <f>MONTH(DitrbFlota[[#This Row],[Inicio Operación]])</f>
        <v>3</v>
      </c>
      <c r="P19" s="2">
        <f>YEAR(DitrbFlota[[#This Row],[Inicio Operación]])</f>
        <v>2023</v>
      </c>
      <c r="Q19" s="29">
        <v>90</v>
      </c>
      <c r="S19"/>
      <c r="T19" s="33"/>
      <c r="U19"/>
      <c r="W19"/>
      <c r="X19"/>
      <c r="Y19"/>
    </row>
    <row r="20" spans="1:25" hidden="1">
      <c r="A20" s="7" t="s">
        <v>421</v>
      </c>
      <c r="B20" s="2" t="s">
        <v>447</v>
      </c>
      <c r="C20" s="2">
        <v>6015</v>
      </c>
      <c r="D20" s="2" t="s">
        <v>285</v>
      </c>
      <c r="E20" s="2" t="s">
        <v>13</v>
      </c>
      <c r="F20" s="2" t="s">
        <v>145</v>
      </c>
      <c r="G20" s="277" t="s">
        <v>423</v>
      </c>
      <c r="H20" s="277" t="s">
        <v>423</v>
      </c>
      <c r="I20" s="277">
        <v>45003</v>
      </c>
      <c r="J20" s="2" t="s">
        <v>830</v>
      </c>
      <c r="K20" s="2" t="s">
        <v>839</v>
      </c>
      <c r="L20" s="2" t="s">
        <v>423</v>
      </c>
      <c r="M20" s="2"/>
      <c r="N20" s="2" t="str">
        <f>DitrbFlota[[#This Row],[TIPO BUS]]&amp;"-"&amp;DitrbFlota[[#This Row],[MARCA CHASIS]]</f>
        <v>BPAL-MERCEDES BENZ</v>
      </c>
      <c r="O20" s="2">
        <f>MONTH(DitrbFlota[[#This Row],[Inicio Operación]])</f>
        <v>3</v>
      </c>
      <c r="P20" s="2">
        <f>YEAR(DitrbFlota[[#This Row],[Inicio Operación]])</f>
        <v>2023</v>
      </c>
      <c r="Q20" s="29">
        <v>90</v>
      </c>
      <c r="S20"/>
      <c r="T20" s="33"/>
      <c r="U20"/>
      <c r="W20"/>
      <c r="X20"/>
      <c r="Y20"/>
    </row>
    <row r="21" spans="1:25" hidden="1">
      <c r="A21" s="7" t="s">
        <v>421</v>
      </c>
      <c r="B21" s="2" t="s">
        <v>484</v>
      </c>
      <c r="C21" s="2">
        <v>6016</v>
      </c>
      <c r="D21" s="2" t="s">
        <v>285</v>
      </c>
      <c r="E21" s="2" t="s">
        <v>405</v>
      </c>
      <c r="F21" s="2" t="s">
        <v>145</v>
      </c>
      <c r="G21" s="277" t="s">
        <v>423</v>
      </c>
      <c r="H21" s="277" t="s">
        <v>423</v>
      </c>
      <c r="I21" s="277">
        <v>45024</v>
      </c>
      <c r="J21" s="2" t="s">
        <v>830</v>
      </c>
      <c r="K21" s="2" t="s">
        <v>839</v>
      </c>
      <c r="L21" s="2" t="s">
        <v>423</v>
      </c>
      <c r="M21" s="2"/>
      <c r="N21" s="2" t="str">
        <f>DitrbFlota[[#This Row],[TIPO BUS]]&amp;"-"&amp;DitrbFlota[[#This Row],[MARCA CHASIS]]</f>
        <v>BPAL-MERCEDES BENZ</v>
      </c>
      <c r="O21" s="2">
        <f>MONTH(DitrbFlota[[#This Row],[Inicio Operación]])</f>
        <v>4</v>
      </c>
      <c r="P21" s="2">
        <f>YEAR(DitrbFlota[[#This Row],[Inicio Operación]])</f>
        <v>2023</v>
      </c>
      <c r="Q21" s="29">
        <v>90</v>
      </c>
    </row>
    <row r="22" spans="1:25" hidden="1">
      <c r="A22" s="7" t="s">
        <v>421</v>
      </c>
      <c r="B22" s="2" t="s">
        <v>485</v>
      </c>
      <c r="C22" s="2">
        <v>6017</v>
      </c>
      <c r="D22" s="2" t="s">
        <v>285</v>
      </c>
      <c r="E22" s="2" t="s">
        <v>405</v>
      </c>
      <c r="F22" s="2" t="s">
        <v>145</v>
      </c>
      <c r="G22" s="277" t="s">
        <v>423</v>
      </c>
      <c r="H22" s="277" t="s">
        <v>423</v>
      </c>
      <c r="I22" s="277">
        <v>45024</v>
      </c>
      <c r="J22" s="2" t="s">
        <v>830</v>
      </c>
      <c r="K22" s="2" t="s">
        <v>839</v>
      </c>
      <c r="L22" s="2" t="s">
        <v>423</v>
      </c>
      <c r="M22" s="2"/>
      <c r="N22" s="2" t="str">
        <f>DitrbFlota[[#This Row],[TIPO BUS]]&amp;"-"&amp;DitrbFlota[[#This Row],[MARCA CHASIS]]</f>
        <v>BPAL-MERCEDES BENZ</v>
      </c>
      <c r="O22" s="2">
        <f>MONTH(DitrbFlota[[#This Row],[Inicio Operación]])</f>
        <v>4</v>
      </c>
      <c r="P22" s="2">
        <f>YEAR(DitrbFlota[[#This Row],[Inicio Operación]])</f>
        <v>2023</v>
      </c>
      <c r="Q22" s="29">
        <v>90</v>
      </c>
    </row>
    <row r="23" spans="1:25" hidden="1">
      <c r="A23" s="7" t="s">
        <v>421</v>
      </c>
      <c r="B23" s="2" t="s">
        <v>486</v>
      </c>
      <c r="C23" s="2">
        <v>6018</v>
      </c>
      <c r="D23" s="2" t="s">
        <v>285</v>
      </c>
      <c r="E23" s="2" t="s">
        <v>405</v>
      </c>
      <c r="F23" s="2" t="s">
        <v>145</v>
      </c>
      <c r="G23" s="277" t="s">
        <v>423</v>
      </c>
      <c r="H23" s="277" t="s">
        <v>423</v>
      </c>
      <c r="I23" s="277">
        <v>45024</v>
      </c>
      <c r="J23" s="2" t="s">
        <v>830</v>
      </c>
      <c r="K23" s="2" t="s">
        <v>839</v>
      </c>
      <c r="L23" s="2" t="s">
        <v>423</v>
      </c>
      <c r="M23" s="2"/>
      <c r="N23" s="2" t="str">
        <f>DitrbFlota[[#This Row],[TIPO BUS]]&amp;"-"&amp;DitrbFlota[[#This Row],[MARCA CHASIS]]</f>
        <v>BPAL-MERCEDES BENZ</v>
      </c>
      <c r="O23" s="2">
        <f>MONTH(DitrbFlota[[#This Row],[Inicio Operación]])</f>
        <v>4</v>
      </c>
      <c r="P23" s="2">
        <f>YEAR(DitrbFlota[[#This Row],[Inicio Operación]])</f>
        <v>2023</v>
      </c>
      <c r="Q23" s="29">
        <v>90</v>
      </c>
    </row>
    <row r="24" spans="1:25" hidden="1">
      <c r="A24" s="7" t="s">
        <v>421</v>
      </c>
      <c r="B24" s="2" t="s">
        <v>487</v>
      </c>
      <c r="C24" s="2">
        <v>6019</v>
      </c>
      <c r="D24" s="2" t="s">
        <v>285</v>
      </c>
      <c r="E24" s="2" t="s">
        <v>405</v>
      </c>
      <c r="F24" s="2" t="s">
        <v>145</v>
      </c>
      <c r="G24" s="277" t="s">
        <v>423</v>
      </c>
      <c r="H24" s="277" t="s">
        <v>423</v>
      </c>
      <c r="I24" s="277">
        <v>45024</v>
      </c>
      <c r="J24" s="2" t="s">
        <v>830</v>
      </c>
      <c r="K24" s="2" t="s">
        <v>839</v>
      </c>
      <c r="L24" s="2" t="s">
        <v>423</v>
      </c>
      <c r="M24" s="2"/>
      <c r="N24" s="2" t="str">
        <f>DitrbFlota[[#This Row],[TIPO BUS]]&amp;"-"&amp;DitrbFlota[[#This Row],[MARCA CHASIS]]</f>
        <v>BPAL-MERCEDES BENZ</v>
      </c>
      <c r="O24" s="2">
        <f>MONTH(DitrbFlota[[#This Row],[Inicio Operación]])</f>
        <v>4</v>
      </c>
      <c r="P24" s="2">
        <f>YEAR(DitrbFlota[[#This Row],[Inicio Operación]])</f>
        <v>2023</v>
      </c>
      <c r="Q24" s="29">
        <v>90</v>
      </c>
    </row>
    <row r="25" spans="1:25" hidden="1">
      <c r="A25" s="7" t="s">
        <v>421</v>
      </c>
      <c r="B25" s="2" t="s">
        <v>488</v>
      </c>
      <c r="C25" s="2">
        <v>6020</v>
      </c>
      <c r="D25" s="2" t="s">
        <v>285</v>
      </c>
      <c r="E25" s="2" t="s">
        <v>405</v>
      </c>
      <c r="F25" s="2" t="s">
        <v>145</v>
      </c>
      <c r="G25" s="277" t="s">
        <v>423</v>
      </c>
      <c r="H25" s="277" t="s">
        <v>423</v>
      </c>
      <c r="I25" s="277">
        <v>45024</v>
      </c>
      <c r="J25" s="2" t="s">
        <v>830</v>
      </c>
      <c r="K25" s="2" t="s">
        <v>839</v>
      </c>
      <c r="L25" s="2" t="s">
        <v>423</v>
      </c>
      <c r="M25" s="2" t="s">
        <v>826</v>
      </c>
      <c r="N25" s="2" t="str">
        <f>DitrbFlota[[#This Row],[TIPO BUS]]&amp;"-"&amp;DitrbFlota[[#This Row],[MARCA CHASIS]]</f>
        <v>BPAL-MERCEDES BENZ</v>
      </c>
      <c r="O25" s="2">
        <f>MONTH(DitrbFlota[[#This Row],[Inicio Operación]])</f>
        <v>4</v>
      </c>
      <c r="P25" s="2">
        <f>YEAR(DitrbFlota[[#This Row],[Inicio Operación]])</f>
        <v>2023</v>
      </c>
      <c r="Q25" s="29">
        <v>90</v>
      </c>
    </row>
    <row r="26" spans="1:25" hidden="1">
      <c r="A26" s="7" t="s">
        <v>421</v>
      </c>
      <c r="B26" s="2" t="s">
        <v>489</v>
      </c>
      <c r="C26" s="2">
        <v>6021</v>
      </c>
      <c r="D26" s="2" t="s">
        <v>285</v>
      </c>
      <c r="E26" s="2" t="s">
        <v>405</v>
      </c>
      <c r="F26" s="2" t="s">
        <v>145</v>
      </c>
      <c r="G26" s="277" t="s">
        <v>423</v>
      </c>
      <c r="H26" s="277" t="s">
        <v>423</v>
      </c>
      <c r="I26" s="277">
        <v>45024</v>
      </c>
      <c r="J26" s="2" t="s">
        <v>830</v>
      </c>
      <c r="K26" s="2" t="s">
        <v>839</v>
      </c>
      <c r="L26" s="2" t="s">
        <v>423</v>
      </c>
      <c r="M26" s="2" t="s">
        <v>826</v>
      </c>
      <c r="N26" s="2" t="str">
        <f>DitrbFlota[[#This Row],[TIPO BUS]]&amp;"-"&amp;DitrbFlota[[#This Row],[MARCA CHASIS]]</f>
        <v>BPAL-MERCEDES BENZ</v>
      </c>
      <c r="O26" s="2">
        <f>MONTH(DitrbFlota[[#This Row],[Inicio Operación]])</f>
        <v>4</v>
      </c>
      <c r="P26" s="2">
        <f>YEAR(DitrbFlota[[#This Row],[Inicio Operación]])</f>
        <v>2023</v>
      </c>
      <c r="Q26" s="29">
        <v>90</v>
      </c>
    </row>
    <row r="27" spans="1:25" hidden="1">
      <c r="A27" s="7" t="s">
        <v>421</v>
      </c>
      <c r="B27" s="2" t="s">
        <v>544</v>
      </c>
      <c r="C27" s="2">
        <v>6022</v>
      </c>
      <c r="D27" s="2" t="s">
        <v>285</v>
      </c>
      <c r="E27" s="2" t="s">
        <v>405</v>
      </c>
      <c r="F27" s="2" t="s">
        <v>145</v>
      </c>
      <c r="G27" s="277" t="s">
        <v>423</v>
      </c>
      <c r="H27" s="277" t="s">
        <v>423</v>
      </c>
      <c r="I27" s="277">
        <v>45024</v>
      </c>
      <c r="J27" s="2" t="s">
        <v>830</v>
      </c>
      <c r="K27" s="2" t="s">
        <v>839</v>
      </c>
      <c r="L27" s="2" t="s">
        <v>423</v>
      </c>
      <c r="M27" s="2"/>
      <c r="N27" s="2" t="str">
        <f>DitrbFlota[[#This Row],[TIPO BUS]]&amp;"-"&amp;DitrbFlota[[#This Row],[MARCA CHASIS]]</f>
        <v>BPAL-MERCEDES BENZ</v>
      </c>
      <c r="O27" s="2">
        <f>MONTH(DitrbFlota[[#This Row],[Inicio Operación]])</f>
        <v>4</v>
      </c>
      <c r="P27" s="2">
        <f>YEAR(DitrbFlota[[#This Row],[Inicio Operación]])</f>
        <v>2023</v>
      </c>
      <c r="Q27" s="29">
        <v>90</v>
      </c>
    </row>
    <row r="28" spans="1:25" hidden="1">
      <c r="A28" s="7" t="s">
        <v>421</v>
      </c>
      <c r="B28" s="2" t="s">
        <v>490</v>
      </c>
      <c r="C28" s="2">
        <v>6023</v>
      </c>
      <c r="D28" s="2" t="s">
        <v>285</v>
      </c>
      <c r="E28" s="2" t="s">
        <v>405</v>
      </c>
      <c r="F28" s="2" t="s">
        <v>145</v>
      </c>
      <c r="G28" s="277" t="s">
        <v>423</v>
      </c>
      <c r="H28" s="277" t="s">
        <v>423</v>
      </c>
      <c r="I28" s="277">
        <v>45024</v>
      </c>
      <c r="J28" s="2" t="s">
        <v>830</v>
      </c>
      <c r="K28" s="2" t="s">
        <v>839</v>
      </c>
      <c r="L28" s="2" t="s">
        <v>423</v>
      </c>
      <c r="M28" s="2" t="s">
        <v>826</v>
      </c>
      <c r="N28" s="2" t="str">
        <f>DitrbFlota[[#This Row],[TIPO BUS]]&amp;"-"&amp;DitrbFlota[[#This Row],[MARCA CHASIS]]</f>
        <v>BPAL-MERCEDES BENZ</v>
      </c>
      <c r="O28" s="2">
        <f>MONTH(DitrbFlota[[#This Row],[Inicio Operación]])</f>
        <v>4</v>
      </c>
      <c r="P28" s="2">
        <f>YEAR(DitrbFlota[[#This Row],[Inicio Operación]])</f>
        <v>2023</v>
      </c>
      <c r="Q28" s="29">
        <v>90</v>
      </c>
    </row>
    <row r="29" spans="1:25" hidden="1">
      <c r="A29" s="7" t="s">
        <v>421</v>
      </c>
      <c r="B29" s="2" t="s">
        <v>545</v>
      </c>
      <c r="C29" s="2">
        <v>6024</v>
      </c>
      <c r="D29" s="2" t="s">
        <v>285</v>
      </c>
      <c r="E29" s="2" t="s">
        <v>405</v>
      </c>
      <c r="F29" s="2" t="s">
        <v>145</v>
      </c>
      <c r="G29" s="277" t="s">
        <v>423</v>
      </c>
      <c r="H29" s="277" t="s">
        <v>423</v>
      </c>
      <c r="I29" s="277">
        <v>45024</v>
      </c>
      <c r="J29" s="2" t="s">
        <v>830</v>
      </c>
      <c r="K29" s="2" t="s">
        <v>839</v>
      </c>
      <c r="L29" s="2" t="s">
        <v>423</v>
      </c>
      <c r="M29" s="2"/>
      <c r="N29" s="2" t="str">
        <f>DitrbFlota[[#This Row],[TIPO BUS]]&amp;"-"&amp;DitrbFlota[[#This Row],[MARCA CHASIS]]</f>
        <v>BPAL-MERCEDES BENZ</v>
      </c>
      <c r="O29" s="2">
        <f>MONTH(DitrbFlota[[#This Row],[Inicio Operación]])</f>
        <v>4</v>
      </c>
      <c r="P29" s="2">
        <f>YEAR(DitrbFlota[[#This Row],[Inicio Operación]])</f>
        <v>2023</v>
      </c>
      <c r="Q29" s="29">
        <v>90</v>
      </c>
    </row>
    <row r="30" spans="1:25" hidden="1">
      <c r="A30" s="7" t="s">
        <v>421</v>
      </c>
      <c r="B30" s="2" t="s">
        <v>546</v>
      </c>
      <c r="C30" s="2">
        <v>6025</v>
      </c>
      <c r="D30" s="2" t="s">
        <v>285</v>
      </c>
      <c r="E30" s="2" t="s">
        <v>405</v>
      </c>
      <c r="F30" s="2" t="s">
        <v>145</v>
      </c>
      <c r="G30" s="277" t="s">
        <v>423</v>
      </c>
      <c r="H30" s="277" t="s">
        <v>423</v>
      </c>
      <c r="I30" s="277">
        <v>45024</v>
      </c>
      <c r="J30" s="2" t="s">
        <v>830</v>
      </c>
      <c r="K30" s="2" t="s">
        <v>839</v>
      </c>
      <c r="L30" s="2" t="s">
        <v>423</v>
      </c>
      <c r="M30" s="2"/>
      <c r="N30" s="2" t="str">
        <f>DitrbFlota[[#This Row],[TIPO BUS]]&amp;"-"&amp;DitrbFlota[[#This Row],[MARCA CHASIS]]</f>
        <v>BPAL-MERCEDES BENZ</v>
      </c>
      <c r="O30" s="2">
        <f>MONTH(DitrbFlota[[#This Row],[Inicio Operación]])</f>
        <v>4</v>
      </c>
      <c r="P30" s="2">
        <f>YEAR(DitrbFlota[[#This Row],[Inicio Operación]])</f>
        <v>2023</v>
      </c>
      <c r="Q30" s="29">
        <v>90</v>
      </c>
    </row>
    <row r="31" spans="1:25" hidden="1">
      <c r="A31" s="7" t="s">
        <v>421</v>
      </c>
      <c r="B31" s="2" t="s">
        <v>491</v>
      </c>
      <c r="C31" s="2">
        <v>6026</v>
      </c>
      <c r="D31" s="2" t="s">
        <v>285</v>
      </c>
      <c r="E31" s="2" t="s">
        <v>405</v>
      </c>
      <c r="F31" s="2" t="s">
        <v>145</v>
      </c>
      <c r="G31" s="277" t="s">
        <v>423</v>
      </c>
      <c r="H31" s="277" t="s">
        <v>423</v>
      </c>
      <c r="I31" s="277">
        <v>45024</v>
      </c>
      <c r="J31" s="2" t="s">
        <v>830</v>
      </c>
      <c r="K31" s="2" t="s">
        <v>839</v>
      </c>
      <c r="L31" s="2" t="s">
        <v>423</v>
      </c>
      <c r="M31" s="2" t="s">
        <v>826</v>
      </c>
      <c r="N31" s="2" t="str">
        <f>DitrbFlota[[#This Row],[TIPO BUS]]&amp;"-"&amp;DitrbFlota[[#This Row],[MARCA CHASIS]]</f>
        <v>BPAL-MERCEDES BENZ</v>
      </c>
      <c r="O31" s="2">
        <f>MONTH(DitrbFlota[[#This Row],[Inicio Operación]])</f>
        <v>4</v>
      </c>
      <c r="P31" s="2">
        <f>YEAR(DitrbFlota[[#This Row],[Inicio Operación]])</f>
        <v>2023</v>
      </c>
      <c r="Q31" s="29">
        <v>90</v>
      </c>
    </row>
    <row r="32" spans="1:25" hidden="1">
      <c r="A32" s="7" t="s">
        <v>421</v>
      </c>
      <c r="B32" s="2" t="s">
        <v>448</v>
      </c>
      <c r="C32" s="2">
        <v>6093</v>
      </c>
      <c r="D32" s="2" t="s">
        <v>34</v>
      </c>
      <c r="E32" s="2" t="s">
        <v>13</v>
      </c>
      <c r="F32" s="2" t="s">
        <v>14</v>
      </c>
      <c r="G32" s="277" t="s">
        <v>423</v>
      </c>
      <c r="H32" s="277" t="s">
        <v>423</v>
      </c>
      <c r="I32" s="277">
        <v>44982</v>
      </c>
      <c r="J32" s="2" t="s">
        <v>1341</v>
      </c>
      <c r="K32" s="2" t="s">
        <v>839</v>
      </c>
      <c r="L32" s="2" t="s">
        <v>423</v>
      </c>
      <c r="M32" s="2"/>
      <c r="N32" s="2" t="str">
        <f>DitrbFlota[[#This Row],[TIPO BUS]]&amp;"-"&amp;DitrbFlota[[#This Row],[MARCA CHASIS]]</f>
        <v>B2-VOLVO</v>
      </c>
      <c r="O32" s="2">
        <f>MONTH(DitrbFlota[[#This Row],[Inicio Operación]])</f>
        <v>2</v>
      </c>
      <c r="P32" s="2">
        <f>YEAR(DitrbFlota[[#This Row],[Inicio Operación]])</f>
        <v>2023</v>
      </c>
      <c r="Q32" s="29">
        <v>96</v>
      </c>
    </row>
    <row r="33" spans="1:17" hidden="1">
      <c r="A33" s="7" t="s">
        <v>421</v>
      </c>
      <c r="B33" s="2" t="s">
        <v>449</v>
      </c>
      <c r="C33" s="2">
        <v>6096</v>
      </c>
      <c r="D33" s="2" t="s">
        <v>34</v>
      </c>
      <c r="E33" s="2" t="s">
        <v>25</v>
      </c>
      <c r="F33" s="2" t="s">
        <v>14</v>
      </c>
      <c r="G33" s="277" t="s">
        <v>423</v>
      </c>
      <c r="H33" s="277" t="s">
        <v>423</v>
      </c>
      <c r="I33" s="277">
        <v>44982</v>
      </c>
      <c r="J33" s="2" t="s">
        <v>1341</v>
      </c>
      <c r="K33" s="2" t="s">
        <v>839</v>
      </c>
      <c r="L33" s="2" t="s">
        <v>423</v>
      </c>
      <c r="M33" s="2"/>
      <c r="N33" s="2" t="str">
        <f>DitrbFlota[[#This Row],[TIPO BUS]]&amp;"-"&amp;DitrbFlota[[#This Row],[MARCA CHASIS]]</f>
        <v>B2-VOLVO</v>
      </c>
      <c r="O33" s="2">
        <f>MONTH(DitrbFlota[[#This Row],[Inicio Operación]])</f>
        <v>2</v>
      </c>
      <c r="P33" s="2">
        <f>YEAR(DitrbFlota[[#This Row],[Inicio Operación]])</f>
        <v>2023</v>
      </c>
      <c r="Q33" s="29">
        <v>96</v>
      </c>
    </row>
    <row r="34" spans="1:17" hidden="1">
      <c r="A34" s="7" t="s">
        <v>421</v>
      </c>
      <c r="B34" s="2" t="s">
        <v>450</v>
      </c>
      <c r="C34" s="2">
        <v>6101</v>
      </c>
      <c r="D34" s="2" t="s">
        <v>34</v>
      </c>
      <c r="E34" s="2" t="s">
        <v>13</v>
      </c>
      <c r="F34" s="2" t="s">
        <v>14</v>
      </c>
      <c r="G34" s="277" t="s">
        <v>423</v>
      </c>
      <c r="H34" s="277" t="s">
        <v>423</v>
      </c>
      <c r="I34" s="277">
        <v>44982</v>
      </c>
      <c r="J34" s="2" t="s">
        <v>1341</v>
      </c>
      <c r="K34" s="2" t="s">
        <v>839</v>
      </c>
      <c r="L34" s="2" t="s">
        <v>423</v>
      </c>
      <c r="M34" s="2"/>
      <c r="N34" s="2" t="str">
        <f>DitrbFlota[[#This Row],[TIPO BUS]]&amp;"-"&amp;DitrbFlota[[#This Row],[MARCA CHASIS]]</f>
        <v>B2-VOLVO</v>
      </c>
      <c r="O34" s="2">
        <f>MONTH(DitrbFlota[[#This Row],[Inicio Operación]])</f>
        <v>2</v>
      </c>
      <c r="P34" s="2">
        <f>YEAR(DitrbFlota[[#This Row],[Inicio Operación]])</f>
        <v>2023</v>
      </c>
      <c r="Q34" s="29">
        <v>96</v>
      </c>
    </row>
    <row r="35" spans="1:17" hidden="1">
      <c r="A35" s="7" t="s">
        <v>421</v>
      </c>
      <c r="B35" s="2" t="s">
        <v>451</v>
      </c>
      <c r="C35" s="2">
        <v>6104</v>
      </c>
      <c r="D35" s="2" t="s">
        <v>34</v>
      </c>
      <c r="E35" s="2" t="s">
        <v>13</v>
      </c>
      <c r="F35" s="2" t="s">
        <v>14</v>
      </c>
      <c r="G35" s="277" t="s">
        <v>423</v>
      </c>
      <c r="H35" s="277" t="s">
        <v>423</v>
      </c>
      <c r="I35" s="277">
        <v>44982</v>
      </c>
      <c r="J35" s="2" t="s">
        <v>1341</v>
      </c>
      <c r="K35" s="2" t="s">
        <v>839</v>
      </c>
      <c r="L35" s="2" t="s">
        <v>423</v>
      </c>
      <c r="M35" s="2"/>
      <c r="N35" s="2" t="str">
        <f>DitrbFlota[[#This Row],[TIPO BUS]]&amp;"-"&amp;DitrbFlota[[#This Row],[MARCA CHASIS]]</f>
        <v>B2-VOLVO</v>
      </c>
      <c r="O35" s="2">
        <f>MONTH(DitrbFlota[[#This Row],[Inicio Operación]])</f>
        <v>2</v>
      </c>
      <c r="P35" s="2">
        <f>YEAR(DitrbFlota[[#This Row],[Inicio Operación]])</f>
        <v>2023</v>
      </c>
      <c r="Q35" s="29">
        <v>96</v>
      </c>
    </row>
    <row r="36" spans="1:17" hidden="1">
      <c r="A36" s="7" t="s">
        <v>421</v>
      </c>
      <c r="B36" s="2" t="s">
        <v>452</v>
      </c>
      <c r="C36" s="2">
        <v>6105</v>
      </c>
      <c r="D36" s="2" t="s">
        <v>34</v>
      </c>
      <c r="E36" s="2" t="s">
        <v>13</v>
      </c>
      <c r="F36" s="2" t="s">
        <v>14</v>
      </c>
      <c r="G36" s="277" t="s">
        <v>423</v>
      </c>
      <c r="H36" s="277" t="s">
        <v>423</v>
      </c>
      <c r="I36" s="277">
        <v>44982</v>
      </c>
      <c r="J36" s="2" t="s">
        <v>1341</v>
      </c>
      <c r="K36" s="2" t="s">
        <v>839</v>
      </c>
      <c r="L36" s="2" t="s">
        <v>423</v>
      </c>
      <c r="M36" s="2"/>
      <c r="N36" s="2" t="str">
        <f>DitrbFlota[[#This Row],[TIPO BUS]]&amp;"-"&amp;DitrbFlota[[#This Row],[MARCA CHASIS]]</f>
        <v>B2-VOLVO</v>
      </c>
      <c r="O36" s="2">
        <f>MONTH(DitrbFlota[[#This Row],[Inicio Operación]])</f>
        <v>2</v>
      </c>
      <c r="P36" s="2">
        <f>YEAR(DitrbFlota[[#This Row],[Inicio Operación]])</f>
        <v>2023</v>
      </c>
      <c r="Q36" s="29">
        <v>96</v>
      </c>
    </row>
    <row r="37" spans="1:17" hidden="1">
      <c r="A37" s="7" t="s">
        <v>421</v>
      </c>
      <c r="B37" s="2" t="s">
        <v>453</v>
      </c>
      <c r="C37" s="2">
        <v>6106</v>
      </c>
      <c r="D37" s="2" t="s">
        <v>34</v>
      </c>
      <c r="E37" s="2" t="s">
        <v>13</v>
      </c>
      <c r="F37" s="2" t="s">
        <v>14</v>
      </c>
      <c r="G37" s="277" t="s">
        <v>423</v>
      </c>
      <c r="H37" s="277" t="s">
        <v>423</v>
      </c>
      <c r="I37" s="277">
        <v>44982</v>
      </c>
      <c r="J37" s="2" t="s">
        <v>1341</v>
      </c>
      <c r="K37" s="2" t="s">
        <v>839</v>
      </c>
      <c r="L37" s="2" t="s">
        <v>423</v>
      </c>
      <c r="M37" s="2"/>
      <c r="N37" s="2" t="str">
        <f>DitrbFlota[[#This Row],[TIPO BUS]]&amp;"-"&amp;DitrbFlota[[#This Row],[MARCA CHASIS]]</f>
        <v>B2-VOLVO</v>
      </c>
      <c r="O37" s="2">
        <f>MONTH(DitrbFlota[[#This Row],[Inicio Operación]])</f>
        <v>2</v>
      </c>
      <c r="P37" s="2">
        <f>YEAR(DitrbFlota[[#This Row],[Inicio Operación]])</f>
        <v>2023</v>
      </c>
      <c r="Q37" s="29">
        <v>96</v>
      </c>
    </row>
    <row r="38" spans="1:17" hidden="1">
      <c r="A38" s="7" t="s">
        <v>421</v>
      </c>
      <c r="B38" s="2" t="s">
        <v>454</v>
      </c>
      <c r="C38" s="2">
        <v>6108</v>
      </c>
      <c r="D38" s="2" t="s">
        <v>34</v>
      </c>
      <c r="E38" s="2" t="s">
        <v>13</v>
      </c>
      <c r="F38" s="2" t="s">
        <v>14</v>
      </c>
      <c r="G38" s="277" t="s">
        <v>423</v>
      </c>
      <c r="H38" s="277" t="s">
        <v>423</v>
      </c>
      <c r="I38" s="277">
        <v>44982</v>
      </c>
      <c r="J38" s="2" t="s">
        <v>1341</v>
      </c>
      <c r="K38" s="2" t="s">
        <v>839</v>
      </c>
      <c r="L38" s="2" t="s">
        <v>423</v>
      </c>
      <c r="M38" s="2"/>
      <c r="N38" s="2" t="str">
        <f>DitrbFlota[[#This Row],[TIPO BUS]]&amp;"-"&amp;DitrbFlota[[#This Row],[MARCA CHASIS]]</f>
        <v>B2-VOLVO</v>
      </c>
      <c r="O38" s="2">
        <f>MONTH(DitrbFlota[[#This Row],[Inicio Operación]])</f>
        <v>2</v>
      </c>
      <c r="P38" s="2">
        <f>YEAR(DitrbFlota[[#This Row],[Inicio Operación]])</f>
        <v>2023</v>
      </c>
      <c r="Q38" s="29">
        <v>96</v>
      </c>
    </row>
    <row r="39" spans="1:17" hidden="1">
      <c r="A39" s="7" t="s">
        <v>421</v>
      </c>
      <c r="B39" s="2" t="s">
        <v>455</v>
      </c>
      <c r="C39" s="2">
        <v>6111</v>
      </c>
      <c r="D39" s="2" t="s">
        <v>34</v>
      </c>
      <c r="E39" s="2" t="s">
        <v>13</v>
      </c>
      <c r="F39" s="2" t="s">
        <v>14</v>
      </c>
      <c r="G39" s="277" t="s">
        <v>423</v>
      </c>
      <c r="H39" s="277" t="s">
        <v>423</v>
      </c>
      <c r="I39" s="277">
        <v>44982</v>
      </c>
      <c r="J39" s="2" t="s">
        <v>1341</v>
      </c>
      <c r="K39" s="2" t="s">
        <v>839</v>
      </c>
      <c r="L39" s="2" t="s">
        <v>423</v>
      </c>
      <c r="M39" s="2"/>
      <c r="N39" s="2" t="str">
        <f>DitrbFlota[[#This Row],[TIPO BUS]]&amp;"-"&amp;DitrbFlota[[#This Row],[MARCA CHASIS]]</f>
        <v>B2-VOLVO</v>
      </c>
      <c r="O39" s="2">
        <f>MONTH(DitrbFlota[[#This Row],[Inicio Operación]])</f>
        <v>2</v>
      </c>
      <c r="P39" s="2">
        <f>YEAR(DitrbFlota[[#This Row],[Inicio Operación]])</f>
        <v>2023</v>
      </c>
      <c r="Q39" s="29">
        <v>96</v>
      </c>
    </row>
    <row r="40" spans="1:17" hidden="1">
      <c r="A40" s="7" t="s">
        <v>421</v>
      </c>
      <c r="B40" s="2" t="s">
        <v>456</v>
      </c>
      <c r="C40" s="2">
        <v>6112</v>
      </c>
      <c r="D40" s="2" t="s">
        <v>34</v>
      </c>
      <c r="E40" s="2" t="s">
        <v>13</v>
      </c>
      <c r="F40" s="2" t="s">
        <v>14</v>
      </c>
      <c r="G40" s="277" t="s">
        <v>423</v>
      </c>
      <c r="H40" s="277" t="s">
        <v>423</v>
      </c>
      <c r="I40" s="277">
        <v>44982</v>
      </c>
      <c r="J40" s="2" t="s">
        <v>1341</v>
      </c>
      <c r="K40" s="2" t="s">
        <v>839</v>
      </c>
      <c r="L40" s="2" t="s">
        <v>423</v>
      </c>
      <c r="M40" s="2"/>
      <c r="N40" s="2" t="str">
        <f>DitrbFlota[[#This Row],[TIPO BUS]]&amp;"-"&amp;DitrbFlota[[#This Row],[MARCA CHASIS]]</f>
        <v>B2-VOLVO</v>
      </c>
      <c r="O40" s="2">
        <f>MONTH(DitrbFlota[[#This Row],[Inicio Operación]])</f>
        <v>2</v>
      </c>
      <c r="P40" s="2">
        <f>YEAR(DitrbFlota[[#This Row],[Inicio Operación]])</f>
        <v>2023</v>
      </c>
      <c r="Q40" s="29">
        <v>96</v>
      </c>
    </row>
    <row r="41" spans="1:17" hidden="1">
      <c r="A41" s="7" t="s">
        <v>421</v>
      </c>
      <c r="B41" s="2" t="s">
        <v>457</v>
      </c>
      <c r="C41" s="2">
        <v>6114</v>
      </c>
      <c r="D41" s="2" t="s">
        <v>34</v>
      </c>
      <c r="E41" s="2" t="s">
        <v>13</v>
      </c>
      <c r="F41" s="2" t="s">
        <v>14</v>
      </c>
      <c r="G41" s="277" t="s">
        <v>423</v>
      </c>
      <c r="H41" s="277" t="s">
        <v>423</v>
      </c>
      <c r="I41" s="277">
        <v>44982</v>
      </c>
      <c r="J41" s="2" t="s">
        <v>1341</v>
      </c>
      <c r="K41" s="2" t="s">
        <v>839</v>
      </c>
      <c r="L41" s="2" t="s">
        <v>423</v>
      </c>
      <c r="M41" s="2"/>
      <c r="N41" s="2" t="str">
        <f>DitrbFlota[[#This Row],[TIPO BUS]]&amp;"-"&amp;DitrbFlota[[#This Row],[MARCA CHASIS]]</f>
        <v>B2-VOLVO</v>
      </c>
      <c r="O41" s="2">
        <f>MONTH(DitrbFlota[[#This Row],[Inicio Operación]])</f>
        <v>2</v>
      </c>
      <c r="P41" s="2">
        <f>YEAR(DitrbFlota[[#This Row],[Inicio Operación]])</f>
        <v>2023</v>
      </c>
      <c r="Q41" s="29">
        <v>96</v>
      </c>
    </row>
    <row r="42" spans="1:17" hidden="1">
      <c r="A42" s="7" t="s">
        <v>421</v>
      </c>
      <c r="B42" s="2" t="s">
        <v>458</v>
      </c>
      <c r="C42" s="2">
        <v>6115</v>
      </c>
      <c r="D42" s="2" t="s">
        <v>34</v>
      </c>
      <c r="E42" s="2" t="s">
        <v>13</v>
      </c>
      <c r="F42" s="2" t="s">
        <v>14</v>
      </c>
      <c r="G42" s="277" t="s">
        <v>423</v>
      </c>
      <c r="H42" s="277" t="s">
        <v>423</v>
      </c>
      <c r="I42" s="277">
        <v>44982</v>
      </c>
      <c r="J42" s="2" t="s">
        <v>1341</v>
      </c>
      <c r="K42" s="2" t="s">
        <v>839</v>
      </c>
      <c r="L42" s="2" t="s">
        <v>423</v>
      </c>
      <c r="M42" s="2"/>
      <c r="N42" s="2" t="str">
        <f>DitrbFlota[[#This Row],[TIPO BUS]]&amp;"-"&amp;DitrbFlota[[#This Row],[MARCA CHASIS]]</f>
        <v>B2-VOLVO</v>
      </c>
      <c r="O42" s="2">
        <f>MONTH(DitrbFlota[[#This Row],[Inicio Operación]])</f>
        <v>2</v>
      </c>
      <c r="P42" s="2">
        <f>YEAR(DitrbFlota[[#This Row],[Inicio Operación]])</f>
        <v>2023</v>
      </c>
      <c r="Q42" s="29">
        <v>96</v>
      </c>
    </row>
    <row r="43" spans="1:17" hidden="1">
      <c r="A43" s="7" t="s">
        <v>421</v>
      </c>
      <c r="B43" s="2" t="s">
        <v>483</v>
      </c>
      <c r="C43" s="2">
        <v>6116</v>
      </c>
      <c r="D43" s="2" t="s">
        <v>34</v>
      </c>
      <c r="E43" s="2" t="s">
        <v>13</v>
      </c>
      <c r="F43" s="2" t="s">
        <v>14</v>
      </c>
      <c r="G43" s="277" t="s">
        <v>423</v>
      </c>
      <c r="H43" s="277" t="s">
        <v>423</v>
      </c>
      <c r="I43" s="277">
        <v>44982</v>
      </c>
      <c r="J43" s="2" t="s">
        <v>1341</v>
      </c>
      <c r="K43" s="2" t="s">
        <v>839</v>
      </c>
      <c r="L43" s="2" t="s">
        <v>423</v>
      </c>
      <c r="M43" s="2"/>
      <c r="N43" s="2" t="str">
        <f>DitrbFlota[[#This Row],[TIPO BUS]]&amp;"-"&amp;DitrbFlota[[#This Row],[MARCA CHASIS]]</f>
        <v>B2-VOLVO</v>
      </c>
      <c r="O43" s="2">
        <f>MONTH(DitrbFlota[[#This Row],[Inicio Operación]])</f>
        <v>2</v>
      </c>
      <c r="P43" s="2">
        <f>YEAR(DitrbFlota[[#This Row],[Inicio Operación]])</f>
        <v>2023</v>
      </c>
      <c r="Q43" s="29">
        <v>96</v>
      </c>
    </row>
    <row r="44" spans="1:17" hidden="1">
      <c r="A44" s="7" t="s">
        <v>421</v>
      </c>
      <c r="B44" s="2" t="s">
        <v>459</v>
      </c>
      <c r="C44" s="2">
        <v>6119</v>
      </c>
      <c r="D44" s="2" t="s">
        <v>34</v>
      </c>
      <c r="E44" s="2" t="s">
        <v>13</v>
      </c>
      <c r="F44" s="2" t="s">
        <v>14</v>
      </c>
      <c r="G44" s="277" t="s">
        <v>423</v>
      </c>
      <c r="H44" s="277" t="s">
        <v>423</v>
      </c>
      <c r="I44" s="277">
        <v>44982</v>
      </c>
      <c r="J44" s="2" t="s">
        <v>1341</v>
      </c>
      <c r="K44" s="2" t="s">
        <v>839</v>
      </c>
      <c r="L44" s="2" t="s">
        <v>423</v>
      </c>
      <c r="M44" s="2"/>
      <c r="N44" s="2" t="str">
        <f>DitrbFlota[[#This Row],[TIPO BUS]]&amp;"-"&amp;DitrbFlota[[#This Row],[MARCA CHASIS]]</f>
        <v>B2-VOLVO</v>
      </c>
      <c r="O44" s="2">
        <f>MONTH(DitrbFlota[[#This Row],[Inicio Operación]])</f>
        <v>2</v>
      </c>
      <c r="P44" s="2">
        <f>YEAR(DitrbFlota[[#This Row],[Inicio Operación]])</f>
        <v>2023</v>
      </c>
      <c r="Q44" s="29">
        <v>96</v>
      </c>
    </row>
    <row r="45" spans="1:17" hidden="1">
      <c r="A45" s="7" t="s">
        <v>421</v>
      </c>
      <c r="B45" s="2" t="s">
        <v>460</v>
      </c>
      <c r="C45" s="2">
        <v>6120</v>
      </c>
      <c r="D45" s="2" t="s">
        <v>34</v>
      </c>
      <c r="E45" s="2" t="s">
        <v>13</v>
      </c>
      <c r="F45" s="2" t="s">
        <v>14</v>
      </c>
      <c r="G45" s="277" t="s">
        <v>423</v>
      </c>
      <c r="H45" s="277" t="s">
        <v>423</v>
      </c>
      <c r="I45" s="277">
        <v>44982</v>
      </c>
      <c r="J45" s="2" t="s">
        <v>1341</v>
      </c>
      <c r="K45" s="2" t="s">
        <v>839</v>
      </c>
      <c r="L45" s="2" t="s">
        <v>423</v>
      </c>
      <c r="M45" s="2"/>
      <c r="N45" s="2" t="str">
        <f>DitrbFlota[[#This Row],[TIPO BUS]]&amp;"-"&amp;DitrbFlota[[#This Row],[MARCA CHASIS]]</f>
        <v>B2-VOLVO</v>
      </c>
      <c r="O45" s="2">
        <f>MONTH(DitrbFlota[[#This Row],[Inicio Operación]])</f>
        <v>2</v>
      </c>
      <c r="P45" s="2">
        <f>YEAR(DitrbFlota[[#This Row],[Inicio Operación]])</f>
        <v>2023</v>
      </c>
      <c r="Q45" s="29">
        <v>96</v>
      </c>
    </row>
    <row r="46" spans="1:17" hidden="1">
      <c r="A46" s="7" t="s">
        <v>421</v>
      </c>
      <c r="B46" s="2" t="s">
        <v>461</v>
      </c>
      <c r="C46" s="2">
        <v>6122</v>
      </c>
      <c r="D46" s="2" t="s">
        <v>34</v>
      </c>
      <c r="E46" s="2" t="s">
        <v>13</v>
      </c>
      <c r="F46" s="2" t="s">
        <v>14</v>
      </c>
      <c r="G46" s="277" t="s">
        <v>423</v>
      </c>
      <c r="H46" s="277" t="s">
        <v>423</v>
      </c>
      <c r="I46" s="277">
        <v>44982</v>
      </c>
      <c r="J46" s="2" t="s">
        <v>1341</v>
      </c>
      <c r="K46" s="2" t="s">
        <v>839</v>
      </c>
      <c r="L46" s="2" t="s">
        <v>423</v>
      </c>
      <c r="M46" s="2"/>
      <c r="N46" s="2" t="str">
        <f>DitrbFlota[[#This Row],[TIPO BUS]]&amp;"-"&amp;DitrbFlota[[#This Row],[MARCA CHASIS]]</f>
        <v>B2-VOLVO</v>
      </c>
      <c r="O46" s="2">
        <f>MONTH(DitrbFlota[[#This Row],[Inicio Operación]])</f>
        <v>2</v>
      </c>
      <c r="P46" s="2">
        <f>YEAR(DitrbFlota[[#This Row],[Inicio Operación]])</f>
        <v>2023</v>
      </c>
      <c r="Q46" s="29">
        <v>96</v>
      </c>
    </row>
    <row r="47" spans="1:17" hidden="1">
      <c r="A47" s="7" t="s">
        <v>421</v>
      </c>
      <c r="B47" s="2" t="s">
        <v>462</v>
      </c>
      <c r="C47" s="2">
        <v>6124</v>
      </c>
      <c r="D47" s="2" t="s">
        <v>34</v>
      </c>
      <c r="E47" s="2" t="s">
        <v>13</v>
      </c>
      <c r="F47" s="2" t="s">
        <v>14</v>
      </c>
      <c r="G47" s="277" t="s">
        <v>423</v>
      </c>
      <c r="H47" s="277" t="s">
        <v>423</v>
      </c>
      <c r="I47" s="277">
        <v>44982</v>
      </c>
      <c r="J47" s="2" t="s">
        <v>1341</v>
      </c>
      <c r="K47" s="2" t="s">
        <v>839</v>
      </c>
      <c r="L47" s="2" t="s">
        <v>423</v>
      </c>
      <c r="M47" s="2"/>
      <c r="N47" s="2" t="str">
        <f>DitrbFlota[[#This Row],[TIPO BUS]]&amp;"-"&amp;DitrbFlota[[#This Row],[MARCA CHASIS]]</f>
        <v>B2-VOLVO</v>
      </c>
      <c r="O47" s="2">
        <f>MONTH(DitrbFlota[[#This Row],[Inicio Operación]])</f>
        <v>2</v>
      </c>
      <c r="P47" s="2">
        <f>YEAR(DitrbFlota[[#This Row],[Inicio Operación]])</f>
        <v>2023</v>
      </c>
      <c r="Q47" s="29">
        <v>96</v>
      </c>
    </row>
    <row r="48" spans="1:17" hidden="1">
      <c r="A48" s="7" t="s">
        <v>421</v>
      </c>
      <c r="B48" s="2" t="s">
        <v>464</v>
      </c>
      <c r="C48" s="2">
        <v>6127</v>
      </c>
      <c r="D48" s="2" t="s">
        <v>34</v>
      </c>
      <c r="E48" s="2" t="s">
        <v>13</v>
      </c>
      <c r="F48" s="2" t="s">
        <v>14</v>
      </c>
      <c r="G48" s="277" t="s">
        <v>423</v>
      </c>
      <c r="H48" s="277" t="s">
        <v>423</v>
      </c>
      <c r="I48" s="277">
        <v>44982</v>
      </c>
      <c r="J48" s="2" t="s">
        <v>1341</v>
      </c>
      <c r="K48" s="2" t="s">
        <v>839</v>
      </c>
      <c r="L48" s="2" t="s">
        <v>423</v>
      </c>
      <c r="M48" s="2"/>
      <c r="N48" s="2" t="str">
        <f>DitrbFlota[[#This Row],[TIPO BUS]]&amp;"-"&amp;DitrbFlota[[#This Row],[MARCA CHASIS]]</f>
        <v>B2-VOLVO</v>
      </c>
      <c r="O48" s="2">
        <f>MONTH(DitrbFlota[[#This Row],[Inicio Operación]])</f>
        <v>2</v>
      </c>
      <c r="P48" s="2">
        <f>YEAR(DitrbFlota[[#This Row],[Inicio Operación]])</f>
        <v>2023</v>
      </c>
      <c r="Q48" s="29">
        <v>96</v>
      </c>
    </row>
    <row r="49" spans="1:17" hidden="1">
      <c r="A49" s="7" t="s">
        <v>421</v>
      </c>
      <c r="B49" s="2" t="s">
        <v>465</v>
      </c>
      <c r="C49" s="2">
        <v>6128</v>
      </c>
      <c r="D49" s="2" t="s">
        <v>34</v>
      </c>
      <c r="E49" s="2" t="s">
        <v>13</v>
      </c>
      <c r="F49" s="2" t="s">
        <v>14</v>
      </c>
      <c r="G49" s="277" t="s">
        <v>423</v>
      </c>
      <c r="H49" s="277" t="s">
        <v>423</v>
      </c>
      <c r="I49" s="277">
        <v>44982</v>
      </c>
      <c r="J49" s="2" t="s">
        <v>1341</v>
      </c>
      <c r="K49" s="2" t="s">
        <v>839</v>
      </c>
      <c r="L49" s="2" t="s">
        <v>423</v>
      </c>
      <c r="M49" s="2"/>
      <c r="N49" s="2" t="str">
        <f>DitrbFlota[[#This Row],[TIPO BUS]]&amp;"-"&amp;DitrbFlota[[#This Row],[MARCA CHASIS]]</f>
        <v>B2-VOLVO</v>
      </c>
      <c r="O49" s="2">
        <f>MONTH(DitrbFlota[[#This Row],[Inicio Operación]])</f>
        <v>2</v>
      </c>
      <c r="P49" s="2">
        <f>YEAR(DitrbFlota[[#This Row],[Inicio Operación]])</f>
        <v>2023</v>
      </c>
      <c r="Q49" s="29">
        <v>96</v>
      </c>
    </row>
    <row r="50" spans="1:17" hidden="1">
      <c r="A50" s="7" t="s">
        <v>421</v>
      </c>
      <c r="B50" s="2" t="s">
        <v>466</v>
      </c>
      <c r="C50" s="2">
        <v>6129</v>
      </c>
      <c r="D50" s="2" t="s">
        <v>34</v>
      </c>
      <c r="E50" s="2" t="s">
        <v>13</v>
      </c>
      <c r="F50" s="2" t="s">
        <v>14</v>
      </c>
      <c r="G50" s="277" t="s">
        <v>423</v>
      </c>
      <c r="H50" s="277" t="s">
        <v>423</v>
      </c>
      <c r="I50" s="277">
        <v>44982</v>
      </c>
      <c r="J50" s="2" t="s">
        <v>1341</v>
      </c>
      <c r="K50" s="2" t="s">
        <v>839</v>
      </c>
      <c r="L50" s="2" t="s">
        <v>423</v>
      </c>
      <c r="M50" s="2"/>
      <c r="N50" s="2" t="str">
        <f>DitrbFlota[[#This Row],[TIPO BUS]]&amp;"-"&amp;DitrbFlota[[#This Row],[MARCA CHASIS]]</f>
        <v>B2-VOLVO</v>
      </c>
      <c r="O50" s="2">
        <f>MONTH(DitrbFlota[[#This Row],[Inicio Operación]])</f>
        <v>2</v>
      </c>
      <c r="P50" s="2">
        <f>YEAR(DitrbFlota[[#This Row],[Inicio Operación]])</f>
        <v>2023</v>
      </c>
      <c r="Q50" s="29">
        <v>96</v>
      </c>
    </row>
    <row r="51" spans="1:17" hidden="1">
      <c r="A51" s="7" t="s">
        <v>421</v>
      </c>
      <c r="B51" s="2" t="s">
        <v>467</v>
      </c>
      <c r="C51" s="2">
        <v>6130</v>
      </c>
      <c r="D51" s="2" t="s">
        <v>34</v>
      </c>
      <c r="E51" s="2" t="s">
        <v>13</v>
      </c>
      <c r="F51" s="2" t="s">
        <v>14</v>
      </c>
      <c r="G51" s="277" t="s">
        <v>423</v>
      </c>
      <c r="H51" s="277" t="s">
        <v>423</v>
      </c>
      <c r="I51" s="277">
        <v>44982</v>
      </c>
      <c r="J51" s="2" t="s">
        <v>1341</v>
      </c>
      <c r="K51" s="2" t="s">
        <v>839</v>
      </c>
      <c r="L51" s="2" t="s">
        <v>423</v>
      </c>
      <c r="M51" s="2"/>
      <c r="N51" s="2" t="str">
        <f>DitrbFlota[[#This Row],[TIPO BUS]]&amp;"-"&amp;DitrbFlota[[#This Row],[MARCA CHASIS]]</f>
        <v>B2-VOLVO</v>
      </c>
      <c r="O51" s="2">
        <f>MONTH(DitrbFlota[[#This Row],[Inicio Operación]])</f>
        <v>2</v>
      </c>
      <c r="P51" s="2">
        <f>YEAR(DitrbFlota[[#This Row],[Inicio Operación]])</f>
        <v>2023</v>
      </c>
      <c r="Q51" s="29">
        <v>96</v>
      </c>
    </row>
    <row r="52" spans="1:17" hidden="1">
      <c r="A52" s="7" t="s">
        <v>421</v>
      </c>
      <c r="B52" s="2" t="s">
        <v>468</v>
      </c>
      <c r="C52" s="2">
        <v>6131</v>
      </c>
      <c r="D52" s="2" t="s">
        <v>34</v>
      </c>
      <c r="E52" s="2" t="s">
        <v>13</v>
      </c>
      <c r="F52" s="2" t="s">
        <v>14</v>
      </c>
      <c r="G52" s="277" t="s">
        <v>423</v>
      </c>
      <c r="H52" s="277" t="s">
        <v>423</v>
      </c>
      <c r="I52" s="277">
        <v>44982</v>
      </c>
      <c r="J52" s="2" t="s">
        <v>1341</v>
      </c>
      <c r="K52" s="2" t="s">
        <v>839</v>
      </c>
      <c r="L52" s="2" t="s">
        <v>423</v>
      </c>
      <c r="M52" s="2"/>
      <c r="N52" s="2" t="str">
        <f>DitrbFlota[[#This Row],[TIPO BUS]]&amp;"-"&amp;DitrbFlota[[#This Row],[MARCA CHASIS]]</f>
        <v>B2-VOLVO</v>
      </c>
      <c r="O52" s="2">
        <f>MONTH(DitrbFlota[[#This Row],[Inicio Operación]])</f>
        <v>2</v>
      </c>
      <c r="P52" s="2">
        <f>YEAR(DitrbFlota[[#This Row],[Inicio Operación]])</f>
        <v>2023</v>
      </c>
      <c r="Q52" s="29">
        <v>96</v>
      </c>
    </row>
    <row r="53" spans="1:17" hidden="1">
      <c r="A53" s="7" t="s">
        <v>421</v>
      </c>
      <c r="B53" s="2" t="s">
        <v>469</v>
      </c>
      <c r="C53" s="2">
        <v>6132</v>
      </c>
      <c r="D53" s="2" t="s">
        <v>34</v>
      </c>
      <c r="E53" s="2" t="s">
        <v>13</v>
      </c>
      <c r="F53" s="2" t="s">
        <v>14</v>
      </c>
      <c r="G53" s="277" t="s">
        <v>423</v>
      </c>
      <c r="H53" s="277" t="s">
        <v>423</v>
      </c>
      <c r="I53" s="277">
        <v>44982</v>
      </c>
      <c r="J53" s="2" t="s">
        <v>1341</v>
      </c>
      <c r="K53" s="2" t="s">
        <v>839</v>
      </c>
      <c r="L53" s="2" t="s">
        <v>423</v>
      </c>
      <c r="M53" s="2"/>
      <c r="N53" s="2" t="str">
        <f>DitrbFlota[[#This Row],[TIPO BUS]]&amp;"-"&amp;DitrbFlota[[#This Row],[MARCA CHASIS]]</f>
        <v>B2-VOLVO</v>
      </c>
      <c r="O53" s="2">
        <f>MONTH(DitrbFlota[[#This Row],[Inicio Operación]])</f>
        <v>2</v>
      </c>
      <c r="P53" s="2">
        <f>YEAR(DitrbFlota[[#This Row],[Inicio Operación]])</f>
        <v>2023</v>
      </c>
      <c r="Q53" s="29">
        <v>96</v>
      </c>
    </row>
    <row r="54" spans="1:17" hidden="1">
      <c r="A54" s="7" t="s">
        <v>421</v>
      </c>
      <c r="B54" s="2" t="s">
        <v>471</v>
      </c>
      <c r="C54" s="2">
        <v>6134</v>
      </c>
      <c r="D54" s="2" t="s">
        <v>34</v>
      </c>
      <c r="E54" s="2" t="s">
        <v>13</v>
      </c>
      <c r="F54" s="2" t="s">
        <v>14</v>
      </c>
      <c r="G54" s="277" t="s">
        <v>423</v>
      </c>
      <c r="H54" s="277" t="s">
        <v>423</v>
      </c>
      <c r="I54" s="277">
        <v>44982</v>
      </c>
      <c r="J54" s="2" t="s">
        <v>1341</v>
      </c>
      <c r="K54" s="2" t="s">
        <v>839</v>
      </c>
      <c r="L54" s="2" t="s">
        <v>423</v>
      </c>
      <c r="M54" s="2"/>
      <c r="N54" s="2" t="str">
        <f>DitrbFlota[[#This Row],[TIPO BUS]]&amp;"-"&amp;DitrbFlota[[#This Row],[MARCA CHASIS]]</f>
        <v>B2-VOLVO</v>
      </c>
      <c r="O54" s="2">
        <f>MONTH(DitrbFlota[[#This Row],[Inicio Operación]])</f>
        <v>2</v>
      </c>
      <c r="P54" s="2">
        <f>YEAR(DitrbFlota[[#This Row],[Inicio Operación]])</f>
        <v>2023</v>
      </c>
      <c r="Q54" s="29">
        <v>96</v>
      </c>
    </row>
    <row r="55" spans="1:17" hidden="1">
      <c r="A55" s="7" t="s">
        <v>421</v>
      </c>
      <c r="B55" s="2" t="s">
        <v>472</v>
      </c>
      <c r="C55" s="2">
        <v>6135</v>
      </c>
      <c r="D55" s="2" t="s">
        <v>34</v>
      </c>
      <c r="E55" s="2" t="s">
        <v>13</v>
      </c>
      <c r="F55" s="2" t="s">
        <v>14</v>
      </c>
      <c r="G55" s="277" t="s">
        <v>423</v>
      </c>
      <c r="H55" s="277" t="s">
        <v>423</v>
      </c>
      <c r="I55" s="277">
        <v>44982</v>
      </c>
      <c r="J55" s="2" t="s">
        <v>1341</v>
      </c>
      <c r="K55" s="2" t="s">
        <v>839</v>
      </c>
      <c r="L55" s="2" t="s">
        <v>423</v>
      </c>
      <c r="M55" s="2"/>
      <c r="N55" s="2" t="str">
        <f>DitrbFlota[[#This Row],[TIPO BUS]]&amp;"-"&amp;DitrbFlota[[#This Row],[MARCA CHASIS]]</f>
        <v>B2-VOLVO</v>
      </c>
      <c r="O55" s="2">
        <f>MONTH(DitrbFlota[[#This Row],[Inicio Operación]])</f>
        <v>2</v>
      </c>
      <c r="P55" s="2">
        <f>YEAR(DitrbFlota[[#This Row],[Inicio Operación]])</f>
        <v>2023</v>
      </c>
      <c r="Q55" s="29">
        <v>96</v>
      </c>
    </row>
    <row r="56" spans="1:17" hidden="1">
      <c r="A56" s="7" t="s">
        <v>421</v>
      </c>
      <c r="B56" s="2" t="s">
        <v>473</v>
      </c>
      <c r="C56" s="2">
        <v>6136</v>
      </c>
      <c r="D56" s="2" t="s">
        <v>34</v>
      </c>
      <c r="E56" s="2" t="s">
        <v>13</v>
      </c>
      <c r="F56" s="2" t="s">
        <v>14</v>
      </c>
      <c r="G56" s="277" t="s">
        <v>423</v>
      </c>
      <c r="H56" s="277" t="s">
        <v>423</v>
      </c>
      <c r="I56" s="277">
        <v>44982</v>
      </c>
      <c r="J56" s="2" t="s">
        <v>1341</v>
      </c>
      <c r="K56" s="2" t="s">
        <v>839</v>
      </c>
      <c r="L56" s="2" t="s">
        <v>423</v>
      </c>
      <c r="M56" s="2"/>
      <c r="N56" s="2" t="str">
        <f>DitrbFlota[[#This Row],[TIPO BUS]]&amp;"-"&amp;DitrbFlota[[#This Row],[MARCA CHASIS]]</f>
        <v>B2-VOLVO</v>
      </c>
      <c r="O56" s="2">
        <f>MONTH(DitrbFlota[[#This Row],[Inicio Operación]])</f>
        <v>2</v>
      </c>
      <c r="P56" s="2">
        <f>YEAR(DitrbFlota[[#This Row],[Inicio Operación]])</f>
        <v>2023</v>
      </c>
      <c r="Q56" s="29">
        <v>96</v>
      </c>
    </row>
    <row r="57" spans="1:17" hidden="1">
      <c r="A57" s="7" t="s">
        <v>421</v>
      </c>
      <c r="B57" s="2" t="s">
        <v>474</v>
      </c>
      <c r="C57" s="2">
        <v>6139</v>
      </c>
      <c r="D57" s="2" t="s">
        <v>34</v>
      </c>
      <c r="E57" s="2" t="s">
        <v>13</v>
      </c>
      <c r="F57" s="2" t="s">
        <v>14</v>
      </c>
      <c r="G57" s="277" t="s">
        <v>423</v>
      </c>
      <c r="H57" s="277" t="s">
        <v>423</v>
      </c>
      <c r="I57" s="277">
        <v>44982</v>
      </c>
      <c r="J57" s="2" t="s">
        <v>1341</v>
      </c>
      <c r="K57" s="2" t="s">
        <v>839</v>
      </c>
      <c r="L57" s="2" t="s">
        <v>423</v>
      </c>
      <c r="M57" s="2"/>
      <c r="N57" s="2" t="str">
        <f>DitrbFlota[[#This Row],[TIPO BUS]]&amp;"-"&amp;DitrbFlota[[#This Row],[MARCA CHASIS]]</f>
        <v>B2-VOLVO</v>
      </c>
      <c r="O57" s="2">
        <f>MONTH(DitrbFlota[[#This Row],[Inicio Operación]])</f>
        <v>2</v>
      </c>
      <c r="P57" s="2">
        <f>YEAR(DitrbFlota[[#This Row],[Inicio Operación]])</f>
        <v>2023</v>
      </c>
      <c r="Q57" s="29">
        <v>96</v>
      </c>
    </row>
    <row r="58" spans="1:17" hidden="1">
      <c r="A58" s="7" t="s">
        <v>421</v>
      </c>
      <c r="B58" s="2" t="s">
        <v>475</v>
      </c>
      <c r="C58" s="2">
        <v>6141</v>
      </c>
      <c r="D58" s="2" t="s">
        <v>34</v>
      </c>
      <c r="E58" s="2" t="s">
        <v>13</v>
      </c>
      <c r="F58" s="2" t="s">
        <v>14</v>
      </c>
      <c r="G58" s="277" t="s">
        <v>423</v>
      </c>
      <c r="H58" s="277" t="s">
        <v>423</v>
      </c>
      <c r="I58" s="277">
        <v>44982</v>
      </c>
      <c r="J58" s="2" t="s">
        <v>1341</v>
      </c>
      <c r="K58" s="2" t="s">
        <v>839</v>
      </c>
      <c r="L58" s="2" t="s">
        <v>423</v>
      </c>
      <c r="M58" s="2"/>
      <c r="N58" s="2" t="str">
        <f>DitrbFlota[[#This Row],[TIPO BUS]]&amp;"-"&amp;DitrbFlota[[#This Row],[MARCA CHASIS]]</f>
        <v>B2-VOLVO</v>
      </c>
      <c r="O58" s="2">
        <f>MONTH(DitrbFlota[[#This Row],[Inicio Operación]])</f>
        <v>2</v>
      </c>
      <c r="P58" s="2">
        <f>YEAR(DitrbFlota[[#This Row],[Inicio Operación]])</f>
        <v>2023</v>
      </c>
      <c r="Q58" s="29">
        <v>96</v>
      </c>
    </row>
    <row r="59" spans="1:17" hidden="1">
      <c r="A59" s="7" t="s">
        <v>421</v>
      </c>
      <c r="B59" s="2" t="s">
        <v>476</v>
      </c>
      <c r="C59" s="2">
        <v>6142</v>
      </c>
      <c r="D59" s="2" t="s">
        <v>34</v>
      </c>
      <c r="E59" s="2" t="s">
        <v>13</v>
      </c>
      <c r="F59" s="2" t="s">
        <v>14</v>
      </c>
      <c r="G59" s="277" t="s">
        <v>423</v>
      </c>
      <c r="H59" s="277" t="s">
        <v>423</v>
      </c>
      <c r="I59" s="277">
        <v>44982</v>
      </c>
      <c r="J59" s="2" t="s">
        <v>1341</v>
      </c>
      <c r="K59" s="2" t="s">
        <v>839</v>
      </c>
      <c r="L59" s="2" t="s">
        <v>423</v>
      </c>
      <c r="M59" s="2"/>
      <c r="N59" s="2" t="str">
        <f>DitrbFlota[[#This Row],[TIPO BUS]]&amp;"-"&amp;DitrbFlota[[#This Row],[MARCA CHASIS]]</f>
        <v>B2-VOLVO</v>
      </c>
      <c r="O59" s="2">
        <f>MONTH(DitrbFlota[[#This Row],[Inicio Operación]])</f>
        <v>2</v>
      </c>
      <c r="P59" s="2">
        <f>YEAR(DitrbFlota[[#This Row],[Inicio Operación]])</f>
        <v>2023</v>
      </c>
      <c r="Q59" s="29">
        <v>96</v>
      </c>
    </row>
    <row r="60" spans="1:17" hidden="1">
      <c r="A60" s="7" t="s">
        <v>421</v>
      </c>
      <c r="B60" s="2" t="s">
        <v>477</v>
      </c>
      <c r="C60" s="2">
        <v>6143</v>
      </c>
      <c r="D60" s="2" t="s">
        <v>34</v>
      </c>
      <c r="E60" s="2" t="s">
        <v>13</v>
      </c>
      <c r="F60" s="2" t="s">
        <v>14</v>
      </c>
      <c r="G60" s="277" t="s">
        <v>423</v>
      </c>
      <c r="H60" s="277" t="s">
        <v>423</v>
      </c>
      <c r="I60" s="277">
        <v>44982</v>
      </c>
      <c r="J60" s="2" t="s">
        <v>1341</v>
      </c>
      <c r="K60" s="2" t="s">
        <v>839</v>
      </c>
      <c r="L60" s="2" t="s">
        <v>423</v>
      </c>
      <c r="M60" s="2"/>
      <c r="N60" s="2" t="str">
        <f>DitrbFlota[[#This Row],[TIPO BUS]]&amp;"-"&amp;DitrbFlota[[#This Row],[MARCA CHASIS]]</f>
        <v>B2-VOLVO</v>
      </c>
      <c r="O60" s="2">
        <f>MONTH(DitrbFlota[[#This Row],[Inicio Operación]])</f>
        <v>2</v>
      </c>
      <c r="P60" s="2">
        <f>YEAR(DitrbFlota[[#This Row],[Inicio Operación]])</f>
        <v>2023</v>
      </c>
      <c r="Q60" s="29">
        <v>96</v>
      </c>
    </row>
    <row r="61" spans="1:17" hidden="1">
      <c r="A61" s="7" t="s">
        <v>421</v>
      </c>
      <c r="B61" s="2" t="s">
        <v>478</v>
      </c>
      <c r="C61" s="2">
        <v>6153</v>
      </c>
      <c r="D61" s="2" t="s">
        <v>34</v>
      </c>
      <c r="E61" s="2" t="s">
        <v>13</v>
      </c>
      <c r="F61" s="2" t="s">
        <v>14</v>
      </c>
      <c r="G61" s="277" t="s">
        <v>423</v>
      </c>
      <c r="H61" s="277" t="s">
        <v>423</v>
      </c>
      <c r="I61" s="277">
        <v>44982</v>
      </c>
      <c r="J61" s="2" t="s">
        <v>1341</v>
      </c>
      <c r="K61" s="2" t="s">
        <v>839</v>
      </c>
      <c r="L61" s="2" t="s">
        <v>423</v>
      </c>
      <c r="M61" s="2"/>
      <c r="N61" s="2" t="str">
        <f>DitrbFlota[[#This Row],[TIPO BUS]]&amp;"-"&amp;DitrbFlota[[#This Row],[MARCA CHASIS]]</f>
        <v>B2-VOLVO</v>
      </c>
      <c r="O61" s="2">
        <f>MONTH(DitrbFlota[[#This Row],[Inicio Operación]])</f>
        <v>2</v>
      </c>
      <c r="P61" s="2">
        <f>YEAR(DitrbFlota[[#This Row],[Inicio Operación]])</f>
        <v>2023</v>
      </c>
      <c r="Q61" s="29">
        <v>96</v>
      </c>
    </row>
    <row r="62" spans="1:17" hidden="1">
      <c r="A62" s="7" t="s">
        <v>421</v>
      </c>
      <c r="B62" s="2" t="s">
        <v>479</v>
      </c>
      <c r="C62" s="2">
        <v>6155</v>
      </c>
      <c r="D62" s="2" t="s">
        <v>34</v>
      </c>
      <c r="E62" s="2" t="s">
        <v>13</v>
      </c>
      <c r="F62" s="2" t="s">
        <v>14</v>
      </c>
      <c r="G62" s="277" t="s">
        <v>423</v>
      </c>
      <c r="H62" s="277" t="s">
        <v>423</v>
      </c>
      <c r="I62" s="277">
        <v>44982</v>
      </c>
      <c r="J62" s="2" t="s">
        <v>1341</v>
      </c>
      <c r="K62" s="2" t="s">
        <v>839</v>
      </c>
      <c r="L62" s="2" t="s">
        <v>423</v>
      </c>
      <c r="M62" s="2"/>
      <c r="N62" s="2" t="str">
        <f>DitrbFlota[[#This Row],[TIPO BUS]]&amp;"-"&amp;DitrbFlota[[#This Row],[MARCA CHASIS]]</f>
        <v>B2-VOLVO</v>
      </c>
      <c r="O62" s="2">
        <f>MONTH(DitrbFlota[[#This Row],[Inicio Operación]])</f>
        <v>2</v>
      </c>
      <c r="P62" s="2">
        <f>YEAR(DitrbFlota[[#This Row],[Inicio Operación]])</f>
        <v>2023</v>
      </c>
      <c r="Q62" s="29">
        <v>96</v>
      </c>
    </row>
    <row r="63" spans="1:17" hidden="1">
      <c r="A63" s="7" t="s">
        <v>421</v>
      </c>
      <c r="B63" s="2" t="s">
        <v>480</v>
      </c>
      <c r="C63" s="2">
        <v>6156</v>
      </c>
      <c r="D63" s="2" t="s">
        <v>34</v>
      </c>
      <c r="E63" s="2" t="s">
        <v>13</v>
      </c>
      <c r="F63" s="2" t="s">
        <v>14</v>
      </c>
      <c r="G63" s="277" t="s">
        <v>423</v>
      </c>
      <c r="H63" s="277" t="s">
        <v>423</v>
      </c>
      <c r="I63" s="277">
        <v>44982</v>
      </c>
      <c r="J63" s="2" t="s">
        <v>1341</v>
      </c>
      <c r="K63" s="2" t="s">
        <v>839</v>
      </c>
      <c r="L63" s="2" t="s">
        <v>423</v>
      </c>
      <c r="M63" s="2"/>
      <c r="N63" s="2" t="str">
        <f>DitrbFlota[[#This Row],[TIPO BUS]]&amp;"-"&amp;DitrbFlota[[#This Row],[MARCA CHASIS]]</f>
        <v>B2-VOLVO</v>
      </c>
      <c r="O63" s="2">
        <f>MONTH(DitrbFlota[[#This Row],[Inicio Operación]])</f>
        <v>2</v>
      </c>
      <c r="P63" s="2">
        <f>YEAR(DitrbFlota[[#This Row],[Inicio Operación]])</f>
        <v>2023</v>
      </c>
      <c r="Q63" s="29">
        <v>96</v>
      </c>
    </row>
    <row r="64" spans="1:17" hidden="1">
      <c r="A64" s="7" t="s">
        <v>421</v>
      </c>
      <c r="B64" s="2" t="s">
        <v>482</v>
      </c>
      <c r="C64" s="2">
        <v>6160</v>
      </c>
      <c r="D64" s="2" t="s">
        <v>34</v>
      </c>
      <c r="E64" s="2" t="s">
        <v>13</v>
      </c>
      <c r="F64" s="2" t="s">
        <v>14</v>
      </c>
      <c r="G64" s="277" t="s">
        <v>423</v>
      </c>
      <c r="H64" s="277" t="s">
        <v>423</v>
      </c>
      <c r="I64" s="277">
        <v>44982</v>
      </c>
      <c r="J64" s="2" t="s">
        <v>1341</v>
      </c>
      <c r="K64" s="2" t="s">
        <v>839</v>
      </c>
      <c r="L64" s="2" t="s">
        <v>423</v>
      </c>
      <c r="M64" s="2"/>
      <c r="N64" s="2" t="str">
        <f>DitrbFlota[[#This Row],[TIPO BUS]]&amp;"-"&amp;DitrbFlota[[#This Row],[MARCA CHASIS]]</f>
        <v>B2-VOLVO</v>
      </c>
      <c r="O64" s="2">
        <f>MONTH(DitrbFlota[[#This Row],[Inicio Operación]])</f>
        <v>2</v>
      </c>
      <c r="P64" s="2">
        <f>YEAR(DitrbFlota[[#This Row],[Inicio Operación]])</f>
        <v>2023</v>
      </c>
      <c r="Q64" s="29">
        <v>96</v>
      </c>
    </row>
    <row r="65" spans="1:17" hidden="1">
      <c r="A65" s="7" t="s">
        <v>10</v>
      </c>
      <c r="B65" s="2" t="s">
        <v>129</v>
      </c>
      <c r="C65" s="2">
        <v>1000</v>
      </c>
      <c r="D65" s="2" t="s">
        <v>12</v>
      </c>
      <c r="E65" s="2" t="s">
        <v>13</v>
      </c>
      <c r="F65" s="2" t="s">
        <v>14</v>
      </c>
      <c r="G65" s="277" t="s">
        <v>130</v>
      </c>
      <c r="H65" s="277" t="s">
        <v>130</v>
      </c>
      <c r="I65" s="277">
        <v>44912</v>
      </c>
      <c r="J65" s="2" t="s">
        <v>1341</v>
      </c>
      <c r="K65" s="2" t="s">
        <v>836</v>
      </c>
      <c r="L65" s="2" t="s">
        <v>130</v>
      </c>
      <c r="M65" s="2"/>
      <c r="N65" s="2" t="str">
        <f>DitrbFlota[[#This Row],[TIPO BUS]]&amp;"-"&amp;DitrbFlota[[#This Row],[MARCA CHASIS]]</f>
        <v>A2-VOLVO</v>
      </c>
      <c r="O65" s="2">
        <f>MONTH(DitrbFlota[[#This Row],[Inicio Operación]])</f>
        <v>12</v>
      </c>
      <c r="P65" s="2">
        <f>YEAR(DitrbFlota[[#This Row],[Inicio Operación]])</f>
        <v>2022</v>
      </c>
      <c r="Q65" s="29">
        <v>77</v>
      </c>
    </row>
    <row r="66" spans="1:17" hidden="1">
      <c r="A66" s="7" t="s">
        <v>10</v>
      </c>
      <c r="B66" s="2" t="s">
        <v>132</v>
      </c>
      <c r="C66" s="2">
        <v>1001</v>
      </c>
      <c r="D66" s="2" t="s">
        <v>12</v>
      </c>
      <c r="E66" s="2" t="s">
        <v>13</v>
      </c>
      <c r="F66" s="2" t="s">
        <v>14</v>
      </c>
      <c r="G66" s="277" t="s">
        <v>130</v>
      </c>
      <c r="H66" s="277" t="s">
        <v>130</v>
      </c>
      <c r="I66" s="277">
        <v>44912</v>
      </c>
      <c r="J66" s="2" t="s">
        <v>1341</v>
      </c>
      <c r="K66" s="2" t="s">
        <v>836</v>
      </c>
      <c r="L66" s="2" t="s">
        <v>130</v>
      </c>
      <c r="M66" s="2"/>
      <c r="N66" s="2" t="str">
        <f>DitrbFlota[[#This Row],[TIPO BUS]]&amp;"-"&amp;DitrbFlota[[#This Row],[MARCA CHASIS]]</f>
        <v>A2-VOLVO</v>
      </c>
      <c r="O66" s="2">
        <f>MONTH(DitrbFlota[[#This Row],[Inicio Operación]])</f>
        <v>12</v>
      </c>
      <c r="P66" s="2">
        <f>YEAR(DitrbFlota[[#This Row],[Inicio Operación]])</f>
        <v>2022</v>
      </c>
      <c r="Q66" s="29">
        <v>77</v>
      </c>
    </row>
    <row r="67" spans="1:17" hidden="1">
      <c r="A67" s="7" t="s">
        <v>10</v>
      </c>
      <c r="B67" s="2" t="s">
        <v>134</v>
      </c>
      <c r="C67" s="2">
        <v>1018</v>
      </c>
      <c r="D67" s="2" t="s">
        <v>12</v>
      </c>
      <c r="E67" s="2" t="s">
        <v>13</v>
      </c>
      <c r="F67" s="2" t="s">
        <v>14</v>
      </c>
      <c r="G67" s="277" t="s">
        <v>130</v>
      </c>
      <c r="H67" s="277" t="s">
        <v>130</v>
      </c>
      <c r="I67" s="277">
        <v>44933</v>
      </c>
      <c r="J67" s="2" t="s">
        <v>1341</v>
      </c>
      <c r="K67" s="2" t="s">
        <v>836</v>
      </c>
      <c r="L67" s="2" t="s">
        <v>130</v>
      </c>
      <c r="M67" s="2"/>
      <c r="N67" s="2" t="str">
        <f>DitrbFlota[[#This Row],[TIPO BUS]]&amp;"-"&amp;DitrbFlota[[#This Row],[MARCA CHASIS]]</f>
        <v>A2-VOLVO</v>
      </c>
      <c r="O67" s="2">
        <f>MONTH(DitrbFlota[[#This Row],[Inicio Operación]])</f>
        <v>1</v>
      </c>
      <c r="P67" s="2">
        <f>YEAR(DitrbFlota[[#This Row],[Inicio Operación]])</f>
        <v>2023</v>
      </c>
      <c r="Q67" s="29">
        <v>77</v>
      </c>
    </row>
    <row r="68" spans="1:17" hidden="1">
      <c r="A68" s="7" t="s">
        <v>10</v>
      </c>
      <c r="B68" s="2" t="s">
        <v>136</v>
      </c>
      <c r="C68" s="2">
        <v>1019</v>
      </c>
      <c r="D68" s="2" t="s">
        <v>12</v>
      </c>
      <c r="E68" s="2" t="s">
        <v>13</v>
      </c>
      <c r="F68" s="2" t="s">
        <v>14</v>
      </c>
      <c r="G68" s="277" t="s">
        <v>130</v>
      </c>
      <c r="H68" s="277" t="s">
        <v>130</v>
      </c>
      <c r="I68" s="277">
        <v>44933</v>
      </c>
      <c r="J68" s="2" t="s">
        <v>1341</v>
      </c>
      <c r="K68" s="2" t="s">
        <v>836</v>
      </c>
      <c r="L68" s="2" t="s">
        <v>130</v>
      </c>
      <c r="M68" s="2"/>
      <c r="N68" s="2" t="str">
        <f>DitrbFlota[[#This Row],[TIPO BUS]]&amp;"-"&amp;DitrbFlota[[#This Row],[MARCA CHASIS]]</f>
        <v>A2-VOLVO</v>
      </c>
      <c r="O68" s="2">
        <f>MONTH(DitrbFlota[[#This Row],[Inicio Operación]])</f>
        <v>1</v>
      </c>
      <c r="P68" s="2">
        <f>YEAR(DitrbFlota[[#This Row],[Inicio Operación]])</f>
        <v>2023</v>
      </c>
      <c r="Q68" s="29">
        <v>77</v>
      </c>
    </row>
    <row r="69" spans="1:17" hidden="1">
      <c r="A69" s="7" t="s">
        <v>10</v>
      </c>
      <c r="B69" s="2" t="s">
        <v>138</v>
      </c>
      <c r="C69" s="2">
        <v>1020</v>
      </c>
      <c r="D69" s="2" t="s">
        <v>12</v>
      </c>
      <c r="E69" s="2" t="s">
        <v>13</v>
      </c>
      <c r="F69" s="2" t="s">
        <v>14</v>
      </c>
      <c r="G69" s="277" t="s">
        <v>130</v>
      </c>
      <c r="H69" s="277" t="s">
        <v>130</v>
      </c>
      <c r="I69" s="277">
        <v>44933</v>
      </c>
      <c r="J69" s="2" t="s">
        <v>1341</v>
      </c>
      <c r="K69" s="2" t="s">
        <v>836</v>
      </c>
      <c r="L69" s="2" t="s">
        <v>130</v>
      </c>
      <c r="M69" s="2"/>
      <c r="N69" s="2" t="str">
        <f>DitrbFlota[[#This Row],[TIPO BUS]]&amp;"-"&amp;DitrbFlota[[#This Row],[MARCA CHASIS]]</f>
        <v>A2-VOLVO</v>
      </c>
      <c r="O69" s="2">
        <f>MONTH(DitrbFlota[[#This Row],[Inicio Operación]])</f>
        <v>1</v>
      </c>
      <c r="P69" s="2">
        <f>YEAR(DitrbFlota[[#This Row],[Inicio Operación]])</f>
        <v>2023</v>
      </c>
      <c r="Q69" s="29">
        <v>77</v>
      </c>
    </row>
    <row r="70" spans="1:17" hidden="1">
      <c r="A70" s="7" t="s">
        <v>10</v>
      </c>
      <c r="B70" s="2" t="s">
        <v>139</v>
      </c>
      <c r="C70" s="2">
        <v>1021</v>
      </c>
      <c r="D70" s="2" t="s">
        <v>12</v>
      </c>
      <c r="E70" s="2" t="s">
        <v>13</v>
      </c>
      <c r="F70" s="2" t="s">
        <v>14</v>
      </c>
      <c r="G70" s="277" t="s">
        <v>130</v>
      </c>
      <c r="H70" s="277" t="s">
        <v>130</v>
      </c>
      <c r="I70" s="277">
        <v>44933</v>
      </c>
      <c r="J70" s="2" t="s">
        <v>1341</v>
      </c>
      <c r="K70" s="2" t="s">
        <v>836</v>
      </c>
      <c r="L70" s="2" t="s">
        <v>130</v>
      </c>
      <c r="M70" s="2"/>
      <c r="N70" s="2" t="str">
        <f>DitrbFlota[[#This Row],[TIPO BUS]]&amp;"-"&amp;DitrbFlota[[#This Row],[MARCA CHASIS]]</f>
        <v>A2-VOLVO</v>
      </c>
      <c r="O70" s="2">
        <f>MONTH(DitrbFlota[[#This Row],[Inicio Operación]])</f>
        <v>1</v>
      </c>
      <c r="P70" s="2">
        <f>YEAR(DitrbFlota[[#This Row],[Inicio Operación]])</f>
        <v>2023</v>
      </c>
      <c r="Q70" s="29">
        <v>77</v>
      </c>
    </row>
    <row r="71" spans="1:17" hidden="1">
      <c r="A71" s="7" t="s">
        <v>10</v>
      </c>
      <c r="B71" s="2" t="s">
        <v>140</v>
      </c>
      <c r="C71" s="2">
        <v>1022</v>
      </c>
      <c r="D71" s="2" t="s">
        <v>12</v>
      </c>
      <c r="E71" s="2" t="s">
        <v>13</v>
      </c>
      <c r="F71" s="2" t="s">
        <v>14</v>
      </c>
      <c r="G71" s="277" t="s">
        <v>130</v>
      </c>
      <c r="H71" s="277" t="s">
        <v>130</v>
      </c>
      <c r="I71" s="277">
        <v>44933</v>
      </c>
      <c r="J71" s="2" t="s">
        <v>1341</v>
      </c>
      <c r="K71" s="2" t="s">
        <v>836</v>
      </c>
      <c r="L71" s="2" t="s">
        <v>130</v>
      </c>
      <c r="M71" s="2"/>
      <c r="N71" s="2" t="str">
        <f>DitrbFlota[[#This Row],[TIPO BUS]]&amp;"-"&amp;DitrbFlota[[#This Row],[MARCA CHASIS]]</f>
        <v>A2-VOLVO</v>
      </c>
      <c r="O71" s="2">
        <f>MONTH(DitrbFlota[[#This Row],[Inicio Operación]])</f>
        <v>1</v>
      </c>
      <c r="P71" s="2">
        <f>YEAR(DitrbFlota[[#This Row],[Inicio Operación]])</f>
        <v>2023</v>
      </c>
      <c r="Q71" s="29">
        <v>77</v>
      </c>
    </row>
    <row r="72" spans="1:17" hidden="1">
      <c r="A72" s="7" t="s">
        <v>10</v>
      </c>
      <c r="B72" s="2" t="s">
        <v>141</v>
      </c>
      <c r="C72" s="2">
        <v>1023</v>
      </c>
      <c r="D72" s="2" t="s">
        <v>12</v>
      </c>
      <c r="E72" s="2" t="s">
        <v>25</v>
      </c>
      <c r="F72" s="2" t="s">
        <v>14</v>
      </c>
      <c r="G72" s="277" t="s">
        <v>130</v>
      </c>
      <c r="H72" s="277" t="s">
        <v>130</v>
      </c>
      <c r="I72" s="277">
        <v>44933</v>
      </c>
      <c r="J72" s="2" t="s">
        <v>1341</v>
      </c>
      <c r="K72" s="2" t="s">
        <v>836</v>
      </c>
      <c r="L72" s="2" t="s">
        <v>130</v>
      </c>
      <c r="M72" s="2"/>
      <c r="N72" s="2" t="str">
        <f>DitrbFlota[[#This Row],[TIPO BUS]]&amp;"-"&amp;DitrbFlota[[#This Row],[MARCA CHASIS]]</f>
        <v>A2-VOLVO</v>
      </c>
      <c r="O72" s="2">
        <f>MONTH(DitrbFlota[[#This Row],[Inicio Operación]])</f>
        <v>1</v>
      </c>
      <c r="P72" s="2">
        <f>YEAR(DitrbFlota[[#This Row],[Inicio Operación]])</f>
        <v>2023</v>
      </c>
      <c r="Q72" s="29">
        <v>77</v>
      </c>
    </row>
    <row r="73" spans="1:17" hidden="1">
      <c r="A73" s="7" t="s">
        <v>10</v>
      </c>
      <c r="B73" s="2" t="s">
        <v>142</v>
      </c>
      <c r="C73" s="2">
        <v>1028</v>
      </c>
      <c r="D73" s="2" t="s">
        <v>12</v>
      </c>
      <c r="E73" s="2" t="s">
        <v>13</v>
      </c>
      <c r="F73" s="2" t="s">
        <v>14</v>
      </c>
      <c r="G73" s="277" t="s">
        <v>130</v>
      </c>
      <c r="H73" s="277" t="s">
        <v>130</v>
      </c>
      <c r="I73" s="277">
        <v>44933</v>
      </c>
      <c r="J73" s="2" t="s">
        <v>1341</v>
      </c>
      <c r="K73" s="2" t="s">
        <v>836</v>
      </c>
      <c r="L73" s="2" t="s">
        <v>130</v>
      </c>
      <c r="M73" s="2"/>
      <c r="N73" s="2" t="str">
        <f>DitrbFlota[[#This Row],[TIPO BUS]]&amp;"-"&amp;DitrbFlota[[#This Row],[MARCA CHASIS]]</f>
        <v>A2-VOLVO</v>
      </c>
      <c r="O73" s="2">
        <f>MONTH(DitrbFlota[[#This Row],[Inicio Operación]])</f>
        <v>1</v>
      </c>
      <c r="P73" s="2">
        <f>YEAR(DitrbFlota[[#This Row],[Inicio Operación]])</f>
        <v>2023</v>
      </c>
      <c r="Q73" s="29">
        <v>77</v>
      </c>
    </row>
    <row r="74" spans="1:17" hidden="1">
      <c r="A74" s="7" t="s">
        <v>10</v>
      </c>
      <c r="B74" s="2" t="s">
        <v>143</v>
      </c>
      <c r="C74" s="2">
        <v>1029</v>
      </c>
      <c r="D74" s="2" t="s">
        <v>12</v>
      </c>
      <c r="E74" s="2" t="s">
        <v>13</v>
      </c>
      <c r="F74" s="2" t="s">
        <v>14</v>
      </c>
      <c r="G74" s="277" t="s">
        <v>130</v>
      </c>
      <c r="H74" s="277" t="s">
        <v>130</v>
      </c>
      <c r="I74" s="277">
        <v>44933</v>
      </c>
      <c r="J74" s="2" t="s">
        <v>1341</v>
      </c>
      <c r="K74" s="2" t="s">
        <v>836</v>
      </c>
      <c r="L74" s="2" t="s">
        <v>130</v>
      </c>
      <c r="M74" s="2"/>
      <c r="N74" s="2" t="str">
        <f>DitrbFlota[[#This Row],[TIPO BUS]]&amp;"-"&amp;DitrbFlota[[#This Row],[MARCA CHASIS]]</f>
        <v>A2-VOLVO</v>
      </c>
      <c r="O74" s="2">
        <f>MONTH(DitrbFlota[[#This Row],[Inicio Operación]])</f>
        <v>1</v>
      </c>
      <c r="P74" s="2">
        <f>YEAR(DitrbFlota[[#This Row],[Inicio Operación]])</f>
        <v>2023</v>
      </c>
      <c r="Q74" s="29">
        <v>77</v>
      </c>
    </row>
    <row r="75" spans="1:17" hidden="1">
      <c r="A75" s="7" t="s">
        <v>10</v>
      </c>
      <c r="B75" s="2" t="s">
        <v>144</v>
      </c>
      <c r="C75" s="2">
        <v>2084</v>
      </c>
      <c r="D75" s="2" t="s">
        <v>34</v>
      </c>
      <c r="E75" s="2" t="s">
        <v>13</v>
      </c>
      <c r="F75" s="2" t="s">
        <v>145</v>
      </c>
      <c r="G75" s="277" t="s">
        <v>130</v>
      </c>
      <c r="H75" s="277" t="s">
        <v>130</v>
      </c>
      <c r="I75" s="277">
        <v>44933</v>
      </c>
      <c r="J75" s="2" t="s">
        <v>830</v>
      </c>
      <c r="K75" s="2" t="s">
        <v>836</v>
      </c>
      <c r="L75" s="2" t="s">
        <v>130</v>
      </c>
      <c r="M75" s="2"/>
      <c r="N75" s="2" t="str">
        <f>DitrbFlota[[#This Row],[TIPO BUS]]&amp;"-"&amp;DitrbFlota[[#This Row],[MARCA CHASIS]]</f>
        <v>B2-MERCEDES BENZ</v>
      </c>
      <c r="O75" s="2">
        <f>MONTH(DitrbFlota[[#This Row],[Inicio Operación]])</f>
        <v>1</v>
      </c>
      <c r="P75" s="2">
        <f>YEAR(DitrbFlota[[#This Row],[Inicio Operación]])</f>
        <v>2023</v>
      </c>
      <c r="Q75" s="29">
        <v>95</v>
      </c>
    </row>
    <row r="76" spans="1:17" hidden="1">
      <c r="A76" s="7" t="s">
        <v>10</v>
      </c>
      <c r="B76" s="2" t="s">
        <v>146</v>
      </c>
      <c r="C76" s="2">
        <v>2085</v>
      </c>
      <c r="D76" s="2" t="s">
        <v>34</v>
      </c>
      <c r="E76" s="2" t="s">
        <v>13</v>
      </c>
      <c r="F76" s="2" t="s">
        <v>145</v>
      </c>
      <c r="G76" s="277" t="s">
        <v>130</v>
      </c>
      <c r="H76" s="277" t="s">
        <v>130</v>
      </c>
      <c r="I76" s="277">
        <v>44933</v>
      </c>
      <c r="J76" s="2" t="s">
        <v>830</v>
      </c>
      <c r="K76" s="2" t="s">
        <v>836</v>
      </c>
      <c r="L76" s="2" t="s">
        <v>130</v>
      </c>
      <c r="M76" s="2"/>
      <c r="N76" s="2" t="str">
        <f>DitrbFlota[[#This Row],[TIPO BUS]]&amp;"-"&amp;DitrbFlota[[#This Row],[MARCA CHASIS]]</f>
        <v>B2-MERCEDES BENZ</v>
      </c>
      <c r="O76" s="2">
        <f>MONTH(DitrbFlota[[#This Row],[Inicio Operación]])</f>
        <v>1</v>
      </c>
      <c r="P76" s="2">
        <f>YEAR(DitrbFlota[[#This Row],[Inicio Operación]])</f>
        <v>2023</v>
      </c>
      <c r="Q76" s="29">
        <v>95</v>
      </c>
    </row>
    <row r="77" spans="1:17" hidden="1">
      <c r="A77" s="7" t="s">
        <v>10</v>
      </c>
      <c r="B77" s="2" t="s">
        <v>148</v>
      </c>
      <c r="C77" s="2">
        <v>2088</v>
      </c>
      <c r="D77" s="2" t="s">
        <v>34</v>
      </c>
      <c r="E77" s="2" t="s">
        <v>13</v>
      </c>
      <c r="F77" s="2" t="s">
        <v>145</v>
      </c>
      <c r="G77" s="277" t="s">
        <v>130</v>
      </c>
      <c r="H77" s="277" t="s">
        <v>130</v>
      </c>
      <c r="I77" s="277">
        <v>44933</v>
      </c>
      <c r="J77" s="2" t="s">
        <v>830</v>
      </c>
      <c r="K77" s="2" t="s">
        <v>836</v>
      </c>
      <c r="L77" s="2" t="s">
        <v>130</v>
      </c>
      <c r="M77" s="2"/>
      <c r="N77" s="2" t="str">
        <f>DitrbFlota[[#This Row],[TIPO BUS]]&amp;"-"&amp;DitrbFlota[[#This Row],[MARCA CHASIS]]</f>
        <v>B2-MERCEDES BENZ</v>
      </c>
      <c r="O77" s="2">
        <f>MONTH(DitrbFlota[[#This Row],[Inicio Operación]])</f>
        <v>1</v>
      </c>
      <c r="P77" s="2">
        <f>YEAR(DitrbFlota[[#This Row],[Inicio Operación]])</f>
        <v>2023</v>
      </c>
      <c r="Q77" s="29">
        <v>95</v>
      </c>
    </row>
    <row r="78" spans="1:17" hidden="1">
      <c r="A78" s="7" t="s">
        <v>10</v>
      </c>
      <c r="B78" s="2" t="s">
        <v>150</v>
      </c>
      <c r="C78" s="2">
        <v>2089</v>
      </c>
      <c r="D78" s="2" t="s">
        <v>34</v>
      </c>
      <c r="E78" s="2" t="s">
        <v>13</v>
      </c>
      <c r="F78" s="2" t="s">
        <v>145</v>
      </c>
      <c r="G78" s="277" t="s">
        <v>130</v>
      </c>
      <c r="H78" s="277" t="s">
        <v>130</v>
      </c>
      <c r="I78" s="277">
        <v>44933</v>
      </c>
      <c r="J78" s="2" t="s">
        <v>830</v>
      </c>
      <c r="K78" s="2" t="s">
        <v>836</v>
      </c>
      <c r="L78" s="2" t="s">
        <v>130</v>
      </c>
      <c r="M78" s="2"/>
      <c r="N78" s="2" t="str">
        <f>DitrbFlota[[#This Row],[TIPO BUS]]&amp;"-"&amp;DitrbFlota[[#This Row],[MARCA CHASIS]]</f>
        <v>B2-MERCEDES BENZ</v>
      </c>
      <c r="O78" s="2">
        <f>MONTH(DitrbFlota[[#This Row],[Inicio Operación]])</f>
        <v>1</v>
      </c>
      <c r="P78" s="2">
        <f>YEAR(DitrbFlota[[#This Row],[Inicio Operación]])</f>
        <v>2023</v>
      </c>
      <c r="Q78" s="29">
        <v>95</v>
      </c>
    </row>
    <row r="79" spans="1:17" hidden="1">
      <c r="A79" s="7" t="s">
        <v>10</v>
      </c>
      <c r="B79" s="2" t="s">
        <v>151</v>
      </c>
      <c r="C79" s="2">
        <v>2090</v>
      </c>
      <c r="D79" s="2" t="s">
        <v>34</v>
      </c>
      <c r="E79" s="2" t="s">
        <v>13</v>
      </c>
      <c r="F79" s="2" t="s">
        <v>145</v>
      </c>
      <c r="G79" s="277" t="s">
        <v>130</v>
      </c>
      <c r="H79" s="277" t="s">
        <v>130</v>
      </c>
      <c r="I79" s="277">
        <v>44933</v>
      </c>
      <c r="J79" s="2" t="s">
        <v>830</v>
      </c>
      <c r="K79" s="2" t="s">
        <v>836</v>
      </c>
      <c r="L79" s="2" t="s">
        <v>130</v>
      </c>
      <c r="M79" s="2"/>
      <c r="N79" s="2" t="str">
        <f>DitrbFlota[[#This Row],[TIPO BUS]]&amp;"-"&amp;DitrbFlota[[#This Row],[MARCA CHASIS]]</f>
        <v>B2-MERCEDES BENZ</v>
      </c>
      <c r="O79" s="2">
        <f>MONTH(DitrbFlota[[#This Row],[Inicio Operación]])</f>
        <v>1</v>
      </c>
      <c r="P79" s="2">
        <f>YEAR(DitrbFlota[[#This Row],[Inicio Operación]])</f>
        <v>2023</v>
      </c>
      <c r="Q79" s="29">
        <v>95</v>
      </c>
    </row>
    <row r="80" spans="1:17" hidden="1">
      <c r="A80" s="7" t="s">
        <v>10</v>
      </c>
      <c r="B80" s="2" t="s">
        <v>255</v>
      </c>
      <c r="C80" s="2">
        <v>2091</v>
      </c>
      <c r="D80" s="2" t="s">
        <v>34</v>
      </c>
      <c r="E80" s="2" t="s">
        <v>13</v>
      </c>
      <c r="F80" s="2" t="s">
        <v>145</v>
      </c>
      <c r="G80" s="277" t="s">
        <v>130</v>
      </c>
      <c r="H80" s="277" t="s">
        <v>130</v>
      </c>
      <c r="I80" s="277">
        <v>44933</v>
      </c>
      <c r="J80" s="2" t="s">
        <v>830</v>
      </c>
      <c r="K80" s="2" t="s">
        <v>836</v>
      </c>
      <c r="L80" s="2" t="s">
        <v>130</v>
      </c>
      <c r="M80" s="2"/>
      <c r="N80" s="2" t="str">
        <f>DitrbFlota[[#This Row],[TIPO BUS]]&amp;"-"&amp;DitrbFlota[[#This Row],[MARCA CHASIS]]</f>
        <v>B2-MERCEDES BENZ</v>
      </c>
      <c r="O80" s="2">
        <f>MONTH(DitrbFlota[[#This Row],[Inicio Operación]])</f>
        <v>1</v>
      </c>
      <c r="P80" s="2">
        <f>YEAR(DitrbFlota[[#This Row],[Inicio Operación]])</f>
        <v>2023</v>
      </c>
      <c r="Q80" s="29">
        <v>95</v>
      </c>
    </row>
    <row r="81" spans="1:17" hidden="1">
      <c r="A81" s="7" t="s">
        <v>10</v>
      </c>
      <c r="B81" s="2" t="s">
        <v>152</v>
      </c>
      <c r="C81" s="2">
        <v>2092</v>
      </c>
      <c r="D81" s="2" t="s">
        <v>34</v>
      </c>
      <c r="E81" s="2" t="s">
        <v>13</v>
      </c>
      <c r="F81" s="2" t="s">
        <v>145</v>
      </c>
      <c r="G81" s="277" t="s">
        <v>130</v>
      </c>
      <c r="H81" s="277" t="s">
        <v>130</v>
      </c>
      <c r="I81" s="277">
        <v>44933</v>
      </c>
      <c r="J81" s="2" t="s">
        <v>830</v>
      </c>
      <c r="K81" s="2" t="s">
        <v>836</v>
      </c>
      <c r="L81" s="2" t="s">
        <v>130</v>
      </c>
      <c r="M81" s="2"/>
      <c r="N81" s="2" t="str">
        <f>DitrbFlota[[#This Row],[TIPO BUS]]&amp;"-"&amp;DitrbFlota[[#This Row],[MARCA CHASIS]]</f>
        <v>B2-MERCEDES BENZ</v>
      </c>
      <c r="O81" s="2">
        <f>MONTH(DitrbFlota[[#This Row],[Inicio Operación]])</f>
        <v>1</v>
      </c>
      <c r="P81" s="2">
        <f>YEAR(DitrbFlota[[#This Row],[Inicio Operación]])</f>
        <v>2023</v>
      </c>
      <c r="Q81" s="29">
        <v>95</v>
      </c>
    </row>
    <row r="82" spans="1:17" hidden="1">
      <c r="A82" s="7" t="s">
        <v>10</v>
      </c>
      <c r="B82" s="2" t="s">
        <v>153</v>
      </c>
      <c r="C82" s="2">
        <v>2093</v>
      </c>
      <c r="D82" s="2" t="s">
        <v>34</v>
      </c>
      <c r="E82" s="2" t="s">
        <v>13</v>
      </c>
      <c r="F82" s="2" t="s">
        <v>145</v>
      </c>
      <c r="G82" s="277" t="s">
        <v>130</v>
      </c>
      <c r="H82" s="277" t="s">
        <v>130</v>
      </c>
      <c r="I82" s="277">
        <v>44933</v>
      </c>
      <c r="J82" s="2" t="s">
        <v>830</v>
      </c>
      <c r="K82" s="2" t="s">
        <v>836</v>
      </c>
      <c r="L82" s="2" t="s">
        <v>130</v>
      </c>
      <c r="M82" s="2"/>
      <c r="N82" s="2" t="str">
        <f>DitrbFlota[[#This Row],[TIPO BUS]]&amp;"-"&amp;DitrbFlota[[#This Row],[MARCA CHASIS]]</f>
        <v>B2-MERCEDES BENZ</v>
      </c>
      <c r="O82" s="2">
        <f>MONTH(DitrbFlota[[#This Row],[Inicio Operación]])</f>
        <v>1</v>
      </c>
      <c r="P82" s="2">
        <f>YEAR(DitrbFlota[[#This Row],[Inicio Operación]])</f>
        <v>2023</v>
      </c>
      <c r="Q82" s="29">
        <v>95</v>
      </c>
    </row>
    <row r="83" spans="1:17" hidden="1">
      <c r="A83" s="7" t="s">
        <v>10</v>
      </c>
      <c r="B83" s="2" t="s">
        <v>154</v>
      </c>
      <c r="C83" s="2">
        <v>2094</v>
      </c>
      <c r="D83" s="2" t="s">
        <v>34</v>
      </c>
      <c r="E83" s="2" t="s">
        <v>13</v>
      </c>
      <c r="F83" s="2" t="s">
        <v>145</v>
      </c>
      <c r="G83" s="277" t="s">
        <v>130</v>
      </c>
      <c r="H83" s="277" t="s">
        <v>130</v>
      </c>
      <c r="I83" s="277">
        <v>44933</v>
      </c>
      <c r="J83" s="2" t="s">
        <v>830</v>
      </c>
      <c r="K83" s="2" t="s">
        <v>836</v>
      </c>
      <c r="L83" s="2" t="s">
        <v>130</v>
      </c>
      <c r="M83" s="2"/>
      <c r="N83" s="2" t="str">
        <f>DitrbFlota[[#This Row],[TIPO BUS]]&amp;"-"&amp;DitrbFlota[[#This Row],[MARCA CHASIS]]</f>
        <v>B2-MERCEDES BENZ</v>
      </c>
      <c r="O83" s="2">
        <f>MONTH(DitrbFlota[[#This Row],[Inicio Operación]])</f>
        <v>1</v>
      </c>
      <c r="P83" s="2">
        <f>YEAR(DitrbFlota[[#This Row],[Inicio Operación]])</f>
        <v>2023</v>
      </c>
      <c r="Q83" s="29">
        <v>95</v>
      </c>
    </row>
    <row r="84" spans="1:17" hidden="1">
      <c r="A84" s="7" t="s">
        <v>10</v>
      </c>
      <c r="B84" s="2" t="s">
        <v>256</v>
      </c>
      <c r="C84" s="2">
        <v>2095</v>
      </c>
      <c r="D84" s="2" t="s">
        <v>34</v>
      </c>
      <c r="E84" s="2" t="s">
        <v>13</v>
      </c>
      <c r="F84" s="2" t="s">
        <v>145</v>
      </c>
      <c r="G84" s="277" t="s">
        <v>130</v>
      </c>
      <c r="H84" s="277" t="s">
        <v>130</v>
      </c>
      <c r="I84" s="277">
        <v>44933</v>
      </c>
      <c r="J84" s="2" t="s">
        <v>830</v>
      </c>
      <c r="K84" s="2" t="s">
        <v>836</v>
      </c>
      <c r="L84" s="2" t="s">
        <v>130</v>
      </c>
      <c r="M84" s="2"/>
      <c r="N84" s="2" t="str">
        <f>DitrbFlota[[#This Row],[TIPO BUS]]&amp;"-"&amp;DitrbFlota[[#This Row],[MARCA CHASIS]]</f>
        <v>B2-MERCEDES BENZ</v>
      </c>
      <c r="O84" s="2">
        <f>MONTH(DitrbFlota[[#This Row],[Inicio Operación]])</f>
        <v>1</v>
      </c>
      <c r="P84" s="2">
        <f>YEAR(DitrbFlota[[#This Row],[Inicio Operación]])</f>
        <v>2023</v>
      </c>
      <c r="Q84" s="29">
        <v>95</v>
      </c>
    </row>
    <row r="85" spans="1:17" hidden="1">
      <c r="A85" s="7" t="s">
        <v>10</v>
      </c>
      <c r="B85" s="2" t="s">
        <v>257</v>
      </c>
      <c r="C85" s="2">
        <v>2096</v>
      </c>
      <c r="D85" s="2" t="s">
        <v>34</v>
      </c>
      <c r="E85" s="2" t="s">
        <v>13</v>
      </c>
      <c r="F85" s="2" t="s">
        <v>145</v>
      </c>
      <c r="G85" s="277" t="s">
        <v>130</v>
      </c>
      <c r="H85" s="277" t="s">
        <v>130</v>
      </c>
      <c r="I85" s="277">
        <v>44933</v>
      </c>
      <c r="J85" s="2" t="s">
        <v>830</v>
      </c>
      <c r="K85" s="2" t="s">
        <v>836</v>
      </c>
      <c r="L85" s="2" t="s">
        <v>130</v>
      </c>
      <c r="M85" s="2"/>
      <c r="N85" s="2" t="str">
        <f>DitrbFlota[[#This Row],[TIPO BUS]]&amp;"-"&amp;DitrbFlota[[#This Row],[MARCA CHASIS]]</f>
        <v>B2-MERCEDES BENZ</v>
      </c>
      <c r="O85" s="2">
        <f>MONTH(DitrbFlota[[#This Row],[Inicio Operación]])</f>
        <v>1</v>
      </c>
      <c r="P85" s="2">
        <f>YEAR(DitrbFlota[[#This Row],[Inicio Operación]])</f>
        <v>2023</v>
      </c>
      <c r="Q85" s="29">
        <v>95</v>
      </c>
    </row>
    <row r="86" spans="1:17" hidden="1">
      <c r="A86" s="7" t="s">
        <v>10</v>
      </c>
      <c r="B86" s="2" t="s">
        <v>155</v>
      </c>
      <c r="C86" s="2">
        <v>2111</v>
      </c>
      <c r="D86" s="2" t="s">
        <v>34</v>
      </c>
      <c r="E86" s="2" t="s">
        <v>13</v>
      </c>
      <c r="F86" s="2" t="s">
        <v>145</v>
      </c>
      <c r="G86" s="277" t="s">
        <v>130</v>
      </c>
      <c r="H86" s="277" t="s">
        <v>130</v>
      </c>
      <c r="I86" s="277">
        <v>44933</v>
      </c>
      <c r="J86" s="2" t="s">
        <v>830</v>
      </c>
      <c r="K86" s="2" t="s">
        <v>836</v>
      </c>
      <c r="L86" s="2" t="s">
        <v>130</v>
      </c>
      <c r="M86" s="2"/>
      <c r="N86" s="2" t="str">
        <f>DitrbFlota[[#This Row],[TIPO BUS]]&amp;"-"&amp;DitrbFlota[[#This Row],[MARCA CHASIS]]</f>
        <v>B2-MERCEDES BENZ</v>
      </c>
      <c r="O86" s="2">
        <f>MONTH(DitrbFlota[[#This Row],[Inicio Operación]])</f>
        <v>1</v>
      </c>
      <c r="P86" s="2">
        <f>YEAR(DitrbFlota[[#This Row],[Inicio Operación]])</f>
        <v>2023</v>
      </c>
      <c r="Q86" s="29">
        <v>95</v>
      </c>
    </row>
    <row r="87" spans="1:17" hidden="1">
      <c r="A87" s="7" t="s">
        <v>10</v>
      </c>
      <c r="B87" s="2" t="s">
        <v>156</v>
      </c>
      <c r="C87" s="2">
        <v>3000</v>
      </c>
      <c r="D87" s="2" t="s">
        <v>147</v>
      </c>
      <c r="E87" s="2" t="s">
        <v>25</v>
      </c>
      <c r="F87" s="2" t="s">
        <v>149</v>
      </c>
      <c r="G87" s="277" t="s">
        <v>130</v>
      </c>
      <c r="H87" s="277" t="s">
        <v>130</v>
      </c>
      <c r="I87" s="277">
        <v>44933</v>
      </c>
      <c r="J87" s="2" t="s">
        <v>1341</v>
      </c>
      <c r="K87" s="2" t="s">
        <v>836</v>
      </c>
      <c r="L87" s="2" t="s">
        <v>130</v>
      </c>
      <c r="M87" s="2"/>
      <c r="N87" s="2" t="str">
        <f>DitrbFlota[[#This Row],[TIPO BUS]]&amp;"-"&amp;DitrbFlota[[#This Row],[MARCA CHASIS]]</f>
        <v>BE-FOTON</v>
      </c>
      <c r="O87" s="2">
        <f>MONTH(DitrbFlota[[#This Row],[Inicio Operación]])</f>
        <v>1</v>
      </c>
      <c r="P87" s="2">
        <f>YEAR(DitrbFlota[[#This Row],[Inicio Operación]])</f>
        <v>2023</v>
      </c>
      <c r="Q87" s="29">
        <v>90</v>
      </c>
    </row>
    <row r="88" spans="1:17" hidden="1">
      <c r="A88" s="7" t="s">
        <v>10</v>
      </c>
      <c r="B88" s="2" t="s">
        <v>158</v>
      </c>
      <c r="C88" s="2">
        <v>3001</v>
      </c>
      <c r="D88" s="2" t="s">
        <v>147</v>
      </c>
      <c r="E88" s="2" t="s">
        <v>25</v>
      </c>
      <c r="F88" s="2" t="s">
        <v>149</v>
      </c>
      <c r="G88" s="277" t="s">
        <v>130</v>
      </c>
      <c r="H88" s="277" t="s">
        <v>130</v>
      </c>
      <c r="I88" s="277">
        <v>44933</v>
      </c>
      <c r="J88" s="2" t="s">
        <v>1341</v>
      </c>
      <c r="K88" s="2" t="s">
        <v>836</v>
      </c>
      <c r="L88" s="2" t="s">
        <v>130</v>
      </c>
      <c r="M88" s="2"/>
      <c r="N88" s="2" t="str">
        <f>DitrbFlota[[#This Row],[TIPO BUS]]&amp;"-"&amp;DitrbFlota[[#This Row],[MARCA CHASIS]]</f>
        <v>BE-FOTON</v>
      </c>
      <c r="O88" s="2">
        <f>MONTH(DitrbFlota[[#This Row],[Inicio Operación]])</f>
        <v>1</v>
      </c>
      <c r="P88" s="2">
        <f>YEAR(DitrbFlota[[#This Row],[Inicio Operación]])</f>
        <v>2023</v>
      </c>
      <c r="Q88" s="29">
        <v>90</v>
      </c>
    </row>
    <row r="89" spans="1:17" hidden="1">
      <c r="A89" s="7" t="s">
        <v>10</v>
      </c>
      <c r="B89" s="2" t="s">
        <v>159</v>
      </c>
      <c r="C89" s="2">
        <v>3002</v>
      </c>
      <c r="D89" s="2" t="s">
        <v>147</v>
      </c>
      <c r="E89" s="2" t="s">
        <v>25</v>
      </c>
      <c r="F89" s="2" t="s">
        <v>149</v>
      </c>
      <c r="G89" s="277" t="s">
        <v>130</v>
      </c>
      <c r="H89" s="277" t="s">
        <v>130</v>
      </c>
      <c r="I89" s="277">
        <v>44933</v>
      </c>
      <c r="J89" s="2" t="s">
        <v>1341</v>
      </c>
      <c r="K89" s="2" t="s">
        <v>836</v>
      </c>
      <c r="L89" s="2" t="s">
        <v>130</v>
      </c>
      <c r="M89" s="2"/>
      <c r="N89" s="2" t="str">
        <f>DitrbFlota[[#This Row],[TIPO BUS]]&amp;"-"&amp;DitrbFlota[[#This Row],[MARCA CHASIS]]</f>
        <v>BE-FOTON</v>
      </c>
      <c r="O89" s="2">
        <f>MONTH(DitrbFlota[[#This Row],[Inicio Operación]])</f>
        <v>1</v>
      </c>
      <c r="P89" s="2">
        <f>YEAR(DitrbFlota[[#This Row],[Inicio Operación]])</f>
        <v>2023</v>
      </c>
      <c r="Q89" s="29">
        <v>90</v>
      </c>
    </row>
    <row r="90" spans="1:17" hidden="1">
      <c r="A90" s="7" t="s">
        <v>10</v>
      </c>
      <c r="B90" s="2" t="s">
        <v>160</v>
      </c>
      <c r="C90" s="2">
        <v>3004</v>
      </c>
      <c r="D90" s="2" t="s">
        <v>147</v>
      </c>
      <c r="E90" s="2" t="s">
        <v>25</v>
      </c>
      <c r="F90" s="2" t="s">
        <v>149</v>
      </c>
      <c r="G90" s="277" t="s">
        <v>130</v>
      </c>
      <c r="H90" s="277" t="s">
        <v>130</v>
      </c>
      <c r="I90" s="277">
        <v>44933</v>
      </c>
      <c r="J90" s="2" t="s">
        <v>1341</v>
      </c>
      <c r="K90" s="2" t="s">
        <v>836</v>
      </c>
      <c r="L90" s="2" t="s">
        <v>130</v>
      </c>
      <c r="M90" s="2"/>
      <c r="N90" s="2" t="str">
        <f>DitrbFlota[[#This Row],[TIPO BUS]]&amp;"-"&amp;DitrbFlota[[#This Row],[MARCA CHASIS]]</f>
        <v>BE-FOTON</v>
      </c>
      <c r="O90" s="2">
        <f>MONTH(DitrbFlota[[#This Row],[Inicio Operación]])</f>
        <v>1</v>
      </c>
      <c r="P90" s="2">
        <f>YEAR(DitrbFlota[[#This Row],[Inicio Operación]])</f>
        <v>2023</v>
      </c>
      <c r="Q90" s="29">
        <v>90</v>
      </c>
    </row>
    <row r="91" spans="1:17" hidden="1">
      <c r="A91" s="7" t="s">
        <v>10</v>
      </c>
      <c r="B91" s="2" t="s">
        <v>161</v>
      </c>
      <c r="C91" s="2">
        <v>3005</v>
      </c>
      <c r="D91" s="2" t="s">
        <v>147</v>
      </c>
      <c r="E91" s="2" t="s">
        <v>25</v>
      </c>
      <c r="F91" s="2" t="s">
        <v>149</v>
      </c>
      <c r="G91" s="277" t="s">
        <v>130</v>
      </c>
      <c r="H91" s="277" t="s">
        <v>130</v>
      </c>
      <c r="I91" s="277">
        <v>44933</v>
      </c>
      <c r="J91" s="2" t="s">
        <v>1341</v>
      </c>
      <c r="K91" s="2" t="s">
        <v>836</v>
      </c>
      <c r="L91" s="2" t="s">
        <v>130</v>
      </c>
      <c r="M91" s="2"/>
      <c r="N91" s="2" t="str">
        <f>DitrbFlota[[#This Row],[TIPO BUS]]&amp;"-"&amp;DitrbFlota[[#This Row],[MARCA CHASIS]]</f>
        <v>BE-FOTON</v>
      </c>
      <c r="O91" s="2">
        <f>MONTH(DitrbFlota[[#This Row],[Inicio Operación]])</f>
        <v>1</v>
      </c>
      <c r="P91" s="2">
        <f>YEAR(DitrbFlota[[#This Row],[Inicio Operación]])</f>
        <v>2023</v>
      </c>
      <c r="Q91" s="29">
        <v>90</v>
      </c>
    </row>
    <row r="92" spans="1:17" hidden="1">
      <c r="A92" s="7" t="s">
        <v>10</v>
      </c>
      <c r="B92" s="2" t="s">
        <v>162</v>
      </c>
      <c r="C92" s="2">
        <v>3006</v>
      </c>
      <c r="D92" s="2" t="s">
        <v>147</v>
      </c>
      <c r="E92" s="2" t="s">
        <v>25</v>
      </c>
      <c r="F92" s="2" t="s">
        <v>149</v>
      </c>
      <c r="G92" s="277" t="s">
        <v>130</v>
      </c>
      <c r="H92" s="277" t="s">
        <v>130</v>
      </c>
      <c r="I92" s="277">
        <v>44933</v>
      </c>
      <c r="J92" s="2" t="s">
        <v>1341</v>
      </c>
      <c r="K92" s="2" t="s">
        <v>836</v>
      </c>
      <c r="L92" s="2" t="s">
        <v>130</v>
      </c>
      <c r="M92" s="2"/>
      <c r="N92" s="2" t="str">
        <f>DitrbFlota[[#This Row],[TIPO BUS]]&amp;"-"&amp;DitrbFlota[[#This Row],[MARCA CHASIS]]</f>
        <v>BE-FOTON</v>
      </c>
      <c r="O92" s="2">
        <f>MONTH(DitrbFlota[[#This Row],[Inicio Operación]])</f>
        <v>1</v>
      </c>
      <c r="P92" s="2">
        <f>YEAR(DitrbFlota[[#This Row],[Inicio Operación]])</f>
        <v>2023</v>
      </c>
      <c r="Q92" s="29">
        <v>90</v>
      </c>
    </row>
    <row r="93" spans="1:17" hidden="1">
      <c r="A93" s="7" t="s">
        <v>10</v>
      </c>
      <c r="B93" s="2" t="s">
        <v>163</v>
      </c>
      <c r="C93" s="2">
        <v>3007</v>
      </c>
      <c r="D93" s="2" t="s">
        <v>147</v>
      </c>
      <c r="E93" s="2" t="s">
        <v>25</v>
      </c>
      <c r="F93" s="2" t="s">
        <v>149</v>
      </c>
      <c r="G93" s="277" t="s">
        <v>130</v>
      </c>
      <c r="H93" s="277" t="s">
        <v>130</v>
      </c>
      <c r="I93" s="277">
        <v>44933</v>
      </c>
      <c r="J93" s="2" t="s">
        <v>1341</v>
      </c>
      <c r="K93" s="2" t="s">
        <v>836</v>
      </c>
      <c r="L93" s="2" t="s">
        <v>130</v>
      </c>
      <c r="M93" s="2"/>
      <c r="N93" s="2" t="str">
        <f>DitrbFlota[[#This Row],[TIPO BUS]]&amp;"-"&amp;DitrbFlota[[#This Row],[MARCA CHASIS]]</f>
        <v>BE-FOTON</v>
      </c>
      <c r="O93" s="2">
        <f>MONTH(DitrbFlota[[#This Row],[Inicio Operación]])</f>
        <v>1</v>
      </c>
      <c r="P93" s="2">
        <f>YEAR(DitrbFlota[[#This Row],[Inicio Operación]])</f>
        <v>2023</v>
      </c>
      <c r="Q93" s="29">
        <v>90</v>
      </c>
    </row>
    <row r="94" spans="1:17" hidden="1">
      <c r="A94" s="7" t="s">
        <v>10</v>
      </c>
      <c r="B94" s="2" t="s">
        <v>164</v>
      </c>
      <c r="C94" s="2">
        <v>3008</v>
      </c>
      <c r="D94" s="2" t="s">
        <v>147</v>
      </c>
      <c r="E94" s="2" t="s">
        <v>25</v>
      </c>
      <c r="F94" s="2" t="s">
        <v>149</v>
      </c>
      <c r="G94" s="277" t="s">
        <v>130</v>
      </c>
      <c r="H94" s="277" t="s">
        <v>130</v>
      </c>
      <c r="I94" s="277">
        <v>44933</v>
      </c>
      <c r="J94" s="2" t="s">
        <v>1341</v>
      </c>
      <c r="K94" s="2" t="s">
        <v>836</v>
      </c>
      <c r="L94" s="2" t="s">
        <v>130</v>
      </c>
      <c r="M94" s="2"/>
      <c r="N94" s="2" t="str">
        <f>DitrbFlota[[#This Row],[TIPO BUS]]&amp;"-"&amp;DitrbFlota[[#This Row],[MARCA CHASIS]]</f>
        <v>BE-FOTON</v>
      </c>
      <c r="O94" s="2">
        <f>MONTH(DitrbFlota[[#This Row],[Inicio Operación]])</f>
        <v>1</v>
      </c>
      <c r="P94" s="2">
        <f>YEAR(DitrbFlota[[#This Row],[Inicio Operación]])</f>
        <v>2023</v>
      </c>
      <c r="Q94" s="29">
        <v>90</v>
      </c>
    </row>
    <row r="95" spans="1:17" hidden="1">
      <c r="A95" s="7" t="s">
        <v>10</v>
      </c>
      <c r="B95" s="2" t="s">
        <v>165</v>
      </c>
      <c r="C95" s="2">
        <v>3009</v>
      </c>
      <c r="D95" s="2" t="s">
        <v>147</v>
      </c>
      <c r="E95" s="2" t="s">
        <v>25</v>
      </c>
      <c r="F95" s="2" t="s">
        <v>149</v>
      </c>
      <c r="G95" s="277" t="s">
        <v>130</v>
      </c>
      <c r="H95" s="277" t="s">
        <v>130</v>
      </c>
      <c r="I95" s="277">
        <v>44933</v>
      </c>
      <c r="J95" s="2" t="s">
        <v>1341</v>
      </c>
      <c r="K95" s="2" t="s">
        <v>836</v>
      </c>
      <c r="L95" s="2" t="s">
        <v>130</v>
      </c>
      <c r="M95" s="2"/>
      <c r="N95" s="2" t="str">
        <f>DitrbFlota[[#This Row],[TIPO BUS]]&amp;"-"&amp;DitrbFlota[[#This Row],[MARCA CHASIS]]</f>
        <v>BE-FOTON</v>
      </c>
      <c r="O95" s="2">
        <f>MONTH(DitrbFlota[[#This Row],[Inicio Operación]])</f>
        <v>1</v>
      </c>
      <c r="P95" s="2">
        <f>YEAR(DitrbFlota[[#This Row],[Inicio Operación]])</f>
        <v>2023</v>
      </c>
      <c r="Q95" s="29">
        <v>90</v>
      </c>
    </row>
    <row r="96" spans="1:17" hidden="1">
      <c r="A96" s="7" t="s">
        <v>10</v>
      </c>
      <c r="B96" s="2" t="s">
        <v>166</v>
      </c>
      <c r="C96" s="2">
        <v>3010</v>
      </c>
      <c r="D96" s="2" t="s">
        <v>147</v>
      </c>
      <c r="E96" s="2" t="s">
        <v>13</v>
      </c>
      <c r="F96" s="2" t="s">
        <v>149</v>
      </c>
      <c r="G96" s="277" t="s">
        <v>130</v>
      </c>
      <c r="H96" s="277" t="s">
        <v>130</v>
      </c>
      <c r="I96" s="277">
        <v>44933</v>
      </c>
      <c r="J96" s="2" t="s">
        <v>1341</v>
      </c>
      <c r="K96" s="2" t="s">
        <v>836</v>
      </c>
      <c r="L96" s="2" t="s">
        <v>130</v>
      </c>
      <c r="M96" s="2"/>
      <c r="N96" s="2" t="str">
        <f>DitrbFlota[[#This Row],[TIPO BUS]]&amp;"-"&amp;DitrbFlota[[#This Row],[MARCA CHASIS]]</f>
        <v>BE-FOTON</v>
      </c>
      <c r="O96" s="2">
        <f>MONTH(DitrbFlota[[#This Row],[Inicio Operación]])</f>
        <v>1</v>
      </c>
      <c r="P96" s="2">
        <f>YEAR(DitrbFlota[[#This Row],[Inicio Operación]])</f>
        <v>2023</v>
      </c>
      <c r="Q96" s="29">
        <v>90</v>
      </c>
    </row>
    <row r="97" spans="1:17" hidden="1">
      <c r="A97" s="7" t="s">
        <v>10</v>
      </c>
      <c r="B97" s="2" t="s">
        <v>167</v>
      </c>
      <c r="C97" s="2">
        <v>3011</v>
      </c>
      <c r="D97" s="2" t="s">
        <v>147</v>
      </c>
      <c r="E97" s="2" t="s">
        <v>13</v>
      </c>
      <c r="F97" s="2" t="s">
        <v>149</v>
      </c>
      <c r="G97" s="277" t="s">
        <v>130</v>
      </c>
      <c r="H97" s="277" t="s">
        <v>130</v>
      </c>
      <c r="I97" s="277">
        <v>44933</v>
      </c>
      <c r="J97" s="2" t="s">
        <v>1341</v>
      </c>
      <c r="K97" s="2" t="s">
        <v>836</v>
      </c>
      <c r="L97" s="2" t="s">
        <v>130</v>
      </c>
      <c r="M97" s="2"/>
      <c r="N97" s="2" t="str">
        <f>DitrbFlota[[#This Row],[TIPO BUS]]&amp;"-"&amp;DitrbFlota[[#This Row],[MARCA CHASIS]]</f>
        <v>BE-FOTON</v>
      </c>
      <c r="O97" s="2">
        <f>MONTH(DitrbFlota[[#This Row],[Inicio Operación]])</f>
        <v>1</v>
      </c>
      <c r="P97" s="2">
        <f>YEAR(DitrbFlota[[#This Row],[Inicio Operación]])</f>
        <v>2023</v>
      </c>
      <c r="Q97" s="29">
        <v>90</v>
      </c>
    </row>
    <row r="98" spans="1:17" hidden="1">
      <c r="A98" s="7" t="s">
        <v>10</v>
      </c>
      <c r="B98" s="2" t="s">
        <v>168</v>
      </c>
      <c r="C98" s="2">
        <v>3012</v>
      </c>
      <c r="D98" s="2" t="s">
        <v>147</v>
      </c>
      <c r="E98" s="2" t="s">
        <v>13</v>
      </c>
      <c r="F98" s="2" t="s">
        <v>149</v>
      </c>
      <c r="G98" s="277" t="s">
        <v>130</v>
      </c>
      <c r="H98" s="277" t="s">
        <v>130</v>
      </c>
      <c r="I98" s="277">
        <v>44933</v>
      </c>
      <c r="J98" s="2" t="s">
        <v>1341</v>
      </c>
      <c r="K98" s="2" t="s">
        <v>836</v>
      </c>
      <c r="L98" s="2" t="s">
        <v>130</v>
      </c>
      <c r="M98" s="2"/>
      <c r="N98" s="2" t="str">
        <f>DitrbFlota[[#This Row],[TIPO BUS]]&amp;"-"&amp;DitrbFlota[[#This Row],[MARCA CHASIS]]</f>
        <v>BE-FOTON</v>
      </c>
      <c r="O98" s="2">
        <f>MONTH(DitrbFlota[[#This Row],[Inicio Operación]])</f>
        <v>1</v>
      </c>
      <c r="P98" s="2">
        <f>YEAR(DitrbFlota[[#This Row],[Inicio Operación]])</f>
        <v>2023</v>
      </c>
      <c r="Q98" s="29">
        <v>90</v>
      </c>
    </row>
    <row r="99" spans="1:17" hidden="1">
      <c r="A99" s="7" t="s">
        <v>10</v>
      </c>
      <c r="B99" s="2" t="s">
        <v>169</v>
      </c>
      <c r="C99" s="2">
        <v>3013</v>
      </c>
      <c r="D99" s="2" t="s">
        <v>147</v>
      </c>
      <c r="E99" s="2" t="s">
        <v>13</v>
      </c>
      <c r="F99" s="2" t="s">
        <v>149</v>
      </c>
      <c r="G99" s="277" t="s">
        <v>130</v>
      </c>
      <c r="H99" s="277" t="s">
        <v>130</v>
      </c>
      <c r="I99" s="277">
        <v>44933</v>
      </c>
      <c r="J99" s="2" t="s">
        <v>1341</v>
      </c>
      <c r="K99" s="2" t="s">
        <v>836</v>
      </c>
      <c r="L99" s="2" t="s">
        <v>130</v>
      </c>
      <c r="M99" s="2"/>
      <c r="N99" s="2" t="str">
        <f>DitrbFlota[[#This Row],[TIPO BUS]]&amp;"-"&amp;DitrbFlota[[#This Row],[MARCA CHASIS]]</f>
        <v>BE-FOTON</v>
      </c>
      <c r="O99" s="2">
        <f>MONTH(DitrbFlota[[#This Row],[Inicio Operación]])</f>
        <v>1</v>
      </c>
      <c r="P99" s="2">
        <f>YEAR(DitrbFlota[[#This Row],[Inicio Operación]])</f>
        <v>2023</v>
      </c>
      <c r="Q99" s="29">
        <v>90</v>
      </c>
    </row>
    <row r="100" spans="1:17" hidden="1">
      <c r="A100" s="7" t="s">
        <v>10</v>
      </c>
      <c r="B100" s="2" t="s">
        <v>170</v>
      </c>
      <c r="C100" s="2">
        <v>3014</v>
      </c>
      <c r="D100" s="2" t="s">
        <v>147</v>
      </c>
      <c r="E100" s="2" t="s">
        <v>13</v>
      </c>
      <c r="F100" s="2" t="s">
        <v>149</v>
      </c>
      <c r="G100" s="277" t="s">
        <v>130</v>
      </c>
      <c r="H100" s="277" t="s">
        <v>130</v>
      </c>
      <c r="I100" s="277">
        <v>44933</v>
      </c>
      <c r="J100" s="2" t="s">
        <v>1341</v>
      </c>
      <c r="K100" s="2" t="s">
        <v>836</v>
      </c>
      <c r="L100" s="2" t="s">
        <v>130</v>
      </c>
      <c r="M100" s="2"/>
      <c r="N100" s="2" t="str">
        <f>DitrbFlota[[#This Row],[TIPO BUS]]&amp;"-"&amp;DitrbFlota[[#This Row],[MARCA CHASIS]]</f>
        <v>BE-FOTON</v>
      </c>
      <c r="O100" s="2">
        <f>MONTH(DitrbFlota[[#This Row],[Inicio Operación]])</f>
        <v>1</v>
      </c>
      <c r="P100" s="2">
        <f>YEAR(DitrbFlota[[#This Row],[Inicio Operación]])</f>
        <v>2023</v>
      </c>
      <c r="Q100" s="29">
        <v>90</v>
      </c>
    </row>
    <row r="101" spans="1:17" hidden="1">
      <c r="A101" s="7" t="s">
        <v>10</v>
      </c>
      <c r="B101" s="2" t="s">
        <v>171</v>
      </c>
      <c r="C101" s="2">
        <v>3015</v>
      </c>
      <c r="D101" s="2" t="s">
        <v>147</v>
      </c>
      <c r="E101" s="2" t="s">
        <v>13</v>
      </c>
      <c r="F101" s="2" t="s">
        <v>149</v>
      </c>
      <c r="G101" s="277" t="s">
        <v>130</v>
      </c>
      <c r="H101" s="277" t="s">
        <v>130</v>
      </c>
      <c r="I101" s="277">
        <v>44933</v>
      </c>
      <c r="J101" s="2" t="s">
        <v>1341</v>
      </c>
      <c r="K101" s="2" t="s">
        <v>836</v>
      </c>
      <c r="L101" s="2" t="s">
        <v>130</v>
      </c>
      <c r="M101" s="2"/>
      <c r="N101" s="2" t="str">
        <f>DitrbFlota[[#This Row],[TIPO BUS]]&amp;"-"&amp;DitrbFlota[[#This Row],[MARCA CHASIS]]</f>
        <v>BE-FOTON</v>
      </c>
      <c r="O101" s="2">
        <f>MONTH(DitrbFlota[[#This Row],[Inicio Operación]])</f>
        <v>1</v>
      </c>
      <c r="P101" s="2">
        <f>YEAR(DitrbFlota[[#This Row],[Inicio Operación]])</f>
        <v>2023</v>
      </c>
      <c r="Q101" s="29">
        <v>90</v>
      </c>
    </row>
    <row r="102" spans="1:17" hidden="1">
      <c r="A102" s="7" t="s">
        <v>10</v>
      </c>
      <c r="B102" s="2" t="s">
        <v>172</v>
      </c>
      <c r="C102" s="2">
        <v>3016</v>
      </c>
      <c r="D102" s="2" t="s">
        <v>147</v>
      </c>
      <c r="E102" s="2" t="s">
        <v>13</v>
      </c>
      <c r="F102" s="2" t="s">
        <v>149</v>
      </c>
      <c r="G102" s="277" t="s">
        <v>130</v>
      </c>
      <c r="H102" s="277" t="s">
        <v>130</v>
      </c>
      <c r="I102" s="277">
        <v>44933</v>
      </c>
      <c r="J102" s="2" t="s">
        <v>1341</v>
      </c>
      <c r="K102" s="2" t="s">
        <v>836</v>
      </c>
      <c r="L102" s="2" t="s">
        <v>130</v>
      </c>
      <c r="M102" s="2"/>
      <c r="N102" s="2" t="str">
        <f>DitrbFlota[[#This Row],[TIPO BUS]]&amp;"-"&amp;DitrbFlota[[#This Row],[MARCA CHASIS]]</f>
        <v>BE-FOTON</v>
      </c>
      <c r="O102" s="2">
        <f>MONTH(DitrbFlota[[#This Row],[Inicio Operación]])</f>
        <v>1</v>
      </c>
      <c r="P102" s="2">
        <f>YEAR(DitrbFlota[[#This Row],[Inicio Operación]])</f>
        <v>2023</v>
      </c>
      <c r="Q102" s="29">
        <v>90</v>
      </c>
    </row>
    <row r="103" spans="1:17" hidden="1">
      <c r="A103" s="7" t="s">
        <v>10</v>
      </c>
      <c r="B103" s="2" t="s">
        <v>173</v>
      </c>
      <c r="C103" s="2">
        <v>3017</v>
      </c>
      <c r="D103" s="2" t="s">
        <v>147</v>
      </c>
      <c r="E103" s="2" t="s">
        <v>13</v>
      </c>
      <c r="F103" s="2" t="s">
        <v>149</v>
      </c>
      <c r="G103" s="277" t="s">
        <v>130</v>
      </c>
      <c r="H103" s="277" t="s">
        <v>130</v>
      </c>
      <c r="I103" s="277">
        <v>44933</v>
      </c>
      <c r="J103" s="2" t="s">
        <v>1341</v>
      </c>
      <c r="K103" s="2" t="s">
        <v>836</v>
      </c>
      <c r="L103" s="2" t="s">
        <v>130</v>
      </c>
      <c r="M103" s="2"/>
      <c r="N103" s="2" t="str">
        <f>DitrbFlota[[#This Row],[TIPO BUS]]&amp;"-"&amp;DitrbFlota[[#This Row],[MARCA CHASIS]]</f>
        <v>BE-FOTON</v>
      </c>
      <c r="O103" s="2">
        <f>MONTH(DitrbFlota[[#This Row],[Inicio Operación]])</f>
        <v>1</v>
      </c>
      <c r="P103" s="2">
        <f>YEAR(DitrbFlota[[#This Row],[Inicio Operación]])</f>
        <v>2023</v>
      </c>
      <c r="Q103" s="29">
        <v>90</v>
      </c>
    </row>
    <row r="104" spans="1:17" hidden="1">
      <c r="A104" s="7" t="s">
        <v>10</v>
      </c>
      <c r="B104" s="2" t="s">
        <v>174</v>
      </c>
      <c r="C104" s="2">
        <v>3018</v>
      </c>
      <c r="D104" s="2" t="s">
        <v>147</v>
      </c>
      <c r="E104" s="2" t="s">
        <v>13</v>
      </c>
      <c r="F104" s="2" t="s">
        <v>149</v>
      </c>
      <c r="G104" s="277" t="s">
        <v>130</v>
      </c>
      <c r="H104" s="277" t="s">
        <v>130</v>
      </c>
      <c r="I104" s="277">
        <v>44933</v>
      </c>
      <c r="J104" s="2" t="s">
        <v>1341</v>
      </c>
      <c r="K104" s="2" t="s">
        <v>836</v>
      </c>
      <c r="L104" s="2" t="s">
        <v>130</v>
      </c>
      <c r="M104" s="2"/>
      <c r="N104" s="2" t="str">
        <f>DitrbFlota[[#This Row],[TIPO BUS]]&amp;"-"&amp;DitrbFlota[[#This Row],[MARCA CHASIS]]</f>
        <v>BE-FOTON</v>
      </c>
      <c r="O104" s="2">
        <f>MONTH(DitrbFlota[[#This Row],[Inicio Operación]])</f>
        <v>1</v>
      </c>
      <c r="P104" s="2">
        <f>YEAR(DitrbFlota[[#This Row],[Inicio Operación]])</f>
        <v>2023</v>
      </c>
      <c r="Q104" s="29">
        <v>90</v>
      </c>
    </row>
    <row r="105" spans="1:17" hidden="1">
      <c r="A105" s="7" t="s">
        <v>10</v>
      </c>
      <c r="B105" s="2" t="s">
        <v>175</v>
      </c>
      <c r="C105" s="2">
        <v>3019</v>
      </c>
      <c r="D105" s="2" t="s">
        <v>147</v>
      </c>
      <c r="E105" s="2" t="s">
        <v>13</v>
      </c>
      <c r="F105" s="2" t="s">
        <v>149</v>
      </c>
      <c r="G105" s="277" t="s">
        <v>130</v>
      </c>
      <c r="H105" s="277" t="s">
        <v>130</v>
      </c>
      <c r="I105" s="277">
        <v>44933</v>
      </c>
      <c r="J105" s="2" t="s">
        <v>1341</v>
      </c>
      <c r="K105" s="2" t="s">
        <v>836</v>
      </c>
      <c r="L105" s="2" t="s">
        <v>130</v>
      </c>
      <c r="M105" s="2"/>
      <c r="N105" s="2" t="str">
        <f>DitrbFlota[[#This Row],[TIPO BUS]]&amp;"-"&amp;DitrbFlota[[#This Row],[MARCA CHASIS]]</f>
        <v>BE-FOTON</v>
      </c>
      <c r="O105" s="2">
        <f>MONTH(DitrbFlota[[#This Row],[Inicio Operación]])</f>
        <v>1</v>
      </c>
      <c r="P105" s="2">
        <f>YEAR(DitrbFlota[[#This Row],[Inicio Operación]])</f>
        <v>2023</v>
      </c>
      <c r="Q105" s="29">
        <v>90</v>
      </c>
    </row>
    <row r="106" spans="1:17" hidden="1">
      <c r="A106" s="7" t="s">
        <v>10</v>
      </c>
      <c r="B106" s="2" t="s">
        <v>176</v>
      </c>
      <c r="C106" s="2">
        <v>3020</v>
      </c>
      <c r="D106" s="2" t="s">
        <v>147</v>
      </c>
      <c r="E106" s="2" t="s">
        <v>13</v>
      </c>
      <c r="F106" s="2" t="s">
        <v>149</v>
      </c>
      <c r="G106" s="277" t="s">
        <v>130</v>
      </c>
      <c r="H106" s="277" t="s">
        <v>130</v>
      </c>
      <c r="I106" s="277">
        <v>44933</v>
      </c>
      <c r="J106" s="2" t="s">
        <v>1341</v>
      </c>
      <c r="K106" s="2" t="s">
        <v>836</v>
      </c>
      <c r="L106" s="2" t="s">
        <v>130</v>
      </c>
      <c r="M106" s="2"/>
      <c r="N106" s="2" t="str">
        <f>DitrbFlota[[#This Row],[TIPO BUS]]&amp;"-"&amp;DitrbFlota[[#This Row],[MARCA CHASIS]]</f>
        <v>BE-FOTON</v>
      </c>
      <c r="O106" s="2">
        <f>MONTH(DitrbFlota[[#This Row],[Inicio Operación]])</f>
        <v>1</v>
      </c>
      <c r="P106" s="2">
        <f>YEAR(DitrbFlota[[#This Row],[Inicio Operación]])</f>
        <v>2023</v>
      </c>
      <c r="Q106" s="29">
        <v>90</v>
      </c>
    </row>
    <row r="107" spans="1:17" hidden="1">
      <c r="A107" s="7" t="s">
        <v>10</v>
      </c>
      <c r="B107" s="2" t="s">
        <v>177</v>
      </c>
      <c r="C107" s="2">
        <v>3021</v>
      </c>
      <c r="D107" s="2" t="s">
        <v>147</v>
      </c>
      <c r="E107" s="2" t="s">
        <v>13</v>
      </c>
      <c r="F107" s="2" t="s">
        <v>149</v>
      </c>
      <c r="G107" s="277" t="s">
        <v>130</v>
      </c>
      <c r="H107" s="277" t="s">
        <v>130</v>
      </c>
      <c r="I107" s="277">
        <v>44933</v>
      </c>
      <c r="J107" s="2" t="s">
        <v>1341</v>
      </c>
      <c r="K107" s="2" t="s">
        <v>836</v>
      </c>
      <c r="L107" s="2" t="s">
        <v>130</v>
      </c>
      <c r="M107" s="2"/>
      <c r="N107" s="2" t="str">
        <f>DitrbFlota[[#This Row],[TIPO BUS]]&amp;"-"&amp;DitrbFlota[[#This Row],[MARCA CHASIS]]</f>
        <v>BE-FOTON</v>
      </c>
      <c r="O107" s="2">
        <f>MONTH(DitrbFlota[[#This Row],[Inicio Operación]])</f>
        <v>1</v>
      </c>
      <c r="P107" s="2">
        <f>YEAR(DitrbFlota[[#This Row],[Inicio Operación]])</f>
        <v>2023</v>
      </c>
      <c r="Q107" s="29">
        <v>90</v>
      </c>
    </row>
    <row r="108" spans="1:17" hidden="1">
      <c r="A108" s="7" t="s">
        <v>10</v>
      </c>
      <c r="B108" s="2" t="s">
        <v>178</v>
      </c>
      <c r="C108" s="2">
        <v>3022</v>
      </c>
      <c r="D108" s="2" t="s">
        <v>147</v>
      </c>
      <c r="E108" s="2" t="s">
        <v>13</v>
      </c>
      <c r="F108" s="2" t="s">
        <v>149</v>
      </c>
      <c r="G108" s="277" t="s">
        <v>130</v>
      </c>
      <c r="H108" s="277" t="s">
        <v>130</v>
      </c>
      <c r="I108" s="277">
        <v>44933</v>
      </c>
      <c r="J108" s="2" t="s">
        <v>1341</v>
      </c>
      <c r="K108" s="2" t="s">
        <v>836</v>
      </c>
      <c r="L108" s="2" t="s">
        <v>130</v>
      </c>
      <c r="M108" s="2"/>
      <c r="N108" s="2" t="str">
        <f>DitrbFlota[[#This Row],[TIPO BUS]]&amp;"-"&amp;DitrbFlota[[#This Row],[MARCA CHASIS]]</f>
        <v>BE-FOTON</v>
      </c>
      <c r="O108" s="2">
        <f>MONTH(DitrbFlota[[#This Row],[Inicio Operación]])</f>
        <v>1</v>
      </c>
      <c r="P108" s="2">
        <f>YEAR(DitrbFlota[[#This Row],[Inicio Operación]])</f>
        <v>2023</v>
      </c>
      <c r="Q108" s="29">
        <v>90</v>
      </c>
    </row>
    <row r="109" spans="1:17" hidden="1">
      <c r="A109" s="7" t="s">
        <v>10</v>
      </c>
      <c r="B109" s="2" t="s">
        <v>179</v>
      </c>
      <c r="C109" s="2">
        <v>3023</v>
      </c>
      <c r="D109" s="2" t="s">
        <v>147</v>
      </c>
      <c r="E109" s="2" t="s">
        <v>13</v>
      </c>
      <c r="F109" s="2" t="s">
        <v>149</v>
      </c>
      <c r="G109" s="277" t="s">
        <v>130</v>
      </c>
      <c r="H109" s="277" t="s">
        <v>15</v>
      </c>
      <c r="I109" s="277">
        <v>44933</v>
      </c>
      <c r="J109" s="2" t="s">
        <v>1341</v>
      </c>
      <c r="K109" s="2" t="s">
        <v>836</v>
      </c>
      <c r="L109" s="2" t="s">
        <v>130</v>
      </c>
      <c r="M109" s="2"/>
      <c r="N109" s="2" t="str">
        <f>DitrbFlota[[#This Row],[TIPO BUS]]&amp;"-"&amp;DitrbFlota[[#This Row],[MARCA CHASIS]]</f>
        <v>BE-FOTON</v>
      </c>
      <c r="O109" s="2">
        <f>MONTH(DitrbFlota[[#This Row],[Inicio Operación]])</f>
        <v>1</v>
      </c>
      <c r="P109" s="2">
        <f>YEAR(DitrbFlota[[#This Row],[Inicio Operación]])</f>
        <v>2023</v>
      </c>
      <c r="Q109" s="29">
        <v>90</v>
      </c>
    </row>
    <row r="110" spans="1:17" hidden="1">
      <c r="A110" s="7" t="s">
        <v>10</v>
      </c>
      <c r="B110" s="2" t="s">
        <v>180</v>
      </c>
      <c r="C110" s="2">
        <v>3024</v>
      </c>
      <c r="D110" s="2" t="s">
        <v>147</v>
      </c>
      <c r="E110" s="2" t="s">
        <v>13</v>
      </c>
      <c r="F110" s="2" t="s">
        <v>149</v>
      </c>
      <c r="G110" s="277" t="s">
        <v>130</v>
      </c>
      <c r="H110" s="277" t="s">
        <v>15</v>
      </c>
      <c r="I110" s="277">
        <v>44933</v>
      </c>
      <c r="J110" s="2" t="s">
        <v>1341</v>
      </c>
      <c r="K110" s="2" t="s">
        <v>836</v>
      </c>
      <c r="L110" s="2" t="s">
        <v>130</v>
      </c>
      <c r="M110" s="2"/>
      <c r="N110" s="2" t="str">
        <f>DitrbFlota[[#This Row],[TIPO BUS]]&amp;"-"&amp;DitrbFlota[[#This Row],[MARCA CHASIS]]</f>
        <v>BE-FOTON</v>
      </c>
      <c r="O110" s="2">
        <f>MONTH(DitrbFlota[[#This Row],[Inicio Operación]])</f>
        <v>1</v>
      </c>
      <c r="P110" s="2">
        <f>YEAR(DitrbFlota[[#This Row],[Inicio Operación]])</f>
        <v>2023</v>
      </c>
      <c r="Q110" s="29">
        <v>90</v>
      </c>
    </row>
    <row r="111" spans="1:17" hidden="1">
      <c r="A111" s="7" t="s">
        <v>10</v>
      </c>
      <c r="B111" s="2" t="s">
        <v>181</v>
      </c>
      <c r="C111" s="2">
        <v>3025</v>
      </c>
      <c r="D111" s="2" t="s">
        <v>147</v>
      </c>
      <c r="E111" s="2" t="s">
        <v>13</v>
      </c>
      <c r="F111" s="2" t="s">
        <v>149</v>
      </c>
      <c r="G111" s="277" t="s">
        <v>130</v>
      </c>
      <c r="H111" s="277" t="s">
        <v>15</v>
      </c>
      <c r="I111" s="277">
        <v>44933</v>
      </c>
      <c r="J111" s="2" t="s">
        <v>1341</v>
      </c>
      <c r="K111" s="2" t="s">
        <v>836</v>
      </c>
      <c r="L111" s="2" t="s">
        <v>130</v>
      </c>
      <c r="M111" s="2"/>
      <c r="N111" s="2" t="str">
        <f>DitrbFlota[[#This Row],[TIPO BUS]]&amp;"-"&amp;DitrbFlota[[#This Row],[MARCA CHASIS]]</f>
        <v>BE-FOTON</v>
      </c>
      <c r="O111" s="2">
        <f>MONTH(DitrbFlota[[#This Row],[Inicio Operación]])</f>
        <v>1</v>
      </c>
      <c r="P111" s="2">
        <f>YEAR(DitrbFlota[[#This Row],[Inicio Operación]])</f>
        <v>2023</v>
      </c>
      <c r="Q111" s="29">
        <v>90</v>
      </c>
    </row>
    <row r="112" spans="1:17" hidden="1">
      <c r="A112" s="7" t="s">
        <v>10</v>
      </c>
      <c r="B112" s="2" t="s">
        <v>182</v>
      </c>
      <c r="C112" s="2">
        <v>3026</v>
      </c>
      <c r="D112" s="2" t="s">
        <v>147</v>
      </c>
      <c r="E112" s="2" t="s">
        <v>13</v>
      </c>
      <c r="F112" s="2" t="s">
        <v>149</v>
      </c>
      <c r="G112" s="277" t="s">
        <v>130</v>
      </c>
      <c r="H112" s="277" t="s">
        <v>15</v>
      </c>
      <c r="I112" s="277">
        <v>44933</v>
      </c>
      <c r="J112" s="2" t="s">
        <v>1341</v>
      </c>
      <c r="K112" s="2" t="s">
        <v>836</v>
      </c>
      <c r="L112" s="2" t="s">
        <v>130</v>
      </c>
      <c r="M112" s="2"/>
      <c r="N112" s="2" t="str">
        <f>DitrbFlota[[#This Row],[TIPO BUS]]&amp;"-"&amp;DitrbFlota[[#This Row],[MARCA CHASIS]]</f>
        <v>BE-FOTON</v>
      </c>
      <c r="O112" s="2">
        <f>MONTH(DitrbFlota[[#This Row],[Inicio Operación]])</f>
        <v>1</v>
      </c>
      <c r="P112" s="2">
        <f>YEAR(DitrbFlota[[#This Row],[Inicio Operación]])</f>
        <v>2023</v>
      </c>
      <c r="Q112" s="29">
        <v>90</v>
      </c>
    </row>
    <row r="113" spans="1:17" hidden="1">
      <c r="A113" s="7" t="s">
        <v>10</v>
      </c>
      <c r="B113" s="2" t="s">
        <v>183</v>
      </c>
      <c r="C113" s="2">
        <v>3027</v>
      </c>
      <c r="D113" s="2" t="s">
        <v>147</v>
      </c>
      <c r="E113" s="2" t="s">
        <v>13</v>
      </c>
      <c r="F113" s="2" t="s">
        <v>149</v>
      </c>
      <c r="G113" s="277" t="s">
        <v>130</v>
      </c>
      <c r="H113" s="277" t="s">
        <v>15</v>
      </c>
      <c r="I113" s="277">
        <v>44933</v>
      </c>
      <c r="J113" s="2" t="s">
        <v>1341</v>
      </c>
      <c r="K113" s="2" t="s">
        <v>836</v>
      </c>
      <c r="L113" s="2" t="s">
        <v>130</v>
      </c>
      <c r="M113" s="2"/>
      <c r="N113" s="2" t="str">
        <f>DitrbFlota[[#This Row],[TIPO BUS]]&amp;"-"&amp;DitrbFlota[[#This Row],[MARCA CHASIS]]</f>
        <v>BE-FOTON</v>
      </c>
      <c r="O113" s="2">
        <f>MONTH(DitrbFlota[[#This Row],[Inicio Operación]])</f>
        <v>1</v>
      </c>
      <c r="P113" s="2">
        <f>YEAR(DitrbFlota[[#This Row],[Inicio Operación]])</f>
        <v>2023</v>
      </c>
      <c r="Q113" s="29">
        <v>90</v>
      </c>
    </row>
    <row r="114" spans="1:17" hidden="1">
      <c r="A114" s="7" t="s">
        <v>10</v>
      </c>
      <c r="B114" s="2" t="s">
        <v>184</v>
      </c>
      <c r="C114" s="2">
        <v>3028</v>
      </c>
      <c r="D114" s="2" t="s">
        <v>147</v>
      </c>
      <c r="E114" s="2" t="s">
        <v>13</v>
      </c>
      <c r="F114" s="2" t="s">
        <v>149</v>
      </c>
      <c r="G114" s="277" t="s">
        <v>130</v>
      </c>
      <c r="H114" s="277" t="s">
        <v>15</v>
      </c>
      <c r="I114" s="277">
        <v>44933</v>
      </c>
      <c r="J114" s="2" t="s">
        <v>1341</v>
      </c>
      <c r="K114" s="2" t="s">
        <v>836</v>
      </c>
      <c r="L114" s="2" t="s">
        <v>130</v>
      </c>
      <c r="M114" s="2"/>
      <c r="N114" s="2" t="str">
        <f>DitrbFlota[[#This Row],[TIPO BUS]]&amp;"-"&amp;DitrbFlota[[#This Row],[MARCA CHASIS]]</f>
        <v>BE-FOTON</v>
      </c>
      <c r="O114" s="2">
        <f>MONTH(DitrbFlota[[#This Row],[Inicio Operación]])</f>
        <v>1</v>
      </c>
      <c r="P114" s="2">
        <f>YEAR(DitrbFlota[[#This Row],[Inicio Operación]])</f>
        <v>2023</v>
      </c>
      <c r="Q114" s="29">
        <v>90</v>
      </c>
    </row>
    <row r="115" spans="1:17" hidden="1">
      <c r="A115" s="7" t="s">
        <v>10</v>
      </c>
      <c r="B115" s="2" t="s">
        <v>185</v>
      </c>
      <c r="C115" s="2">
        <v>3029</v>
      </c>
      <c r="D115" s="2" t="s">
        <v>147</v>
      </c>
      <c r="E115" s="2" t="s">
        <v>13</v>
      </c>
      <c r="F115" s="2" t="s">
        <v>149</v>
      </c>
      <c r="G115" s="277" t="s">
        <v>130</v>
      </c>
      <c r="H115" s="277" t="s">
        <v>15</v>
      </c>
      <c r="I115" s="277">
        <v>44933</v>
      </c>
      <c r="J115" s="2" t="s">
        <v>1341</v>
      </c>
      <c r="K115" s="2" t="s">
        <v>836</v>
      </c>
      <c r="L115" s="2" t="s">
        <v>130</v>
      </c>
      <c r="M115" s="2"/>
      <c r="N115" s="2" t="str">
        <f>DitrbFlota[[#This Row],[TIPO BUS]]&amp;"-"&amp;DitrbFlota[[#This Row],[MARCA CHASIS]]</f>
        <v>BE-FOTON</v>
      </c>
      <c r="O115" s="2">
        <f>MONTH(DitrbFlota[[#This Row],[Inicio Operación]])</f>
        <v>1</v>
      </c>
      <c r="P115" s="2">
        <f>YEAR(DitrbFlota[[#This Row],[Inicio Operación]])</f>
        <v>2023</v>
      </c>
      <c r="Q115" s="29">
        <v>90</v>
      </c>
    </row>
    <row r="116" spans="1:17" hidden="1">
      <c r="A116" s="7" t="s">
        <v>10</v>
      </c>
      <c r="B116" s="2" t="s">
        <v>186</v>
      </c>
      <c r="C116" s="2">
        <v>3030</v>
      </c>
      <c r="D116" s="2" t="s">
        <v>147</v>
      </c>
      <c r="E116" s="2" t="s">
        <v>13</v>
      </c>
      <c r="F116" s="2" t="s">
        <v>149</v>
      </c>
      <c r="G116" s="277" t="s">
        <v>130</v>
      </c>
      <c r="H116" s="277" t="s">
        <v>15</v>
      </c>
      <c r="I116" s="277">
        <v>44933</v>
      </c>
      <c r="J116" s="2" t="s">
        <v>1341</v>
      </c>
      <c r="K116" s="2" t="s">
        <v>836</v>
      </c>
      <c r="L116" s="2" t="s">
        <v>130</v>
      </c>
      <c r="M116" s="2"/>
      <c r="N116" s="2" t="str">
        <f>DitrbFlota[[#This Row],[TIPO BUS]]&amp;"-"&amp;DitrbFlota[[#This Row],[MARCA CHASIS]]</f>
        <v>BE-FOTON</v>
      </c>
      <c r="O116" s="2">
        <f>MONTH(DitrbFlota[[#This Row],[Inicio Operación]])</f>
        <v>1</v>
      </c>
      <c r="P116" s="2">
        <f>YEAR(DitrbFlota[[#This Row],[Inicio Operación]])</f>
        <v>2023</v>
      </c>
      <c r="Q116" s="29">
        <v>90</v>
      </c>
    </row>
    <row r="117" spans="1:17" hidden="1">
      <c r="A117" s="7" t="s">
        <v>10</v>
      </c>
      <c r="B117" s="2" t="s">
        <v>187</v>
      </c>
      <c r="C117" s="2">
        <v>3031</v>
      </c>
      <c r="D117" s="2" t="s">
        <v>147</v>
      </c>
      <c r="E117" s="2" t="s">
        <v>13</v>
      </c>
      <c r="F117" s="2" t="s">
        <v>149</v>
      </c>
      <c r="G117" s="277" t="s">
        <v>130</v>
      </c>
      <c r="H117" s="277" t="s">
        <v>15</v>
      </c>
      <c r="I117" s="277">
        <v>44933</v>
      </c>
      <c r="J117" s="2" t="s">
        <v>1341</v>
      </c>
      <c r="K117" s="2" t="s">
        <v>836</v>
      </c>
      <c r="L117" s="2" t="s">
        <v>130</v>
      </c>
      <c r="M117" s="2"/>
      <c r="N117" s="2" t="str">
        <f>DitrbFlota[[#This Row],[TIPO BUS]]&amp;"-"&amp;DitrbFlota[[#This Row],[MARCA CHASIS]]</f>
        <v>BE-FOTON</v>
      </c>
      <c r="O117" s="2">
        <f>MONTH(DitrbFlota[[#This Row],[Inicio Operación]])</f>
        <v>1</v>
      </c>
      <c r="P117" s="2">
        <f>YEAR(DitrbFlota[[#This Row],[Inicio Operación]])</f>
        <v>2023</v>
      </c>
      <c r="Q117" s="29">
        <v>90</v>
      </c>
    </row>
    <row r="118" spans="1:17" hidden="1">
      <c r="A118" s="7" t="s">
        <v>10</v>
      </c>
      <c r="B118" s="2" t="s">
        <v>188</v>
      </c>
      <c r="C118" s="2">
        <v>3032</v>
      </c>
      <c r="D118" s="2" t="s">
        <v>147</v>
      </c>
      <c r="E118" s="2" t="s">
        <v>13</v>
      </c>
      <c r="F118" s="2" t="s">
        <v>149</v>
      </c>
      <c r="G118" s="277" t="s">
        <v>130</v>
      </c>
      <c r="H118" s="277" t="s">
        <v>15</v>
      </c>
      <c r="I118" s="277">
        <v>44933</v>
      </c>
      <c r="J118" s="2" t="s">
        <v>1341</v>
      </c>
      <c r="K118" s="2" t="s">
        <v>836</v>
      </c>
      <c r="L118" s="2" t="s">
        <v>130</v>
      </c>
      <c r="M118" s="2"/>
      <c r="N118" s="2" t="str">
        <f>DitrbFlota[[#This Row],[TIPO BUS]]&amp;"-"&amp;DitrbFlota[[#This Row],[MARCA CHASIS]]</f>
        <v>BE-FOTON</v>
      </c>
      <c r="O118" s="2">
        <f>MONTH(DitrbFlota[[#This Row],[Inicio Operación]])</f>
        <v>1</v>
      </c>
      <c r="P118" s="2">
        <f>YEAR(DitrbFlota[[#This Row],[Inicio Operación]])</f>
        <v>2023</v>
      </c>
      <c r="Q118" s="29">
        <v>90</v>
      </c>
    </row>
    <row r="119" spans="1:17" hidden="1">
      <c r="A119" s="7" t="s">
        <v>10</v>
      </c>
      <c r="B119" s="2" t="s">
        <v>189</v>
      </c>
      <c r="C119" s="2">
        <v>3033</v>
      </c>
      <c r="D119" s="2" t="s">
        <v>147</v>
      </c>
      <c r="E119" s="2" t="s">
        <v>13</v>
      </c>
      <c r="F119" s="2" t="s">
        <v>149</v>
      </c>
      <c r="G119" s="277" t="s">
        <v>130</v>
      </c>
      <c r="H119" s="277" t="s">
        <v>15</v>
      </c>
      <c r="I119" s="277">
        <v>44933</v>
      </c>
      <c r="J119" s="2" t="s">
        <v>1341</v>
      </c>
      <c r="K119" s="2" t="s">
        <v>836</v>
      </c>
      <c r="L119" s="2" t="s">
        <v>130</v>
      </c>
      <c r="M119" s="2"/>
      <c r="N119" s="2" t="str">
        <f>DitrbFlota[[#This Row],[TIPO BUS]]&amp;"-"&amp;DitrbFlota[[#This Row],[MARCA CHASIS]]</f>
        <v>BE-FOTON</v>
      </c>
      <c r="O119" s="2">
        <f>MONTH(DitrbFlota[[#This Row],[Inicio Operación]])</f>
        <v>1</v>
      </c>
      <c r="P119" s="2">
        <f>YEAR(DitrbFlota[[#This Row],[Inicio Operación]])</f>
        <v>2023</v>
      </c>
      <c r="Q119" s="29">
        <v>90</v>
      </c>
    </row>
    <row r="120" spans="1:17" hidden="1">
      <c r="A120" s="7" t="s">
        <v>10</v>
      </c>
      <c r="B120" s="2" t="s">
        <v>190</v>
      </c>
      <c r="C120" s="2">
        <v>3034</v>
      </c>
      <c r="D120" s="2" t="s">
        <v>147</v>
      </c>
      <c r="E120" s="2" t="s">
        <v>13</v>
      </c>
      <c r="F120" s="2" t="s">
        <v>149</v>
      </c>
      <c r="G120" s="277" t="s">
        <v>130</v>
      </c>
      <c r="H120" s="277" t="s">
        <v>15</v>
      </c>
      <c r="I120" s="277">
        <v>44933</v>
      </c>
      <c r="J120" s="2" t="s">
        <v>1341</v>
      </c>
      <c r="K120" s="2" t="s">
        <v>836</v>
      </c>
      <c r="L120" s="2" t="s">
        <v>130</v>
      </c>
      <c r="M120" s="2"/>
      <c r="N120" s="2" t="str">
        <f>DitrbFlota[[#This Row],[TIPO BUS]]&amp;"-"&amp;DitrbFlota[[#This Row],[MARCA CHASIS]]</f>
        <v>BE-FOTON</v>
      </c>
      <c r="O120" s="2">
        <f>MONTH(DitrbFlota[[#This Row],[Inicio Operación]])</f>
        <v>1</v>
      </c>
      <c r="P120" s="2">
        <f>YEAR(DitrbFlota[[#This Row],[Inicio Operación]])</f>
        <v>2023</v>
      </c>
      <c r="Q120" s="29">
        <v>90</v>
      </c>
    </row>
    <row r="121" spans="1:17" hidden="1">
      <c r="A121" s="7" t="s">
        <v>10</v>
      </c>
      <c r="B121" s="2" t="s">
        <v>191</v>
      </c>
      <c r="C121" s="2">
        <v>3035</v>
      </c>
      <c r="D121" s="2" t="s">
        <v>147</v>
      </c>
      <c r="E121" s="2" t="s">
        <v>13</v>
      </c>
      <c r="F121" s="2" t="s">
        <v>149</v>
      </c>
      <c r="G121" s="277" t="s">
        <v>130</v>
      </c>
      <c r="H121" s="277" t="s">
        <v>15</v>
      </c>
      <c r="I121" s="277">
        <v>44933</v>
      </c>
      <c r="J121" s="2" t="s">
        <v>1341</v>
      </c>
      <c r="K121" s="2" t="s">
        <v>836</v>
      </c>
      <c r="L121" s="2" t="s">
        <v>130</v>
      </c>
      <c r="M121" s="2"/>
      <c r="N121" s="2" t="str">
        <f>DitrbFlota[[#This Row],[TIPO BUS]]&amp;"-"&amp;DitrbFlota[[#This Row],[MARCA CHASIS]]</f>
        <v>BE-FOTON</v>
      </c>
      <c r="O121" s="2">
        <f>MONTH(DitrbFlota[[#This Row],[Inicio Operación]])</f>
        <v>1</v>
      </c>
      <c r="P121" s="2">
        <f>YEAR(DitrbFlota[[#This Row],[Inicio Operación]])</f>
        <v>2023</v>
      </c>
      <c r="Q121" s="29">
        <v>90</v>
      </c>
    </row>
    <row r="122" spans="1:17" hidden="1">
      <c r="A122" s="7" t="s">
        <v>10</v>
      </c>
      <c r="B122" s="2" t="s">
        <v>192</v>
      </c>
      <c r="C122" s="2">
        <v>3036</v>
      </c>
      <c r="D122" s="2" t="s">
        <v>147</v>
      </c>
      <c r="E122" s="2" t="s">
        <v>13</v>
      </c>
      <c r="F122" s="2" t="s">
        <v>149</v>
      </c>
      <c r="G122" s="277" t="s">
        <v>130</v>
      </c>
      <c r="H122" s="277" t="s">
        <v>15</v>
      </c>
      <c r="I122" s="277">
        <v>44933</v>
      </c>
      <c r="J122" s="2" t="s">
        <v>1341</v>
      </c>
      <c r="K122" s="2" t="s">
        <v>836</v>
      </c>
      <c r="L122" s="2" t="s">
        <v>130</v>
      </c>
      <c r="M122" s="2"/>
      <c r="N122" s="2" t="str">
        <f>DitrbFlota[[#This Row],[TIPO BUS]]&amp;"-"&amp;DitrbFlota[[#This Row],[MARCA CHASIS]]</f>
        <v>BE-FOTON</v>
      </c>
      <c r="O122" s="2">
        <f>MONTH(DitrbFlota[[#This Row],[Inicio Operación]])</f>
        <v>1</v>
      </c>
      <c r="P122" s="2">
        <f>YEAR(DitrbFlota[[#This Row],[Inicio Operación]])</f>
        <v>2023</v>
      </c>
      <c r="Q122" s="29">
        <v>90</v>
      </c>
    </row>
    <row r="123" spans="1:17" hidden="1">
      <c r="A123" s="7" t="s">
        <v>10</v>
      </c>
      <c r="B123" s="2" t="s">
        <v>193</v>
      </c>
      <c r="C123" s="2">
        <v>3037</v>
      </c>
      <c r="D123" s="2" t="s">
        <v>147</v>
      </c>
      <c r="E123" s="2" t="s">
        <v>13</v>
      </c>
      <c r="F123" s="2" t="s">
        <v>149</v>
      </c>
      <c r="G123" s="277" t="s">
        <v>130</v>
      </c>
      <c r="H123" s="277" t="s">
        <v>15</v>
      </c>
      <c r="I123" s="277">
        <v>44933</v>
      </c>
      <c r="J123" s="2" t="s">
        <v>1341</v>
      </c>
      <c r="K123" s="2" t="s">
        <v>836</v>
      </c>
      <c r="L123" s="2" t="s">
        <v>130</v>
      </c>
      <c r="M123" s="2"/>
      <c r="N123" s="2" t="str">
        <f>DitrbFlota[[#This Row],[TIPO BUS]]&amp;"-"&amp;DitrbFlota[[#This Row],[MARCA CHASIS]]</f>
        <v>BE-FOTON</v>
      </c>
      <c r="O123" s="2">
        <f>MONTH(DitrbFlota[[#This Row],[Inicio Operación]])</f>
        <v>1</v>
      </c>
      <c r="P123" s="2">
        <f>YEAR(DitrbFlota[[#This Row],[Inicio Operación]])</f>
        <v>2023</v>
      </c>
      <c r="Q123" s="29">
        <v>90</v>
      </c>
    </row>
    <row r="124" spans="1:17" hidden="1">
      <c r="A124" s="7" t="s">
        <v>10</v>
      </c>
      <c r="B124" s="2" t="s">
        <v>194</v>
      </c>
      <c r="C124" s="2">
        <v>3038</v>
      </c>
      <c r="D124" s="2" t="s">
        <v>147</v>
      </c>
      <c r="E124" s="2" t="s">
        <v>13</v>
      </c>
      <c r="F124" s="2" t="s">
        <v>149</v>
      </c>
      <c r="G124" s="277" t="s">
        <v>130</v>
      </c>
      <c r="H124" s="277" t="s">
        <v>15</v>
      </c>
      <c r="I124" s="277">
        <v>44933</v>
      </c>
      <c r="J124" s="2" t="s">
        <v>1341</v>
      </c>
      <c r="K124" s="2" t="s">
        <v>836</v>
      </c>
      <c r="L124" s="2" t="s">
        <v>130</v>
      </c>
      <c r="M124" s="2"/>
      <c r="N124" s="2" t="str">
        <f>DitrbFlota[[#This Row],[TIPO BUS]]&amp;"-"&amp;DitrbFlota[[#This Row],[MARCA CHASIS]]</f>
        <v>BE-FOTON</v>
      </c>
      <c r="O124" s="2">
        <f>MONTH(DitrbFlota[[#This Row],[Inicio Operación]])</f>
        <v>1</v>
      </c>
      <c r="P124" s="2">
        <f>YEAR(DitrbFlota[[#This Row],[Inicio Operación]])</f>
        <v>2023</v>
      </c>
      <c r="Q124" s="29">
        <v>90</v>
      </c>
    </row>
    <row r="125" spans="1:17" hidden="1">
      <c r="A125" s="7" t="s">
        <v>10</v>
      </c>
      <c r="B125" s="2" t="s">
        <v>195</v>
      </c>
      <c r="C125" s="2">
        <v>3039</v>
      </c>
      <c r="D125" s="2" t="s">
        <v>147</v>
      </c>
      <c r="E125" s="2" t="s">
        <v>13</v>
      </c>
      <c r="F125" s="2" t="s">
        <v>149</v>
      </c>
      <c r="G125" s="277" t="s">
        <v>130</v>
      </c>
      <c r="H125" s="277" t="s">
        <v>15</v>
      </c>
      <c r="I125" s="277">
        <v>44933</v>
      </c>
      <c r="J125" s="2" t="s">
        <v>1341</v>
      </c>
      <c r="K125" s="2" t="s">
        <v>836</v>
      </c>
      <c r="L125" s="2" t="s">
        <v>130</v>
      </c>
      <c r="M125" s="2"/>
      <c r="N125" s="2" t="str">
        <f>DitrbFlota[[#This Row],[TIPO BUS]]&amp;"-"&amp;DitrbFlota[[#This Row],[MARCA CHASIS]]</f>
        <v>BE-FOTON</v>
      </c>
      <c r="O125" s="2">
        <f>MONTH(DitrbFlota[[#This Row],[Inicio Operación]])</f>
        <v>1</v>
      </c>
      <c r="P125" s="2">
        <f>YEAR(DitrbFlota[[#This Row],[Inicio Operación]])</f>
        <v>2023</v>
      </c>
      <c r="Q125" s="29">
        <v>90</v>
      </c>
    </row>
    <row r="126" spans="1:17" hidden="1">
      <c r="A126" s="7" t="s">
        <v>10</v>
      </c>
      <c r="B126" s="2" t="s">
        <v>196</v>
      </c>
      <c r="C126" s="2">
        <v>3040</v>
      </c>
      <c r="D126" s="2" t="s">
        <v>147</v>
      </c>
      <c r="E126" s="2" t="s">
        <v>13</v>
      </c>
      <c r="F126" s="2" t="s">
        <v>149</v>
      </c>
      <c r="G126" s="277" t="s">
        <v>130</v>
      </c>
      <c r="H126" s="277" t="s">
        <v>15</v>
      </c>
      <c r="I126" s="277">
        <v>44933</v>
      </c>
      <c r="J126" s="2" t="s">
        <v>1341</v>
      </c>
      <c r="K126" s="2" t="s">
        <v>836</v>
      </c>
      <c r="L126" s="2" t="s">
        <v>130</v>
      </c>
      <c r="M126" s="2"/>
      <c r="N126" s="2" t="str">
        <f>DitrbFlota[[#This Row],[TIPO BUS]]&amp;"-"&amp;DitrbFlota[[#This Row],[MARCA CHASIS]]</f>
        <v>BE-FOTON</v>
      </c>
      <c r="O126" s="2">
        <f>MONTH(DitrbFlota[[#This Row],[Inicio Operación]])</f>
        <v>1</v>
      </c>
      <c r="P126" s="2">
        <f>YEAR(DitrbFlota[[#This Row],[Inicio Operación]])</f>
        <v>2023</v>
      </c>
      <c r="Q126" s="29">
        <v>90</v>
      </c>
    </row>
    <row r="127" spans="1:17" hidden="1">
      <c r="A127" s="7" t="s">
        <v>10</v>
      </c>
      <c r="B127" s="2" t="s">
        <v>197</v>
      </c>
      <c r="C127" s="2">
        <v>3041</v>
      </c>
      <c r="D127" s="2" t="s">
        <v>147</v>
      </c>
      <c r="E127" s="2" t="s">
        <v>13</v>
      </c>
      <c r="F127" s="2" t="s">
        <v>149</v>
      </c>
      <c r="G127" s="277" t="s">
        <v>130</v>
      </c>
      <c r="H127" s="277" t="s">
        <v>15</v>
      </c>
      <c r="I127" s="277">
        <v>44933</v>
      </c>
      <c r="J127" s="2" t="s">
        <v>1341</v>
      </c>
      <c r="K127" s="2" t="s">
        <v>836</v>
      </c>
      <c r="L127" s="2" t="s">
        <v>130</v>
      </c>
      <c r="M127" s="2"/>
      <c r="N127" s="2" t="str">
        <f>DitrbFlota[[#This Row],[TIPO BUS]]&amp;"-"&amp;DitrbFlota[[#This Row],[MARCA CHASIS]]</f>
        <v>BE-FOTON</v>
      </c>
      <c r="O127" s="2">
        <f>MONTH(DitrbFlota[[#This Row],[Inicio Operación]])</f>
        <v>1</v>
      </c>
      <c r="P127" s="2">
        <f>YEAR(DitrbFlota[[#This Row],[Inicio Operación]])</f>
        <v>2023</v>
      </c>
      <c r="Q127" s="29">
        <v>90</v>
      </c>
    </row>
    <row r="128" spans="1:17" hidden="1">
      <c r="A128" s="7" t="s">
        <v>10</v>
      </c>
      <c r="B128" s="2" t="s">
        <v>198</v>
      </c>
      <c r="C128" s="2">
        <v>3042</v>
      </c>
      <c r="D128" s="2" t="s">
        <v>147</v>
      </c>
      <c r="E128" s="2" t="s">
        <v>13</v>
      </c>
      <c r="F128" s="2" t="s">
        <v>149</v>
      </c>
      <c r="G128" s="277" t="s">
        <v>130</v>
      </c>
      <c r="H128" s="277" t="s">
        <v>15</v>
      </c>
      <c r="I128" s="277">
        <v>44991</v>
      </c>
      <c r="J128" s="2" t="s">
        <v>1341</v>
      </c>
      <c r="K128" s="2" t="s">
        <v>836</v>
      </c>
      <c r="L128" s="2" t="s">
        <v>130</v>
      </c>
      <c r="M128" s="2"/>
      <c r="N128" s="2" t="str">
        <f>DitrbFlota[[#This Row],[TIPO BUS]]&amp;"-"&amp;DitrbFlota[[#This Row],[MARCA CHASIS]]</f>
        <v>BE-FOTON</v>
      </c>
      <c r="O128" s="2">
        <f>MONTH(DitrbFlota[[#This Row],[Inicio Operación]])</f>
        <v>3</v>
      </c>
      <c r="P128" s="2">
        <f>YEAR(DitrbFlota[[#This Row],[Inicio Operación]])</f>
        <v>2023</v>
      </c>
      <c r="Q128" s="29">
        <v>90</v>
      </c>
    </row>
    <row r="129" spans="1:17" hidden="1">
      <c r="A129" s="7" t="s">
        <v>10</v>
      </c>
      <c r="B129" s="2" t="s">
        <v>199</v>
      </c>
      <c r="C129" s="2">
        <v>3043</v>
      </c>
      <c r="D129" s="2" t="s">
        <v>147</v>
      </c>
      <c r="E129" s="2" t="s">
        <v>13</v>
      </c>
      <c r="F129" s="2" t="s">
        <v>149</v>
      </c>
      <c r="G129" s="277" t="s">
        <v>130</v>
      </c>
      <c r="H129" s="277" t="s">
        <v>15</v>
      </c>
      <c r="I129" s="277">
        <v>44991</v>
      </c>
      <c r="J129" s="2" t="s">
        <v>1341</v>
      </c>
      <c r="K129" s="2" t="s">
        <v>836</v>
      </c>
      <c r="L129" s="2" t="s">
        <v>130</v>
      </c>
      <c r="M129" s="2"/>
      <c r="N129" s="2" t="str">
        <f>DitrbFlota[[#This Row],[TIPO BUS]]&amp;"-"&amp;DitrbFlota[[#This Row],[MARCA CHASIS]]</f>
        <v>BE-FOTON</v>
      </c>
      <c r="O129" s="2">
        <f>MONTH(DitrbFlota[[#This Row],[Inicio Operación]])</f>
        <v>3</v>
      </c>
      <c r="P129" s="2">
        <f>YEAR(DitrbFlota[[#This Row],[Inicio Operación]])</f>
        <v>2023</v>
      </c>
      <c r="Q129" s="29">
        <v>90</v>
      </c>
    </row>
    <row r="130" spans="1:17" hidden="1">
      <c r="A130" s="7" t="s">
        <v>10</v>
      </c>
      <c r="B130" s="2" t="s">
        <v>200</v>
      </c>
      <c r="C130" s="2">
        <v>3044</v>
      </c>
      <c r="D130" s="2" t="s">
        <v>147</v>
      </c>
      <c r="E130" s="2" t="s">
        <v>13</v>
      </c>
      <c r="F130" s="2" t="s">
        <v>149</v>
      </c>
      <c r="G130" s="277" t="s">
        <v>130</v>
      </c>
      <c r="H130" s="277" t="s">
        <v>15</v>
      </c>
      <c r="I130" s="277">
        <v>44991</v>
      </c>
      <c r="J130" s="2" t="s">
        <v>1341</v>
      </c>
      <c r="K130" s="2" t="s">
        <v>836</v>
      </c>
      <c r="L130" s="2" t="s">
        <v>130</v>
      </c>
      <c r="M130" s="2"/>
      <c r="N130" s="2" t="str">
        <f>DitrbFlota[[#This Row],[TIPO BUS]]&amp;"-"&amp;DitrbFlota[[#This Row],[MARCA CHASIS]]</f>
        <v>BE-FOTON</v>
      </c>
      <c r="O130" s="2">
        <f>MONTH(DitrbFlota[[#This Row],[Inicio Operación]])</f>
        <v>3</v>
      </c>
      <c r="P130" s="2">
        <f>YEAR(DitrbFlota[[#This Row],[Inicio Operación]])</f>
        <v>2023</v>
      </c>
      <c r="Q130" s="29">
        <v>90</v>
      </c>
    </row>
    <row r="131" spans="1:17" hidden="1">
      <c r="A131" s="7" t="s">
        <v>10</v>
      </c>
      <c r="B131" s="2" t="s">
        <v>201</v>
      </c>
      <c r="C131" s="2">
        <v>3045</v>
      </c>
      <c r="D131" s="2" t="s">
        <v>147</v>
      </c>
      <c r="E131" s="2" t="s">
        <v>13</v>
      </c>
      <c r="F131" s="2" t="s">
        <v>149</v>
      </c>
      <c r="G131" s="277" t="s">
        <v>130</v>
      </c>
      <c r="H131" s="277" t="s">
        <v>15</v>
      </c>
      <c r="I131" s="277">
        <v>44991</v>
      </c>
      <c r="J131" s="2" t="s">
        <v>1341</v>
      </c>
      <c r="K131" s="2" t="s">
        <v>836</v>
      </c>
      <c r="L131" s="2" t="s">
        <v>130</v>
      </c>
      <c r="M131" s="2"/>
      <c r="N131" s="2" t="str">
        <f>DitrbFlota[[#This Row],[TIPO BUS]]&amp;"-"&amp;DitrbFlota[[#This Row],[MARCA CHASIS]]</f>
        <v>BE-FOTON</v>
      </c>
      <c r="O131" s="2">
        <f>MONTH(DitrbFlota[[#This Row],[Inicio Operación]])</f>
        <v>3</v>
      </c>
      <c r="P131" s="2">
        <f>YEAR(DitrbFlota[[#This Row],[Inicio Operación]])</f>
        <v>2023</v>
      </c>
      <c r="Q131" s="29">
        <v>90</v>
      </c>
    </row>
    <row r="132" spans="1:17" hidden="1">
      <c r="A132" s="7" t="s">
        <v>10</v>
      </c>
      <c r="B132" s="2" t="s">
        <v>202</v>
      </c>
      <c r="C132" s="2">
        <v>3046</v>
      </c>
      <c r="D132" s="2" t="s">
        <v>147</v>
      </c>
      <c r="E132" s="2" t="s">
        <v>13</v>
      </c>
      <c r="F132" s="2" t="s">
        <v>149</v>
      </c>
      <c r="G132" s="277" t="s">
        <v>130</v>
      </c>
      <c r="H132" s="277" t="s">
        <v>130</v>
      </c>
      <c r="I132" s="277">
        <v>44991</v>
      </c>
      <c r="J132" s="2" t="s">
        <v>1341</v>
      </c>
      <c r="K132" s="2" t="s">
        <v>836</v>
      </c>
      <c r="L132" s="2" t="s">
        <v>130</v>
      </c>
      <c r="M132" s="2"/>
      <c r="N132" s="2" t="str">
        <f>DitrbFlota[[#This Row],[TIPO BUS]]&amp;"-"&amp;DitrbFlota[[#This Row],[MARCA CHASIS]]</f>
        <v>BE-FOTON</v>
      </c>
      <c r="O132" s="2">
        <f>MONTH(DitrbFlota[[#This Row],[Inicio Operación]])</f>
        <v>3</v>
      </c>
      <c r="P132" s="2">
        <f>YEAR(DitrbFlota[[#This Row],[Inicio Operación]])</f>
        <v>2023</v>
      </c>
      <c r="Q132" s="29">
        <v>90</v>
      </c>
    </row>
    <row r="133" spans="1:17" hidden="1">
      <c r="A133" s="7" t="s">
        <v>10</v>
      </c>
      <c r="B133" s="2" t="s">
        <v>203</v>
      </c>
      <c r="C133" s="2">
        <v>3047</v>
      </c>
      <c r="D133" s="2" t="s">
        <v>147</v>
      </c>
      <c r="E133" s="2" t="s">
        <v>13</v>
      </c>
      <c r="F133" s="2" t="s">
        <v>149</v>
      </c>
      <c r="G133" s="277" t="s">
        <v>130</v>
      </c>
      <c r="H133" s="277" t="s">
        <v>130</v>
      </c>
      <c r="I133" s="277">
        <v>44991</v>
      </c>
      <c r="J133" s="2" t="s">
        <v>1341</v>
      </c>
      <c r="K133" s="2" t="s">
        <v>836</v>
      </c>
      <c r="L133" s="2" t="s">
        <v>130</v>
      </c>
      <c r="M133" s="2"/>
      <c r="N133" s="2" t="str">
        <f>DitrbFlota[[#This Row],[TIPO BUS]]&amp;"-"&amp;DitrbFlota[[#This Row],[MARCA CHASIS]]</f>
        <v>BE-FOTON</v>
      </c>
      <c r="O133" s="2">
        <f>MONTH(DitrbFlota[[#This Row],[Inicio Operación]])</f>
        <v>3</v>
      </c>
      <c r="P133" s="2">
        <f>YEAR(DitrbFlota[[#This Row],[Inicio Operación]])</f>
        <v>2023</v>
      </c>
      <c r="Q133" s="29">
        <v>90</v>
      </c>
    </row>
    <row r="134" spans="1:17" hidden="1">
      <c r="A134" s="7" t="s">
        <v>10</v>
      </c>
      <c r="B134" s="2" t="s">
        <v>204</v>
      </c>
      <c r="C134" s="2">
        <v>3048</v>
      </c>
      <c r="D134" s="2" t="s">
        <v>147</v>
      </c>
      <c r="E134" s="2" t="s">
        <v>13</v>
      </c>
      <c r="F134" s="2" t="s">
        <v>149</v>
      </c>
      <c r="G134" s="277" t="s">
        <v>130</v>
      </c>
      <c r="H134" s="277" t="s">
        <v>130</v>
      </c>
      <c r="I134" s="277">
        <v>44991</v>
      </c>
      <c r="J134" s="2" t="s">
        <v>1341</v>
      </c>
      <c r="K134" s="2" t="s">
        <v>836</v>
      </c>
      <c r="L134" s="2" t="s">
        <v>130</v>
      </c>
      <c r="M134" s="2"/>
      <c r="N134" s="2" t="str">
        <f>DitrbFlota[[#This Row],[TIPO BUS]]&amp;"-"&amp;DitrbFlota[[#This Row],[MARCA CHASIS]]</f>
        <v>BE-FOTON</v>
      </c>
      <c r="O134" s="2">
        <f>MONTH(DitrbFlota[[#This Row],[Inicio Operación]])</f>
        <v>3</v>
      </c>
      <c r="P134" s="2">
        <f>YEAR(DitrbFlota[[#This Row],[Inicio Operación]])</f>
        <v>2023</v>
      </c>
      <c r="Q134" s="29">
        <v>90</v>
      </c>
    </row>
    <row r="135" spans="1:17" hidden="1">
      <c r="A135" s="7" t="s">
        <v>10</v>
      </c>
      <c r="B135" s="2" t="s">
        <v>205</v>
      </c>
      <c r="C135" s="2">
        <v>3049</v>
      </c>
      <c r="D135" s="2" t="s">
        <v>147</v>
      </c>
      <c r="E135" s="2" t="s">
        <v>13</v>
      </c>
      <c r="F135" s="2" t="s">
        <v>149</v>
      </c>
      <c r="G135" s="277" t="s">
        <v>130</v>
      </c>
      <c r="H135" s="277" t="s">
        <v>130</v>
      </c>
      <c r="I135" s="277">
        <v>44991</v>
      </c>
      <c r="J135" s="2" t="s">
        <v>1341</v>
      </c>
      <c r="K135" s="2" t="s">
        <v>836</v>
      </c>
      <c r="L135" s="2" t="s">
        <v>130</v>
      </c>
      <c r="M135" s="2"/>
      <c r="N135" s="2" t="str">
        <f>DitrbFlota[[#This Row],[TIPO BUS]]&amp;"-"&amp;DitrbFlota[[#This Row],[MARCA CHASIS]]</f>
        <v>BE-FOTON</v>
      </c>
      <c r="O135" s="2">
        <f>MONTH(DitrbFlota[[#This Row],[Inicio Operación]])</f>
        <v>3</v>
      </c>
      <c r="P135" s="2">
        <f>YEAR(DitrbFlota[[#This Row],[Inicio Operación]])</f>
        <v>2023</v>
      </c>
      <c r="Q135" s="29">
        <v>90</v>
      </c>
    </row>
    <row r="136" spans="1:17" hidden="1">
      <c r="A136" s="7" t="s">
        <v>10</v>
      </c>
      <c r="B136" s="2" t="s">
        <v>206</v>
      </c>
      <c r="C136" s="2">
        <v>3050</v>
      </c>
      <c r="D136" s="2" t="s">
        <v>147</v>
      </c>
      <c r="E136" s="2" t="s">
        <v>13</v>
      </c>
      <c r="F136" s="2" t="s">
        <v>149</v>
      </c>
      <c r="G136" s="277" t="s">
        <v>130</v>
      </c>
      <c r="H136" s="277" t="s">
        <v>130</v>
      </c>
      <c r="I136" s="277">
        <v>44991</v>
      </c>
      <c r="J136" s="2" t="s">
        <v>1341</v>
      </c>
      <c r="K136" s="2" t="s">
        <v>836</v>
      </c>
      <c r="L136" s="2" t="s">
        <v>130</v>
      </c>
      <c r="M136" s="2"/>
      <c r="N136" s="2" t="str">
        <f>DitrbFlota[[#This Row],[TIPO BUS]]&amp;"-"&amp;DitrbFlota[[#This Row],[MARCA CHASIS]]</f>
        <v>BE-FOTON</v>
      </c>
      <c r="O136" s="2">
        <f>MONTH(DitrbFlota[[#This Row],[Inicio Operación]])</f>
        <v>3</v>
      </c>
      <c r="P136" s="2">
        <f>YEAR(DitrbFlota[[#This Row],[Inicio Operación]])</f>
        <v>2023</v>
      </c>
      <c r="Q136" s="29">
        <v>90</v>
      </c>
    </row>
    <row r="137" spans="1:17" hidden="1">
      <c r="A137" s="7" t="s">
        <v>10</v>
      </c>
      <c r="B137" s="2" t="s">
        <v>207</v>
      </c>
      <c r="C137" s="2">
        <v>3051</v>
      </c>
      <c r="D137" s="2" t="s">
        <v>147</v>
      </c>
      <c r="E137" s="2" t="s">
        <v>13</v>
      </c>
      <c r="F137" s="2" t="s">
        <v>149</v>
      </c>
      <c r="G137" s="277" t="s">
        <v>130</v>
      </c>
      <c r="H137" s="277" t="s">
        <v>130</v>
      </c>
      <c r="I137" s="277">
        <v>44991</v>
      </c>
      <c r="J137" s="2" t="s">
        <v>1341</v>
      </c>
      <c r="K137" s="2" t="s">
        <v>836</v>
      </c>
      <c r="L137" s="2" t="s">
        <v>130</v>
      </c>
      <c r="M137" s="2"/>
      <c r="N137" s="2" t="str">
        <f>DitrbFlota[[#This Row],[TIPO BUS]]&amp;"-"&amp;DitrbFlota[[#This Row],[MARCA CHASIS]]</f>
        <v>BE-FOTON</v>
      </c>
      <c r="O137" s="2">
        <f>MONTH(DitrbFlota[[#This Row],[Inicio Operación]])</f>
        <v>3</v>
      </c>
      <c r="P137" s="2">
        <f>YEAR(DitrbFlota[[#This Row],[Inicio Operación]])</f>
        <v>2023</v>
      </c>
      <c r="Q137" s="29">
        <v>90</v>
      </c>
    </row>
    <row r="138" spans="1:17" hidden="1">
      <c r="A138" s="7" t="s">
        <v>10</v>
      </c>
      <c r="B138" s="2" t="s">
        <v>208</v>
      </c>
      <c r="C138" s="2">
        <v>3059</v>
      </c>
      <c r="D138" s="2" t="s">
        <v>147</v>
      </c>
      <c r="E138" s="2" t="s">
        <v>13</v>
      </c>
      <c r="F138" s="2" t="s">
        <v>149</v>
      </c>
      <c r="G138" s="277" t="s">
        <v>130</v>
      </c>
      <c r="H138" s="277" t="s">
        <v>130</v>
      </c>
      <c r="I138" s="277">
        <v>45038</v>
      </c>
      <c r="J138" s="2" t="s">
        <v>1341</v>
      </c>
      <c r="K138" s="2" t="s">
        <v>836</v>
      </c>
      <c r="L138" s="2" t="s">
        <v>130</v>
      </c>
      <c r="M138" s="2"/>
      <c r="N138" s="2" t="str">
        <f>DitrbFlota[[#This Row],[TIPO BUS]]&amp;"-"&amp;DitrbFlota[[#This Row],[MARCA CHASIS]]</f>
        <v>BE-FOTON</v>
      </c>
      <c r="O138" s="2">
        <f>MONTH(DitrbFlota[[#This Row],[Inicio Operación]])</f>
        <v>4</v>
      </c>
      <c r="P138" s="2">
        <f>YEAR(DitrbFlota[[#This Row],[Inicio Operación]])</f>
        <v>2023</v>
      </c>
      <c r="Q138" s="29">
        <v>90</v>
      </c>
    </row>
    <row r="139" spans="1:17" hidden="1">
      <c r="A139" s="7" t="s">
        <v>10</v>
      </c>
      <c r="B139" s="2" t="s">
        <v>209</v>
      </c>
      <c r="C139" s="2">
        <v>3065</v>
      </c>
      <c r="D139" s="2" t="s">
        <v>147</v>
      </c>
      <c r="E139" s="2" t="s">
        <v>13</v>
      </c>
      <c r="F139" s="2" t="s">
        <v>149</v>
      </c>
      <c r="G139" s="277" t="s">
        <v>130</v>
      </c>
      <c r="H139" s="277" t="s">
        <v>130</v>
      </c>
      <c r="I139" s="277">
        <v>45038</v>
      </c>
      <c r="J139" s="2" t="s">
        <v>1341</v>
      </c>
      <c r="K139" s="2" t="s">
        <v>836</v>
      </c>
      <c r="L139" s="2" t="s">
        <v>130</v>
      </c>
      <c r="M139" s="2"/>
      <c r="N139" s="2" t="str">
        <f>DitrbFlota[[#This Row],[TIPO BUS]]&amp;"-"&amp;DitrbFlota[[#This Row],[MARCA CHASIS]]</f>
        <v>BE-FOTON</v>
      </c>
      <c r="O139" s="2">
        <f>MONTH(DitrbFlota[[#This Row],[Inicio Operación]])</f>
        <v>4</v>
      </c>
      <c r="P139" s="2">
        <f>YEAR(DitrbFlota[[#This Row],[Inicio Operación]])</f>
        <v>2023</v>
      </c>
      <c r="Q139" s="29">
        <v>90</v>
      </c>
    </row>
    <row r="140" spans="1:17" hidden="1">
      <c r="A140" s="7" t="s">
        <v>10</v>
      </c>
      <c r="B140" s="2" t="s">
        <v>210</v>
      </c>
      <c r="C140" s="2">
        <v>3066</v>
      </c>
      <c r="D140" s="2" t="s">
        <v>147</v>
      </c>
      <c r="E140" s="2" t="s">
        <v>13</v>
      </c>
      <c r="F140" s="2" t="s">
        <v>149</v>
      </c>
      <c r="G140" s="277" t="s">
        <v>130</v>
      </c>
      <c r="H140" s="277" t="s">
        <v>130</v>
      </c>
      <c r="I140" s="277">
        <v>45038</v>
      </c>
      <c r="J140" s="2" t="s">
        <v>1341</v>
      </c>
      <c r="K140" s="2" t="s">
        <v>836</v>
      </c>
      <c r="L140" s="2" t="s">
        <v>130</v>
      </c>
      <c r="M140" s="2"/>
      <c r="N140" s="2" t="str">
        <f>DitrbFlota[[#This Row],[TIPO BUS]]&amp;"-"&amp;DitrbFlota[[#This Row],[MARCA CHASIS]]</f>
        <v>BE-FOTON</v>
      </c>
      <c r="O140" s="2">
        <f>MONTH(DitrbFlota[[#This Row],[Inicio Operación]])</f>
        <v>4</v>
      </c>
      <c r="P140" s="2">
        <f>YEAR(DitrbFlota[[#This Row],[Inicio Operación]])</f>
        <v>2023</v>
      </c>
      <c r="Q140" s="29">
        <v>90</v>
      </c>
    </row>
    <row r="141" spans="1:17" hidden="1">
      <c r="A141" s="7" t="s">
        <v>10</v>
      </c>
      <c r="B141" s="2" t="s">
        <v>211</v>
      </c>
      <c r="C141" s="2">
        <v>3067</v>
      </c>
      <c r="D141" s="2" t="s">
        <v>147</v>
      </c>
      <c r="E141" s="2" t="s">
        <v>13</v>
      </c>
      <c r="F141" s="2" t="s">
        <v>149</v>
      </c>
      <c r="G141" s="277" t="s">
        <v>130</v>
      </c>
      <c r="H141" s="277" t="s">
        <v>130</v>
      </c>
      <c r="I141" s="277">
        <v>45038</v>
      </c>
      <c r="J141" s="2" t="s">
        <v>1341</v>
      </c>
      <c r="K141" s="2" t="s">
        <v>836</v>
      </c>
      <c r="L141" s="2" t="s">
        <v>130</v>
      </c>
      <c r="M141" s="2"/>
      <c r="N141" s="2" t="str">
        <f>DitrbFlota[[#This Row],[TIPO BUS]]&amp;"-"&amp;DitrbFlota[[#This Row],[MARCA CHASIS]]</f>
        <v>BE-FOTON</v>
      </c>
      <c r="O141" s="2">
        <f>MONTH(DitrbFlota[[#This Row],[Inicio Operación]])</f>
        <v>4</v>
      </c>
      <c r="P141" s="2">
        <f>YEAR(DitrbFlota[[#This Row],[Inicio Operación]])</f>
        <v>2023</v>
      </c>
      <c r="Q141" s="29">
        <v>90</v>
      </c>
    </row>
    <row r="142" spans="1:17" hidden="1">
      <c r="A142" s="7" t="s">
        <v>10</v>
      </c>
      <c r="B142" s="2" t="s">
        <v>212</v>
      </c>
      <c r="C142" s="2">
        <v>3068</v>
      </c>
      <c r="D142" s="2" t="s">
        <v>147</v>
      </c>
      <c r="E142" s="2" t="s">
        <v>13</v>
      </c>
      <c r="F142" s="2" t="s">
        <v>149</v>
      </c>
      <c r="G142" s="277" t="s">
        <v>130</v>
      </c>
      <c r="H142" s="277" t="s">
        <v>130</v>
      </c>
      <c r="I142" s="277">
        <v>45038</v>
      </c>
      <c r="J142" s="2" t="s">
        <v>1341</v>
      </c>
      <c r="K142" s="2" t="s">
        <v>836</v>
      </c>
      <c r="L142" s="2" t="s">
        <v>130</v>
      </c>
      <c r="M142" s="2"/>
      <c r="N142" s="2" t="str">
        <f>DitrbFlota[[#This Row],[TIPO BUS]]&amp;"-"&amp;DitrbFlota[[#This Row],[MARCA CHASIS]]</f>
        <v>BE-FOTON</v>
      </c>
      <c r="O142" s="2">
        <f>MONTH(DitrbFlota[[#This Row],[Inicio Operación]])</f>
        <v>4</v>
      </c>
      <c r="P142" s="2">
        <f>YEAR(DitrbFlota[[#This Row],[Inicio Operación]])</f>
        <v>2023</v>
      </c>
      <c r="Q142" s="29">
        <v>90</v>
      </c>
    </row>
    <row r="143" spans="1:17" hidden="1">
      <c r="A143" s="7" t="s">
        <v>10</v>
      </c>
      <c r="B143" s="2" t="s">
        <v>213</v>
      </c>
      <c r="C143" s="2">
        <v>3069</v>
      </c>
      <c r="D143" s="2" t="s">
        <v>147</v>
      </c>
      <c r="E143" s="2" t="s">
        <v>13</v>
      </c>
      <c r="F143" s="2" t="s">
        <v>149</v>
      </c>
      <c r="G143" s="277" t="s">
        <v>130</v>
      </c>
      <c r="H143" s="277" t="s">
        <v>130</v>
      </c>
      <c r="I143" s="277">
        <v>45038</v>
      </c>
      <c r="J143" s="2" t="s">
        <v>1341</v>
      </c>
      <c r="K143" s="2" t="s">
        <v>836</v>
      </c>
      <c r="L143" s="2" t="s">
        <v>130</v>
      </c>
      <c r="M143" s="2"/>
      <c r="N143" s="2" t="str">
        <f>DitrbFlota[[#This Row],[TIPO BUS]]&amp;"-"&amp;DitrbFlota[[#This Row],[MARCA CHASIS]]</f>
        <v>BE-FOTON</v>
      </c>
      <c r="O143" s="2">
        <f>MONTH(DitrbFlota[[#This Row],[Inicio Operación]])</f>
        <v>4</v>
      </c>
      <c r="P143" s="2">
        <f>YEAR(DitrbFlota[[#This Row],[Inicio Operación]])</f>
        <v>2023</v>
      </c>
      <c r="Q143" s="29">
        <v>90</v>
      </c>
    </row>
    <row r="144" spans="1:17" hidden="1">
      <c r="A144" s="7" t="s">
        <v>10</v>
      </c>
      <c r="B144" s="2" t="s">
        <v>214</v>
      </c>
      <c r="C144" s="2">
        <v>3070</v>
      </c>
      <c r="D144" s="2" t="s">
        <v>147</v>
      </c>
      <c r="E144" s="2" t="s">
        <v>13</v>
      </c>
      <c r="F144" s="2" t="s">
        <v>149</v>
      </c>
      <c r="G144" s="277" t="s">
        <v>130</v>
      </c>
      <c r="H144" s="277" t="s">
        <v>130</v>
      </c>
      <c r="I144" s="277">
        <v>45038</v>
      </c>
      <c r="J144" s="2" t="s">
        <v>1341</v>
      </c>
      <c r="K144" s="2" t="s">
        <v>836</v>
      </c>
      <c r="L144" s="2" t="s">
        <v>130</v>
      </c>
      <c r="M144" s="2"/>
      <c r="N144" s="2" t="str">
        <f>DitrbFlota[[#This Row],[TIPO BUS]]&amp;"-"&amp;DitrbFlota[[#This Row],[MARCA CHASIS]]</f>
        <v>BE-FOTON</v>
      </c>
      <c r="O144" s="2">
        <f>MONTH(DitrbFlota[[#This Row],[Inicio Operación]])</f>
        <v>4</v>
      </c>
      <c r="P144" s="2">
        <f>YEAR(DitrbFlota[[#This Row],[Inicio Operación]])</f>
        <v>2023</v>
      </c>
      <c r="Q144" s="29">
        <v>90</v>
      </c>
    </row>
    <row r="145" spans="1:17" hidden="1">
      <c r="A145" s="7" t="s">
        <v>10</v>
      </c>
      <c r="B145" s="2" t="s">
        <v>215</v>
      </c>
      <c r="C145" s="2">
        <v>3071</v>
      </c>
      <c r="D145" s="2" t="s">
        <v>147</v>
      </c>
      <c r="E145" s="2" t="s">
        <v>13</v>
      </c>
      <c r="F145" s="2" t="s">
        <v>149</v>
      </c>
      <c r="G145" s="277" t="s">
        <v>130</v>
      </c>
      <c r="H145" s="277" t="s">
        <v>130</v>
      </c>
      <c r="I145" s="277">
        <v>45038</v>
      </c>
      <c r="J145" s="2" t="s">
        <v>1341</v>
      </c>
      <c r="K145" s="2" t="s">
        <v>836</v>
      </c>
      <c r="L145" s="2" t="s">
        <v>130</v>
      </c>
      <c r="M145" s="2"/>
      <c r="N145" s="2" t="str">
        <f>DitrbFlota[[#This Row],[TIPO BUS]]&amp;"-"&amp;DitrbFlota[[#This Row],[MARCA CHASIS]]</f>
        <v>BE-FOTON</v>
      </c>
      <c r="O145" s="2">
        <f>MONTH(DitrbFlota[[#This Row],[Inicio Operación]])</f>
        <v>4</v>
      </c>
      <c r="P145" s="2">
        <f>YEAR(DitrbFlota[[#This Row],[Inicio Operación]])</f>
        <v>2023</v>
      </c>
      <c r="Q145" s="29">
        <v>90</v>
      </c>
    </row>
    <row r="146" spans="1:17" hidden="1">
      <c r="A146" s="7" t="s">
        <v>10</v>
      </c>
      <c r="B146" s="2" t="s">
        <v>216</v>
      </c>
      <c r="C146" s="2">
        <v>3072</v>
      </c>
      <c r="D146" s="2" t="s">
        <v>147</v>
      </c>
      <c r="E146" s="2" t="s">
        <v>13</v>
      </c>
      <c r="F146" s="2" t="s">
        <v>149</v>
      </c>
      <c r="G146" s="277" t="s">
        <v>130</v>
      </c>
      <c r="H146" s="277" t="s">
        <v>130</v>
      </c>
      <c r="I146" s="277">
        <v>45038</v>
      </c>
      <c r="J146" s="2" t="s">
        <v>1341</v>
      </c>
      <c r="K146" s="2" t="s">
        <v>836</v>
      </c>
      <c r="L146" s="2" t="s">
        <v>130</v>
      </c>
      <c r="M146" s="2"/>
      <c r="N146" s="2" t="str">
        <f>DitrbFlota[[#This Row],[TIPO BUS]]&amp;"-"&amp;DitrbFlota[[#This Row],[MARCA CHASIS]]</f>
        <v>BE-FOTON</v>
      </c>
      <c r="O146" s="2">
        <f>MONTH(DitrbFlota[[#This Row],[Inicio Operación]])</f>
        <v>4</v>
      </c>
      <c r="P146" s="2">
        <f>YEAR(DitrbFlota[[#This Row],[Inicio Operación]])</f>
        <v>2023</v>
      </c>
      <c r="Q146" s="29">
        <v>90</v>
      </c>
    </row>
    <row r="147" spans="1:17" hidden="1">
      <c r="A147" s="7" t="s">
        <v>10</v>
      </c>
      <c r="B147" s="2" t="s">
        <v>217</v>
      </c>
      <c r="C147" s="2">
        <v>3074</v>
      </c>
      <c r="D147" s="2" t="s">
        <v>147</v>
      </c>
      <c r="E147" s="2" t="s">
        <v>13</v>
      </c>
      <c r="F147" s="2" t="s">
        <v>149</v>
      </c>
      <c r="G147" s="277" t="s">
        <v>130</v>
      </c>
      <c r="H147" s="277" t="s">
        <v>130</v>
      </c>
      <c r="I147" s="277">
        <v>45038</v>
      </c>
      <c r="J147" s="2" t="s">
        <v>1341</v>
      </c>
      <c r="K147" s="2" t="s">
        <v>836</v>
      </c>
      <c r="L147" s="2" t="s">
        <v>130</v>
      </c>
      <c r="M147" s="2"/>
      <c r="N147" s="2" t="str">
        <f>DitrbFlota[[#This Row],[TIPO BUS]]&amp;"-"&amp;DitrbFlota[[#This Row],[MARCA CHASIS]]</f>
        <v>BE-FOTON</v>
      </c>
      <c r="O147" s="2">
        <f>MONTH(DitrbFlota[[#This Row],[Inicio Operación]])</f>
        <v>4</v>
      </c>
      <c r="P147" s="2">
        <f>YEAR(DitrbFlota[[#This Row],[Inicio Operación]])</f>
        <v>2023</v>
      </c>
      <c r="Q147" s="29">
        <v>90</v>
      </c>
    </row>
    <row r="148" spans="1:17" hidden="1">
      <c r="A148" s="7" t="s">
        <v>10</v>
      </c>
      <c r="B148" s="2" t="s">
        <v>218</v>
      </c>
      <c r="C148" s="2">
        <v>3075</v>
      </c>
      <c r="D148" s="2" t="s">
        <v>147</v>
      </c>
      <c r="E148" s="2" t="s">
        <v>13</v>
      </c>
      <c r="F148" s="2" t="s">
        <v>149</v>
      </c>
      <c r="G148" s="277" t="s">
        <v>130</v>
      </c>
      <c r="H148" s="277" t="s">
        <v>130</v>
      </c>
      <c r="I148" s="277">
        <v>45038</v>
      </c>
      <c r="J148" s="2" t="s">
        <v>1341</v>
      </c>
      <c r="K148" s="2" t="s">
        <v>836</v>
      </c>
      <c r="L148" s="2" t="s">
        <v>130</v>
      </c>
      <c r="M148" s="2"/>
      <c r="N148" s="2" t="str">
        <f>DitrbFlota[[#This Row],[TIPO BUS]]&amp;"-"&amp;DitrbFlota[[#This Row],[MARCA CHASIS]]</f>
        <v>BE-FOTON</v>
      </c>
      <c r="O148" s="2">
        <f>MONTH(DitrbFlota[[#This Row],[Inicio Operación]])</f>
        <v>4</v>
      </c>
      <c r="P148" s="2">
        <f>YEAR(DitrbFlota[[#This Row],[Inicio Operación]])</f>
        <v>2023</v>
      </c>
      <c r="Q148" s="29">
        <v>90</v>
      </c>
    </row>
    <row r="149" spans="1:17" hidden="1">
      <c r="A149" s="7" t="s">
        <v>10</v>
      </c>
      <c r="B149" s="2" t="s">
        <v>219</v>
      </c>
      <c r="C149" s="2">
        <v>3076</v>
      </c>
      <c r="D149" s="2" t="s">
        <v>147</v>
      </c>
      <c r="E149" s="2" t="s">
        <v>13</v>
      </c>
      <c r="F149" s="2" t="s">
        <v>149</v>
      </c>
      <c r="G149" s="277" t="s">
        <v>130</v>
      </c>
      <c r="H149" s="277" t="s">
        <v>130</v>
      </c>
      <c r="I149" s="277">
        <v>45038</v>
      </c>
      <c r="J149" s="2" t="s">
        <v>1341</v>
      </c>
      <c r="K149" s="2" t="s">
        <v>836</v>
      </c>
      <c r="L149" s="2" t="s">
        <v>130</v>
      </c>
      <c r="M149" s="2"/>
      <c r="N149" s="2" t="str">
        <f>DitrbFlota[[#This Row],[TIPO BUS]]&amp;"-"&amp;DitrbFlota[[#This Row],[MARCA CHASIS]]</f>
        <v>BE-FOTON</v>
      </c>
      <c r="O149" s="2">
        <f>MONTH(DitrbFlota[[#This Row],[Inicio Operación]])</f>
        <v>4</v>
      </c>
      <c r="P149" s="2">
        <f>YEAR(DitrbFlota[[#This Row],[Inicio Operación]])</f>
        <v>2023</v>
      </c>
      <c r="Q149" s="29">
        <v>90</v>
      </c>
    </row>
    <row r="150" spans="1:17" hidden="1">
      <c r="A150" s="7" t="s">
        <v>10</v>
      </c>
      <c r="B150" s="2" t="s">
        <v>220</v>
      </c>
      <c r="C150" s="2">
        <v>3077</v>
      </c>
      <c r="D150" s="2" t="s">
        <v>147</v>
      </c>
      <c r="E150" s="2" t="s">
        <v>13</v>
      </c>
      <c r="F150" s="2" t="s">
        <v>149</v>
      </c>
      <c r="G150" s="277" t="s">
        <v>130</v>
      </c>
      <c r="H150" s="277" t="s">
        <v>130</v>
      </c>
      <c r="I150" s="277">
        <v>45038</v>
      </c>
      <c r="J150" s="2" t="s">
        <v>1341</v>
      </c>
      <c r="K150" s="2" t="s">
        <v>836</v>
      </c>
      <c r="L150" s="2" t="s">
        <v>130</v>
      </c>
      <c r="M150" s="2"/>
      <c r="N150" s="2" t="str">
        <f>DitrbFlota[[#This Row],[TIPO BUS]]&amp;"-"&amp;DitrbFlota[[#This Row],[MARCA CHASIS]]</f>
        <v>BE-FOTON</v>
      </c>
      <c r="O150" s="2">
        <f>MONTH(DitrbFlota[[#This Row],[Inicio Operación]])</f>
        <v>4</v>
      </c>
      <c r="P150" s="2">
        <f>YEAR(DitrbFlota[[#This Row],[Inicio Operación]])</f>
        <v>2023</v>
      </c>
      <c r="Q150" s="29">
        <v>90</v>
      </c>
    </row>
    <row r="151" spans="1:17" hidden="1">
      <c r="A151" s="7" t="s">
        <v>10</v>
      </c>
      <c r="B151" s="2" t="s">
        <v>221</v>
      </c>
      <c r="C151" s="2">
        <v>3079</v>
      </c>
      <c r="D151" s="2" t="s">
        <v>147</v>
      </c>
      <c r="E151" s="2" t="s">
        <v>13</v>
      </c>
      <c r="F151" s="2" t="s">
        <v>149</v>
      </c>
      <c r="G151" s="277" t="s">
        <v>130</v>
      </c>
      <c r="H151" s="277" t="s">
        <v>130</v>
      </c>
      <c r="I151" s="277">
        <v>45038</v>
      </c>
      <c r="J151" s="2" t="s">
        <v>1341</v>
      </c>
      <c r="K151" s="2" t="s">
        <v>836</v>
      </c>
      <c r="L151" s="2" t="s">
        <v>130</v>
      </c>
      <c r="M151" s="2"/>
      <c r="N151" s="2" t="str">
        <f>DitrbFlota[[#This Row],[TIPO BUS]]&amp;"-"&amp;DitrbFlota[[#This Row],[MARCA CHASIS]]</f>
        <v>BE-FOTON</v>
      </c>
      <c r="O151" s="2">
        <f>MONTH(DitrbFlota[[#This Row],[Inicio Operación]])</f>
        <v>4</v>
      </c>
      <c r="P151" s="2">
        <f>YEAR(DitrbFlota[[#This Row],[Inicio Operación]])</f>
        <v>2023</v>
      </c>
      <c r="Q151" s="29">
        <v>90</v>
      </c>
    </row>
    <row r="152" spans="1:17" hidden="1">
      <c r="A152" s="7" t="s">
        <v>10</v>
      </c>
      <c r="B152" s="2" t="s">
        <v>222</v>
      </c>
      <c r="C152" s="2">
        <v>3081</v>
      </c>
      <c r="D152" s="2" t="s">
        <v>147</v>
      </c>
      <c r="E152" s="2" t="s">
        <v>13</v>
      </c>
      <c r="F152" s="2" t="s">
        <v>149</v>
      </c>
      <c r="G152" s="277" t="s">
        <v>130</v>
      </c>
      <c r="H152" s="277" t="s">
        <v>130</v>
      </c>
      <c r="I152" s="277">
        <v>45038</v>
      </c>
      <c r="J152" s="2" t="s">
        <v>1341</v>
      </c>
      <c r="K152" s="2" t="s">
        <v>836</v>
      </c>
      <c r="L152" s="2" t="s">
        <v>130</v>
      </c>
      <c r="M152" s="2"/>
      <c r="N152" s="2" t="str">
        <f>DitrbFlota[[#This Row],[TIPO BUS]]&amp;"-"&amp;DitrbFlota[[#This Row],[MARCA CHASIS]]</f>
        <v>BE-FOTON</v>
      </c>
      <c r="O152" s="2">
        <f>MONTH(DitrbFlota[[#This Row],[Inicio Operación]])</f>
        <v>4</v>
      </c>
      <c r="P152" s="2">
        <f>YEAR(DitrbFlota[[#This Row],[Inicio Operación]])</f>
        <v>2023</v>
      </c>
      <c r="Q152" s="29">
        <v>90</v>
      </c>
    </row>
    <row r="153" spans="1:17" hidden="1">
      <c r="A153" s="7" t="s">
        <v>10</v>
      </c>
      <c r="B153" s="2" t="s">
        <v>258</v>
      </c>
      <c r="C153" s="2">
        <v>3133</v>
      </c>
      <c r="D153" s="2" t="s">
        <v>147</v>
      </c>
      <c r="E153" s="2" t="s">
        <v>25</v>
      </c>
      <c r="F153" s="2" t="s">
        <v>149</v>
      </c>
      <c r="G153" s="277" t="s">
        <v>130</v>
      </c>
      <c r="H153" s="277" t="s">
        <v>130</v>
      </c>
      <c r="I153" s="277">
        <v>45695</v>
      </c>
      <c r="J153" s="2" t="s">
        <v>830</v>
      </c>
      <c r="K153" s="2" t="s">
        <v>836</v>
      </c>
      <c r="L153" s="277" t="s">
        <v>130</v>
      </c>
      <c r="M153" s="2"/>
      <c r="N153" s="2" t="str">
        <f>DitrbFlota[[#This Row],[TIPO BUS]]&amp;"-"&amp;DitrbFlota[[#This Row],[MARCA CHASIS]]</f>
        <v>BE-FOTON</v>
      </c>
      <c r="O153" s="2">
        <f>MONTH(DitrbFlota[[#This Row],[Inicio Operación]])</f>
        <v>2</v>
      </c>
      <c r="P153" s="2">
        <f>YEAR(DitrbFlota[[#This Row],[Inicio Operación]])</f>
        <v>2025</v>
      </c>
      <c r="Q153" s="29">
        <v>90</v>
      </c>
    </row>
    <row r="154" spans="1:17" hidden="1">
      <c r="A154" s="7" t="s">
        <v>10</v>
      </c>
      <c r="B154" s="2" t="s">
        <v>259</v>
      </c>
      <c r="C154" s="2">
        <v>3134</v>
      </c>
      <c r="D154" s="2" t="s">
        <v>147</v>
      </c>
      <c r="E154" s="2" t="s">
        <v>25</v>
      </c>
      <c r="F154" s="2" t="s">
        <v>149</v>
      </c>
      <c r="G154" s="277" t="s">
        <v>130</v>
      </c>
      <c r="H154" s="277" t="s">
        <v>130</v>
      </c>
      <c r="I154" s="277">
        <v>45695</v>
      </c>
      <c r="J154" s="2" t="s">
        <v>830</v>
      </c>
      <c r="K154" s="2" t="s">
        <v>836</v>
      </c>
      <c r="L154" s="277" t="s">
        <v>130</v>
      </c>
      <c r="M154" s="2"/>
      <c r="N154" s="2" t="str">
        <f>DitrbFlota[[#This Row],[TIPO BUS]]&amp;"-"&amp;DitrbFlota[[#This Row],[MARCA CHASIS]]</f>
        <v>BE-FOTON</v>
      </c>
      <c r="O154" s="2">
        <f>MONTH(DitrbFlota[[#This Row],[Inicio Operación]])</f>
        <v>2</v>
      </c>
      <c r="P154" s="2">
        <f>YEAR(DitrbFlota[[#This Row],[Inicio Operación]])</f>
        <v>2025</v>
      </c>
      <c r="Q154" s="29">
        <v>90</v>
      </c>
    </row>
    <row r="155" spans="1:17" hidden="1">
      <c r="A155" s="7" t="s">
        <v>10</v>
      </c>
      <c r="B155" s="2" t="s">
        <v>260</v>
      </c>
      <c r="C155" s="2">
        <v>3135</v>
      </c>
      <c r="D155" s="2" t="s">
        <v>147</v>
      </c>
      <c r="E155" s="2" t="s">
        <v>25</v>
      </c>
      <c r="F155" s="2" t="s">
        <v>149</v>
      </c>
      <c r="G155" s="277" t="s">
        <v>130</v>
      </c>
      <c r="H155" s="277" t="s">
        <v>130</v>
      </c>
      <c r="I155" s="277">
        <v>45701</v>
      </c>
      <c r="J155" s="2" t="s">
        <v>830</v>
      </c>
      <c r="K155" s="2" t="s">
        <v>836</v>
      </c>
      <c r="L155" s="277" t="s">
        <v>130</v>
      </c>
      <c r="M155" s="2"/>
      <c r="N155" s="2" t="str">
        <f>DitrbFlota[[#This Row],[TIPO BUS]]&amp;"-"&amp;DitrbFlota[[#This Row],[MARCA CHASIS]]</f>
        <v>BE-FOTON</v>
      </c>
      <c r="O155" s="2">
        <f>MONTH(DitrbFlota[[#This Row],[Inicio Operación]])</f>
        <v>2</v>
      </c>
      <c r="P155" s="2">
        <f>YEAR(DitrbFlota[[#This Row],[Inicio Operación]])</f>
        <v>2025</v>
      </c>
      <c r="Q155" s="29">
        <v>90</v>
      </c>
    </row>
    <row r="156" spans="1:17" hidden="1">
      <c r="A156" s="7" t="s">
        <v>10</v>
      </c>
      <c r="B156" s="2" t="s">
        <v>261</v>
      </c>
      <c r="C156" s="2">
        <v>3136</v>
      </c>
      <c r="D156" s="2" t="s">
        <v>147</v>
      </c>
      <c r="E156" s="352" t="s">
        <v>25</v>
      </c>
      <c r="F156" s="2" t="s">
        <v>149</v>
      </c>
      <c r="G156" s="277" t="s">
        <v>130</v>
      </c>
      <c r="H156" s="277" t="s">
        <v>130</v>
      </c>
      <c r="I156" s="277">
        <v>45695</v>
      </c>
      <c r="J156" s="2" t="s">
        <v>830</v>
      </c>
      <c r="K156" s="2" t="s">
        <v>836</v>
      </c>
      <c r="L156" s="277" t="s">
        <v>130</v>
      </c>
      <c r="M156" s="2"/>
      <c r="N156" s="2" t="str">
        <f>DitrbFlota[[#This Row],[TIPO BUS]]&amp;"-"&amp;DitrbFlota[[#This Row],[MARCA CHASIS]]</f>
        <v>BE-FOTON</v>
      </c>
      <c r="O156" s="2">
        <f>MONTH(DitrbFlota[[#This Row],[Inicio Operación]])</f>
        <v>2</v>
      </c>
      <c r="P156" s="2">
        <f>YEAR(DitrbFlota[[#This Row],[Inicio Operación]])</f>
        <v>2025</v>
      </c>
      <c r="Q156" s="29">
        <v>90</v>
      </c>
    </row>
    <row r="157" spans="1:17" hidden="1">
      <c r="A157" s="7" t="s">
        <v>10</v>
      </c>
      <c r="B157" s="2" t="s">
        <v>262</v>
      </c>
      <c r="C157" s="2">
        <v>3137</v>
      </c>
      <c r="D157" s="2" t="s">
        <v>147</v>
      </c>
      <c r="E157" s="352" t="s">
        <v>25</v>
      </c>
      <c r="F157" s="2" t="s">
        <v>149</v>
      </c>
      <c r="G157" s="277" t="s">
        <v>130</v>
      </c>
      <c r="H157" s="277" t="s">
        <v>130</v>
      </c>
      <c r="I157" s="277">
        <v>45695</v>
      </c>
      <c r="J157" s="2" t="s">
        <v>830</v>
      </c>
      <c r="K157" s="2" t="s">
        <v>836</v>
      </c>
      <c r="L157" s="277" t="s">
        <v>130</v>
      </c>
      <c r="M157" s="2"/>
      <c r="N157" s="2" t="str">
        <f>DitrbFlota[[#This Row],[TIPO BUS]]&amp;"-"&amp;DitrbFlota[[#This Row],[MARCA CHASIS]]</f>
        <v>BE-FOTON</v>
      </c>
      <c r="O157" s="2">
        <f>MONTH(DitrbFlota[[#This Row],[Inicio Operación]])</f>
        <v>2</v>
      </c>
      <c r="P157" s="2">
        <f>YEAR(DitrbFlota[[#This Row],[Inicio Operación]])</f>
        <v>2025</v>
      </c>
      <c r="Q157" s="29">
        <v>90</v>
      </c>
    </row>
    <row r="158" spans="1:17" hidden="1">
      <c r="A158" s="7" t="s">
        <v>10</v>
      </c>
      <c r="B158" s="2" t="s">
        <v>263</v>
      </c>
      <c r="C158" s="2">
        <v>3138</v>
      </c>
      <c r="D158" s="2" t="s">
        <v>147</v>
      </c>
      <c r="E158" s="352" t="s">
        <v>25</v>
      </c>
      <c r="F158" s="2" t="s">
        <v>149</v>
      </c>
      <c r="G158" s="277" t="s">
        <v>130</v>
      </c>
      <c r="H158" s="277" t="s">
        <v>130</v>
      </c>
      <c r="I158" s="277">
        <v>45695</v>
      </c>
      <c r="J158" s="2" t="s">
        <v>830</v>
      </c>
      <c r="K158" s="2" t="s">
        <v>836</v>
      </c>
      <c r="L158" s="277" t="s">
        <v>130</v>
      </c>
      <c r="M158" s="2"/>
      <c r="N158" s="2" t="str">
        <f>DitrbFlota[[#This Row],[TIPO BUS]]&amp;"-"&amp;DitrbFlota[[#This Row],[MARCA CHASIS]]</f>
        <v>BE-FOTON</v>
      </c>
      <c r="O158" s="2">
        <f>MONTH(DitrbFlota[[#This Row],[Inicio Operación]])</f>
        <v>2</v>
      </c>
      <c r="P158" s="2">
        <f>YEAR(DitrbFlota[[#This Row],[Inicio Operación]])</f>
        <v>2025</v>
      </c>
      <c r="Q158" s="29">
        <v>90</v>
      </c>
    </row>
    <row r="159" spans="1:17" hidden="1">
      <c r="A159" s="7" t="s">
        <v>10</v>
      </c>
      <c r="B159" s="2" t="s">
        <v>264</v>
      </c>
      <c r="C159" s="2">
        <v>3139</v>
      </c>
      <c r="D159" s="2" t="s">
        <v>147</v>
      </c>
      <c r="E159" s="352" t="s">
        <v>25</v>
      </c>
      <c r="F159" s="2" t="s">
        <v>149</v>
      </c>
      <c r="G159" s="277" t="s">
        <v>130</v>
      </c>
      <c r="H159" s="277" t="s">
        <v>130</v>
      </c>
      <c r="I159" s="277">
        <v>45702</v>
      </c>
      <c r="J159" s="2" t="s">
        <v>830</v>
      </c>
      <c r="K159" s="2" t="s">
        <v>836</v>
      </c>
      <c r="L159" s="277" t="s">
        <v>130</v>
      </c>
      <c r="M159" s="2"/>
      <c r="N159" s="2" t="str">
        <f>DitrbFlota[[#This Row],[TIPO BUS]]&amp;"-"&amp;DitrbFlota[[#This Row],[MARCA CHASIS]]</f>
        <v>BE-FOTON</v>
      </c>
      <c r="O159" s="2">
        <f>MONTH(DitrbFlota[[#This Row],[Inicio Operación]])</f>
        <v>2</v>
      </c>
      <c r="P159" s="2">
        <f>YEAR(DitrbFlota[[#This Row],[Inicio Operación]])</f>
        <v>2025</v>
      </c>
      <c r="Q159" s="29">
        <v>90</v>
      </c>
    </row>
    <row r="160" spans="1:17" hidden="1">
      <c r="A160" s="7" t="s">
        <v>10</v>
      </c>
      <c r="B160" s="2" t="s">
        <v>265</v>
      </c>
      <c r="C160" s="2">
        <v>3140</v>
      </c>
      <c r="D160" s="2" t="s">
        <v>147</v>
      </c>
      <c r="E160" s="352" t="s">
        <v>25</v>
      </c>
      <c r="F160" s="2" t="s">
        <v>149</v>
      </c>
      <c r="G160" s="277" t="s">
        <v>130</v>
      </c>
      <c r="H160" s="277" t="s">
        <v>130</v>
      </c>
      <c r="I160" s="277">
        <v>45702</v>
      </c>
      <c r="J160" s="2" t="s">
        <v>830</v>
      </c>
      <c r="K160" s="2" t="s">
        <v>836</v>
      </c>
      <c r="L160" s="277" t="s">
        <v>130</v>
      </c>
      <c r="M160" s="2"/>
      <c r="N160" s="2" t="str">
        <f>DitrbFlota[[#This Row],[TIPO BUS]]&amp;"-"&amp;DitrbFlota[[#This Row],[MARCA CHASIS]]</f>
        <v>BE-FOTON</v>
      </c>
      <c r="O160" s="2">
        <f>MONTH(DitrbFlota[[#This Row],[Inicio Operación]])</f>
        <v>2</v>
      </c>
      <c r="P160" s="2">
        <f>YEAR(DitrbFlota[[#This Row],[Inicio Operación]])</f>
        <v>2025</v>
      </c>
      <c r="Q160" s="29">
        <v>90</v>
      </c>
    </row>
    <row r="161" spans="1:17" hidden="1">
      <c r="A161" s="7" t="s">
        <v>10</v>
      </c>
      <c r="B161" s="2" t="s">
        <v>223</v>
      </c>
      <c r="C161" s="2">
        <v>3141</v>
      </c>
      <c r="D161" s="2" t="s">
        <v>147</v>
      </c>
      <c r="E161" s="352" t="s">
        <v>13</v>
      </c>
      <c r="F161" s="2" t="s">
        <v>149</v>
      </c>
      <c r="G161" s="277" t="s">
        <v>130</v>
      </c>
      <c r="H161" s="277" t="s">
        <v>130</v>
      </c>
      <c r="I161" s="277">
        <v>46122</v>
      </c>
      <c r="J161" s="2" t="s">
        <v>1341</v>
      </c>
      <c r="K161" s="2" t="s">
        <v>836</v>
      </c>
      <c r="L161" s="277" t="s">
        <v>130</v>
      </c>
      <c r="M161" s="2"/>
      <c r="N161" s="2" t="str">
        <f>DitrbFlota[[#This Row],[TIPO BUS]]&amp;"-"&amp;DitrbFlota[[#This Row],[MARCA CHASIS]]</f>
        <v>BE-FOTON</v>
      </c>
      <c r="O161" s="2">
        <f>MONTH(DitrbFlota[[#This Row],[Inicio Operación]])</f>
        <v>4</v>
      </c>
      <c r="P161" s="2">
        <f>YEAR(DitrbFlota[[#This Row],[Inicio Operación]])</f>
        <v>2026</v>
      </c>
      <c r="Q161" s="29">
        <v>90</v>
      </c>
    </row>
    <row r="162" spans="1:17" hidden="1">
      <c r="A162" s="7" t="s">
        <v>10</v>
      </c>
      <c r="B162" s="2" t="s">
        <v>224</v>
      </c>
      <c r="C162" s="2">
        <v>4000</v>
      </c>
      <c r="D162" s="2" t="s">
        <v>38</v>
      </c>
      <c r="E162" s="2" t="s">
        <v>13</v>
      </c>
      <c r="F162" s="2" t="s">
        <v>145</v>
      </c>
      <c r="G162" s="277" t="s">
        <v>130</v>
      </c>
      <c r="H162" s="277" t="s">
        <v>130</v>
      </c>
      <c r="I162" s="277">
        <v>44933</v>
      </c>
      <c r="J162" s="2" t="s">
        <v>830</v>
      </c>
      <c r="K162" s="2" t="s">
        <v>836</v>
      </c>
      <c r="L162" s="2" t="s">
        <v>130</v>
      </c>
      <c r="M162" s="2"/>
      <c r="N162" s="2" t="str">
        <f>DitrbFlota[[#This Row],[TIPO BUS]]&amp;"-"&amp;DitrbFlota[[#This Row],[MARCA CHASIS]]</f>
        <v>C2-MERCEDES BENZ</v>
      </c>
      <c r="O162" s="2">
        <f>MONTH(DitrbFlota[[#This Row],[Inicio Operación]])</f>
        <v>1</v>
      </c>
      <c r="P162" s="2">
        <f>YEAR(DitrbFlota[[#This Row],[Inicio Operación]])</f>
        <v>2023</v>
      </c>
      <c r="Q162" s="29">
        <v>152</v>
      </c>
    </row>
    <row r="163" spans="1:17" hidden="1">
      <c r="A163" s="7" t="s">
        <v>10</v>
      </c>
      <c r="B163" s="2" t="s">
        <v>225</v>
      </c>
      <c r="C163" s="2">
        <v>4001</v>
      </c>
      <c r="D163" s="2" t="s">
        <v>38</v>
      </c>
      <c r="E163" s="2" t="s">
        <v>13</v>
      </c>
      <c r="F163" s="2" t="s">
        <v>145</v>
      </c>
      <c r="G163" s="277" t="s">
        <v>130</v>
      </c>
      <c r="H163" s="277" t="s">
        <v>130</v>
      </c>
      <c r="I163" s="277">
        <v>44933</v>
      </c>
      <c r="J163" s="2" t="s">
        <v>830</v>
      </c>
      <c r="K163" s="2" t="s">
        <v>836</v>
      </c>
      <c r="L163" s="2" t="s">
        <v>130</v>
      </c>
      <c r="M163" s="2"/>
      <c r="N163" s="2" t="str">
        <f>DitrbFlota[[#This Row],[TIPO BUS]]&amp;"-"&amp;DitrbFlota[[#This Row],[MARCA CHASIS]]</f>
        <v>C2-MERCEDES BENZ</v>
      </c>
      <c r="O163" s="2">
        <f>MONTH(DitrbFlota[[#This Row],[Inicio Operación]])</f>
        <v>1</v>
      </c>
      <c r="P163" s="2">
        <f>YEAR(DitrbFlota[[#This Row],[Inicio Operación]])</f>
        <v>2023</v>
      </c>
      <c r="Q163" s="29">
        <v>152</v>
      </c>
    </row>
    <row r="164" spans="1:17" hidden="1">
      <c r="A164" s="7" t="s">
        <v>10</v>
      </c>
      <c r="B164" s="2" t="s">
        <v>226</v>
      </c>
      <c r="C164" s="2">
        <v>4002</v>
      </c>
      <c r="D164" s="2" t="s">
        <v>38</v>
      </c>
      <c r="E164" s="2" t="s">
        <v>13</v>
      </c>
      <c r="F164" s="2" t="s">
        <v>145</v>
      </c>
      <c r="G164" s="277" t="s">
        <v>130</v>
      </c>
      <c r="H164" s="277" t="s">
        <v>130</v>
      </c>
      <c r="I164" s="277">
        <v>44933</v>
      </c>
      <c r="J164" s="2" t="s">
        <v>830</v>
      </c>
      <c r="K164" s="2" t="s">
        <v>836</v>
      </c>
      <c r="L164" s="2" t="s">
        <v>130</v>
      </c>
      <c r="M164" s="2"/>
      <c r="N164" s="2" t="str">
        <f>DitrbFlota[[#This Row],[TIPO BUS]]&amp;"-"&amp;DitrbFlota[[#This Row],[MARCA CHASIS]]</f>
        <v>C2-MERCEDES BENZ</v>
      </c>
      <c r="O164" s="2">
        <f>MONTH(DitrbFlota[[#This Row],[Inicio Operación]])</f>
        <v>1</v>
      </c>
      <c r="P164" s="2">
        <f>YEAR(DitrbFlota[[#This Row],[Inicio Operación]])</f>
        <v>2023</v>
      </c>
      <c r="Q164" s="29">
        <v>152</v>
      </c>
    </row>
    <row r="165" spans="1:17" hidden="1">
      <c r="A165" s="7" t="s">
        <v>10</v>
      </c>
      <c r="B165" s="2" t="s">
        <v>227</v>
      </c>
      <c r="C165" s="2">
        <v>4003</v>
      </c>
      <c r="D165" s="2" t="s">
        <v>38</v>
      </c>
      <c r="E165" s="2" t="s">
        <v>13</v>
      </c>
      <c r="F165" s="2" t="s">
        <v>145</v>
      </c>
      <c r="G165" s="277" t="s">
        <v>130</v>
      </c>
      <c r="H165" s="277" t="s">
        <v>130</v>
      </c>
      <c r="I165" s="277">
        <v>45007</v>
      </c>
      <c r="J165" s="2" t="s">
        <v>830</v>
      </c>
      <c r="K165" s="2" t="s">
        <v>836</v>
      </c>
      <c r="L165" s="2" t="s">
        <v>130</v>
      </c>
      <c r="M165" s="2"/>
      <c r="N165" s="2" t="str">
        <f>DitrbFlota[[#This Row],[TIPO BUS]]&amp;"-"&amp;DitrbFlota[[#This Row],[MARCA CHASIS]]</f>
        <v>C2-MERCEDES BENZ</v>
      </c>
      <c r="O165" s="2">
        <f>MONTH(DitrbFlota[[#This Row],[Inicio Operación]])</f>
        <v>3</v>
      </c>
      <c r="P165" s="2">
        <f>YEAR(DitrbFlota[[#This Row],[Inicio Operación]])</f>
        <v>2023</v>
      </c>
      <c r="Q165" s="29">
        <v>152</v>
      </c>
    </row>
    <row r="166" spans="1:17" hidden="1">
      <c r="A166" s="7" t="s">
        <v>10</v>
      </c>
      <c r="B166" s="2" t="s">
        <v>228</v>
      </c>
      <c r="C166" s="2">
        <v>4004</v>
      </c>
      <c r="D166" s="2" t="s">
        <v>38</v>
      </c>
      <c r="E166" s="2" t="s">
        <v>13</v>
      </c>
      <c r="F166" s="2" t="s">
        <v>145</v>
      </c>
      <c r="G166" s="277" t="s">
        <v>130</v>
      </c>
      <c r="H166" s="277" t="s">
        <v>130</v>
      </c>
      <c r="I166" s="277">
        <v>44933</v>
      </c>
      <c r="J166" s="2" t="s">
        <v>830</v>
      </c>
      <c r="K166" s="2" t="s">
        <v>836</v>
      </c>
      <c r="L166" s="2" t="s">
        <v>130</v>
      </c>
      <c r="M166" s="2"/>
      <c r="N166" s="2" t="str">
        <f>DitrbFlota[[#This Row],[TIPO BUS]]&amp;"-"&amp;DitrbFlota[[#This Row],[MARCA CHASIS]]</f>
        <v>C2-MERCEDES BENZ</v>
      </c>
      <c r="O166" s="2">
        <f>MONTH(DitrbFlota[[#This Row],[Inicio Operación]])</f>
        <v>1</v>
      </c>
      <c r="P166" s="2">
        <f>YEAR(DitrbFlota[[#This Row],[Inicio Operación]])</f>
        <v>2023</v>
      </c>
      <c r="Q166" s="29">
        <v>152</v>
      </c>
    </row>
    <row r="167" spans="1:17" hidden="1">
      <c r="A167" s="7" t="s">
        <v>10</v>
      </c>
      <c r="B167" s="2" t="s">
        <v>229</v>
      </c>
      <c r="C167" s="2">
        <v>4005</v>
      </c>
      <c r="D167" s="2" t="s">
        <v>38</v>
      </c>
      <c r="E167" s="2" t="s">
        <v>13</v>
      </c>
      <c r="F167" s="2" t="s">
        <v>145</v>
      </c>
      <c r="G167" s="277" t="s">
        <v>130</v>
      </c>
      <c r="H167" s="277" t="s">
        <v>130</v>
      </c>
      <c r="I167" s="277">
        <v>44933</v>
      </c>
      <c r="J167" s="2" t="s">
        <v>830</v>
      </c>
      <c r="K167" s="2" t="s">
        <v>836</v>
      </c>
      <c r="L167" s="2" t="s">
        <v>130</v>
      </c>
      <c r="M167" s="2"/>
      <c r="N167" s="2" t="str">
        <f>DitrbFlota[[#This Row],[TIPO BUS]]&amp;"-"&amp;DitrbFlota[[#This Row],[MARCA CHASIS]]</f>
        <v>C2-MERCEDES BENZ</v>
      </c>
      <c r="O167" s="2">
        <f>MONTH(DitrbFlota[[#This Row],[Inicio Operación]])</f>
        <v>1</v>
      </c>
      <c r="P167" s="2">
        <f>YEAR(DitrbFlota[[#This Row],[Inicio Operación]])</f>
        <v>2023</v>
      </c>
      <c r="Q167" s="29">
        <v>152</v>
      </c>
    </row>
    <row r="168" spans="1:17" hidden="1">
      <c r="A168" s="7" t="s">
        <v>10</v>
      </c>
      <c r="B168" s="2" t="s">
        <v>230</v>
      </c>
      <c r="C168" s="2">
        <v>4006</v>
      </c>
      <c r="D168" s="2" t="s">
        <v>38</v>
      </c>
      <c r="E168" s="2" t="s">
        <v>13</v>
      </c>
      <c r="F168" s="2" t="s">
        <v>145</v>
      </c>
      <c r="G168" s="277" t="s">
        <v>130</v>
      </c>
      <c r="H168" s="277" t="s">
        <v>130</v>
      </c>
      <c r="I168" s="277">
        <v>44933</v>
      </c>
      <c r="J168" s="2" t="s">
        <v>830</v>
      </c>
      <c r="K168" s="2" t="s">
        <v>836</v>
      </c>
      <c r="L168" s="2" t="s">
        <v>130</v>
      </c>
      <c r="M168" s="2"/>
      <c r="N168" s="2" t="str">
        <f>DitrbFlota[[#This Row],[TIPO BUS]]&amp;"-"&amp;DitrbFlota[[#This Row],[MARCA CHASIS]]</f>
        <v>C2-MERCEDES BENZ</v>
      </c>
      <c r="O168" s="2">
        <f>MONTH(DitrbFlota[[#This Row],[Inicio Operación]])</f>
        <v>1</v>
      </c>
      <c r="P168" s="2">
        <f>YEAR(DitrbFlota[[#This Row],[Inicio Operación]])</f>
        <v>2023</v>
      </c>
      <c r="Q168" s="29">
        <v>152</v>
      </c>
    </row>
    <row r="169" spans="1:17" hidden="1">
      <c r="A169" s="7" t="s">
        <v>10</v>
      </c>
      <c r="B169" s="2" t="s">
        <v>231</v>
      </c>
      <c r="C169" s="2">
        <v>4007</v>
      </c>
      <c r="D169" s="2" t="s">
        <v>38</v>
      </c>
      <c r="E169" s="2" t="s">
        <v>13</v>
      </c>
      <c r="F169" s="2" t="s">
        <v>145</v>
      </c>
      <c r="G169" s="277" t="s">
        <v>130</v>
      </c>
      <c r="H169" s="277" t="s">
        <v>130</v>
      </c>
      <c r="I169" s="277">
        <v>44933</v>
      </c>
      <c r="J169" s="2" t="s">
        <v>830</v>
      </c>
      <c r="K169" s="2" t="s">
        <v>836</v>
      </c>
      <c r="L169" s="2" t="s">
        <v>130</v>
      </c>
      <c r="M169" s="2"/>
      <c r="N169" s="2" t="str">
        <f>DitrbFlota[[#This Row],[TIPO BUS]]&amp;"-"&amp;DitrbFlota[[#This Row],[MARCA CHASIS]]</f>
        <v>C2-MERCEDES BENZ</v>
      </c>
      <c r="O169" s="2">
        <f>MONTH(DitrbFlota[[#This Row],[Inicio Operación]])</f>
        <v>1</v>
      </c>
      <c r="P169" s="2">
        <f>YEAR(DitrbFlota[[#This Row],[Inicio Operación]])</f>
        <v>2023</v>
      </c>
      <c r="Q169" s="29">
        <v>152</v>
      </c>
    </row>
    <row r="170" spans="1:17" hidden="1">
      <c r="A170" s="7" t="s">
        <v>10</v>
      </c>
      <c r="B170" s="2" t="s">
        <v>232</v>
      </c>
      <c r="C170" s="2">
        <v>4008</v>
      </c>
      <c r="D170" s="2" t="s">
        <v>38</v>
      </c>
      <c r="E170" s="2" t="s">
        <v>13</v>
      </c>
      <c r="F170" s="2" t="s">
        <v>145</v>
      </c>
      <c r="G170" s="277" t="s">
        <v>130</v>
      </c>
      <c r="H170" s="277" t="s">
        <v>130</v>
      </c>
      <c r="I170" s="277">
        <v>44933</v>
      </c>
      <c r="J170" s="2" t="s">
        <v>830</v>
      </c>
      <c r="K170" s="2" t="s">
        <v>836</v>
      </c>
      <c r="L170" s="2" t="s">
        <v>130</v>
      </c>
      <c r="M170" s="2"/>
      <c r="N170" s="2" t="str">
        <f>DitrbFlota[[#This Row],[TIPO BUS]]&amp;"-"&amp;DitrbFlota[[#This Row],[MARCA CHASIS]]</f>
        <v>C2-MERCEDES BENZ</v>
      </c>
      <c r="O170" s="2">
        <f>MONTH(DitrbFlota[[#This Row],[Inicio Operación]])</f>
        <v>1</v>
      </c>
      <c r="P170" s="2">
        <f>YEAR(DitrbFlota[[#This Row],[Inicio Operación]])</f>
        <v>2023</v>
      </c>
      <c r="Q170" s="29">
        <v>152</v>
      </c>
    </row>
    <row r="171" spans="1:17" hidden="1">
      <c r="A171" s="7" t="s">
        <v>10</v>
      </c>
      <c r="B171" s="2" t="s">
        <v>233</v>
      </c>
      <c r="C171" s="2">
        <v>4009</v>
      </c>
      <c r="D171" s="2" t="s">
        <v>38</v>
      </c>
      <c r="E171" s="2" t="s">
        <v>13</v>
      </c>
      <c r="F171" s="2" t="s">
        <v>145</v>
      </c>
      <c r="G171" s="277" t="s">
        <v>130</v>
      </c>
      <c r="H171" s="277" t="s">
        <v>130</v>
      </c>
      <c r="I171" s="277">
        <v>44933</v>
      </c>
      <c r="J171" s="2" t="s">
        <v>830</v>
      </c>
      <c r="K171" s="2" t="s">
        <v>836</v>
      </c>
      <c r="L171" s="2" t="s">
        <v>130</v>
      </c>
      <c r="M171" s="2"/>
      <c r="N171" s="2" t="str">
        <f>DitrbFlota[[#This Row],[TIPO BUS]]&amp;"-"&amp;DitrbFlota[[#This Row],[MARCA CHASIS]]</f>
        <v>C2-MERCEDES BENZ</v>
      </c>
      <c r="O171" s="2">
        <f>MONTH(DitrbFlota[[#This Row],[Inicio Operación]])</f>
        <v>1</v>
      </c>
      <c r="P171" s="2">
        <f>YEAR(DitrbFlota[[#This Row],[Inicio Operación]])</f>
        <v>2023</v>
      </c>
      <c r="Q171" s="29">
        <v>152</v>
      </c>
    </row>
    <row r="172" spans="1:17" hidden="1">
      <c r="A172" s="7" t="s">
        <v>10</v>
      </c>
      <c r="B172" s="2" t="s">
        <v>234</v>
      </c>
      <c r="C172" s="2">
        <v>4010</v>
      </c>
      <c r="D172" s="2" t="s">
        <v>38</v>
      </c>
      <c r="E172" s="2" t="s">
        <v>13</v>
      </c>
      <c r="F172" s="2" t="s">
        <v>145</v>
      </c>
      <c r="G172" s="277" t="s">
        <v>130</v>
      </c>
      <c r="H172" s="277" t="s">
        <v>130</v>
      </c>
      <c r="I172" s="277">
        <v>44933</v>
      </c>
      <c r="J172" s="2" t="s">
        <v>830</v>
      </c>
      <c r="K172" s="2" t="s">
        <v>836</v>
      </c>
      <c r="L172" s="2" t="s">
        <v>130</v>
      </c>
      <c r="M172" s="2"/>
      <c r="N172" s="2" t="str">
        <f>DitrbFlota[[#This Row],[TIPO BUS]]&amp;"-"&amp;DitrbFlota[[#This Row],[MARCA CHASIS]]</f>
        <v>C2-MERCEDES BENZ</v>
      </c>
      <c r="O172" s="2">
        <f>MONTH(DitrbFlota[[#This Row],[Inicio Operación]])</f>
        <v>1</v>
      </c>
      <c r="P172" s="2">
        <f>YEAR(DitrbFlota[[#This Row],[Inicio Operación]])</f>
        <v>2023</v>
      </c>
      <c r="Q172" s="29">
        <v>152</v>
      </c>
    </row>
    <row r="173" spans="1:17" hidden="1">
      <c r="A173" s="7" t="s">
        <v>10</v>
      </c>
      <c r="B173" s="2" t="s">
        <v>235</v>
      </c>
      <c r="C173" s="2">
        <v>4011</v>
      </c>
      <c r="D173" s="2" t="s">
        <v>38</v>
      </c>
      <c r="E173" s="2" t="s">
        <v>13</v>
      </c>
      <c r="F173" s="2" t="s">
        <v>145</v>
      </c>
      <c r="G173" s="277" t="s">
        <v>130</v>
      </c>
      <c r="H173" s="277" t="s">
        <v>130</v>
      </c>
      <c r="I173" s="277">
        <v>44933</v>
      </c>
      <c r="J173" s="2" t="s">
        <v>830</v>
      </c>
      <c r="K173" s="2" t="s">
        <v>836</v>
      </c>
      <c r="L173" s="2" t="s">
        <v>130</v>
      </c>
      <c r="M173" s="2"/>
      <c r="N173" s="2" t="str">
        <f>DitrbFlota[[#This Row],[TIPO BUS]]&amp;"-"&amp;DitrbFlota[[#This Row],[MARCA CHASIS]]</f>
        <v>C2-MERCEDES BENZ</v>
      </c>
      <c r="O173" s="2">
        <f>MONTH(DitrbFlota[[#This Row],[Inicio Operación]])</f>
        <v>1</v>
      </c>
      <c r="P173" s="2">
        <f>YEAR(DitrbFlota[[#This Row],[Inicio Operación]])</f>
        <v>2023</v>
      </c>
      <c r="Q173" s="29">
        <v>152</v>
      </c>
    </row>
    <row r="174" spans="1:17" hidden="1">
      <c r="A174" s="7" t="s">
        <v>10</v>
      </c>
      <c r="B174" s="2" t="s">
        <v>236</v>
      </c>
      <c r="C174" s="2">
        <v>4012</v>
      </c>
      <c r="D174" s="2" t="s">
        <v>38</v>
      </c>
      <c r="E174" s="2" t="s">
        <v>13</v>
      </c>
      <c r="F174" s="2" t="s">
        <v>145</v>
      </c>
      <c r="G174" s="277" t="s">
        <v>130</v>
      </c>
      <c r="H174" s="277" t="s">
        <v>130</v>
      </c>
      <c r="I174" s="277">
        <v>44933</v>
      </c>
      <c r="J174" s="2" t="s">
        <v>830</v>
      </c>
      <c r="K174" s="2" t="s">
        <v>836</v>
      </c>
      <c r="L174" s="2" t="s">
        <v>130</v>
      </c>
      <c r="M174" s="2"/>
      <c r="N174" s="2" t="str">
        <f>DitrbFlota[[#This Row],[TIPO BUS]]&amp;"-"&amp;DitrbFlota[[#This Row],[MARCA CHASIS]]</f>
        <v>C2-MERCEDES BENZ</v>
      </c>
      <c r="O174" s="2">
        <f>MONTH(DitrbFlota[[#This Row],[Inicio Operación]])</f>
        <v>1</v>
      </c>
      <c r="P174" s="2">
        <f>YEAR(DitrbFlota[[#This Row],[Inicio Operación]])</f>
        <v>2023</v>
      </c>
      <c r="Q174" s="29">
        <v>152</v>
      </c>
    </row>
    <row r="175" spans="1:17" hidden="1">
      <c r="A175" s="7" t="s">
        <v>10</v>
      </c>
      <c r="B175" s="2" t="s">
        <v>237</v>
      </c>
      <c r="C175" s="2">
        <v>4013</v>
      </c>
      <c r="D175" s="2" t="s">
        <v>38</v>
      </c>
      <c r="E175" s="2" t="s">
        <v>13</v>
      </c>
      <c r="F175" s="2" t="s">
        <v>145</v>
      </c>
      <c r="G175" s="277" t="s">
        <v>130</v>
      </c>
      <c r="H175" s="277" t="s">
        <v>130</v>
      </c>
      <c r="I175" s="277">
        <v>44933</v>
      </c>
      <c r="J175" s="2" t="s">
        <v>830</v>
      </c>
      <c r="K175" s="2" t="s">
        <v>836</v>
      </c>
      <c r="L175" s="2" t="s">
        <v>130</v>
      </c>
      <c r="M175" s="2"/>
      <c r="N175" s="2" t="str">
        <f>DitrbFlota[[#This Row],[TIPO BUS]]&amp;"-"&amp;DitrbFlota[[#This Row],[MARCA CHASIS]]</f>
        <v>C2-MERCEDES BENZ</v>
      </c>
      <c r="O175" s="2">
        <f>MONTH(DitrbFlota[[#This Row],[Inicio Operación]])</f>
        <v>1</v>
      </c>
      <c r="P175" s="2">
        <f>YEAR(DitrbFlota[[#This Row],[Inicio Operación]])</f>
        <v>2023</v>
      </c>
      <c r="Q175" s="29">
        <v>152</v>
      </c>
    </row>
    <row r="176" spans="1:17" hidden="1">
      <c r="A176" s="7" t="s">
        <v>10</v>
      </c>
      <c r="B176" s="2" t="s">
        <v>238</v>
      </c>
      <c r="C176" s="2">
        <v>4014</v>
      </c>
      <c r="D176" s="2" t="s">
        <v>38</v>
      </c>
      <c r="E176" s="2" t="s">
        <v>13</v>
      </c>
      <c r="F176" s="2" t="s">
        <v>145</v>
      </c>
      <c r="G176" s="277" t="s">
        <v>130</v>
      </c>
      <c r="H176" s="277" t="s">
        <v>130</v>
      </c>
      <c r="I176" s="277">
        <v>44933</v>
      </c>
      <c r="J176" s="2" t="s">
        <v>830</v>
      </c>
      <c r="K176" s="2" t="s">
        <v>836</v>
      </c>
      <c r="L176" s="2" t="s">
        <v>130</v>
      </c>
      <c r="M176" s="2"/>
      <c r="N176" s="2" t="str">
        <f>DitrbFlota[[#This Row],[TIPO BUS]]&amp;"-"&amp;DitrbFlota[[#This Row],[MARCA CHASIS]]</f>
        <v>C2-MERCEDES BENZ</v>
      </c>
      <c r="O176" s="2">
        <f>MONTH(DitrbFlota[[#This Row],[Inicio Operación]])</f>
        <v>1</v>
      </c>
      <c r="P176" s="2">
        <f>YEAR(DitrbFlota[[#This Row],[Inicio Operación]])</f>
        <v>2023</v>
      </c>
      <c r="Q176" s="29">
        <v>152</v>
      </c>
    </row>
    <row r="177" spans="1:17" hidden="1">
      <c r="A177" s="7" t="s">
        <v>10</v>
      </c>
      <c r="B177" s="2" t="s">
        <v>239</v>
      </c>
      <c r="C177" s="2">
        <v>4015</v>
      </c>
      <c r="D177" s="2" t="s">
        <v>38</v>
      </c>
      <c r="E177" s="2" t="s">
        <v>13</v>
      </c>
      <c r="F177" s="2" t="s">
        <v>145</v>
      </c>
      <c r="G177" s="277" t="s">
        <v>130</v>
      </c>
      <c r="H177" s="277" t="s">
        <v>130</v>
      </c>
      <c r="I177" s="277">
        <v>44933</v>
      </c>
      <c r="J177" s="2" t="s">
        <v>830</v>
      </c>
      <c r="K177" s="2" t="s">
        <v>836</v>
      </c>
      <c r="L177" s="2" t="s">
        <v>130</v>
      </c>
      <c r="M177" s="2"/>
      <c r="N177" s="2" t="str">
        <f>DitrbFlota[[#This Row],[TIPO BUS]]&amp;"-"&amp;DitrbFlota[[#This Row],[MARCA CHASIS]]</f>
        <v>C2-MERCEDES BENZ</v>
      </c>
      <c r="O177" s="2">
        <f>MONTH(DitrbFlota[[#This Row],[Inicio Operación]])</f>
        <v>1</v>
      </c>
      <c r="P177" s="2">
        <f>YEAR(DitrbFlota[[#This Row],[Inicio Operación]])</f>
        <v>2023</v>
      </c>
      <c r="Q177" s="29">
        <v>152</v>
      </c>
    </row>
    <row r="178" spans="1:17" hidden="1">
      <c r="A178" s="7" t="s">
        <v>10</v>
      </c>
      <c r="B178" s="2" t="s">
        <v>240</v>
      </c>
      <c r="C178" s="2">
        <v>4016</v>
      </c>
      <c r="D178" s="2" t="s">
        <v>38</v>
      </c>
      <c r="E178" s="2" t="s">
        <v>13</v>
      </c>
      <c r="F178" s="2" t="s">
        <v>145</v>
      </c>
      <c r="G178" s="277" t="s">
        <v>130</v>
      </c>
      <c r="H178" s="277" t="s">
        <v>130</v>
      </c>
      <c r="I178" s="277">
        <v>44933</v>
      </c>
      <c r="J178" s="2" t="s">
        <v>830</v>
      </c>
      <c r="K178" s="2" t="s">
        <v>836</v>
      </c>
      <c r="L178" s="2" t="s">
        <v>130</v>
      </c>
      <c r="M178" s="2"/>
      <c r="N178" s="2" t="str">
        <f>DitrbFlota[[#This Row],[TIPO BUS]]&amp;"-"&amp;DitrbFlota[[#This Row],[MARCA CHASIS]]</f>
        <v>C2-MERCEDES BENZ</v>
      </c>
      <c r="O178" s="2">
        <f>MONTH(DitrbFlota[[#This Row],[Inicio Operación]])</f>
        <v>1</v>
      </c>
      <c r="P178" s="2">
        <f>YEAR(DitrbFlota[[#This Row],[Inicio Operación]])</f>
        <v>2023</v>
      </c>
      <c r="Q178" s="29">
        <v>152</v>
      </c>
    </row>
    <row r="179" spans="1:17" hidden="1">
      <c r="A179" s="7" t="s">
        <v>10</v>
      </c>
      <c r="B179" s="2" t="s">
        <v>241</v>
      </c>
      <c r="C179" s="2">
        <v>4018</v>
      </c>
      <c r="D179" s="2" t="s">
        <v>38</v>
      </c>
      <c r="E179" s="2" t="s">
        <v>13</v>
      </c>
      <c r="F179" s="2" t="s">
        <v>145</v>
      </c>
      <c r="G179" s="277" t="s">
        <v>130</v>
      </c>
      <c r="H179" s="277" t="s">
        <v>130</v>
      </c>
      <c r="I179" s="277">
        <v>44933</v>
      </c>
      <c r="J179" s="2" t="s">
        <v>830</v>
      </c>
      <c r="K179" s="2" t="s">
        <v>836</v>
      </c>
      <c r="L179" s="2" t="s">
        <v>130</v>
      </c>
      <c r="M179" s="2"/>
      <c r="N179" s="2" t="str">
        <f>DitrbFlota[[#This Row],[TIPO BUS]]&amp;"-"&amp;DitrbFlota[[#This Row],[MARCA CHASIS]]</f>
        <v>C2-MERCEDES BENZ</v>
      </c>
      <c r="O179" s="2">
        <f>MONTH(DitrbFlota[[#This Row],[Inicio Operación]])</f>
        <v>1</v>
      </c>
      <c r="P179" s="2">
        <f>YEAR(DitrbFlota[[#This Row],[Inicio Operación]])</f>
        <v>2023</v>
      </c>
      <c r="Q179" s="29">
        <v>152</v>
      </c>
    </row>
    <row r="180" spans="1:17" hidden="1">
      <c r="A180" s="7" t="s">
        <v>10</v>
      </c>
      <c r="B180" s="2" t="s">
        <v>242</v>
      </c>
      <c r="C180" s="2">
        <v>4019</v>
      </c>
      <c r="D180" s="2" t="s">
        <v>38</v>
      </c>
      <c r="E180" s="2" t="s">
        <v>13</v>
      </c>
      <c r="F180" s="2" t="s">
        <v>145</v>
      </c>
      <c r="G180" s="277" t="s">
        <v>130</v>
      </c>
      <c r="H180" s="277" t="s">
        <v>130</v>
      </c>
      <c r="I180" s="277">
        <v>44933</v>
      </c>
      <c r="J180" s="2" t="s">
        <v>830</v>
      </c>
      <c r="K180" s="2" t="s">
        <v>836</v>
      </c>
      <c r="L180" s="2" t="s">
        <v>130</v>
      </c>
      <c r="M180" s="2"/>
      <c r="N180" s="2" t="str">
        <f>DitrbFlota[[#This Row],[TIPO BUS]]&amp;"-"&amp;DitrbFlota[[#This Row],[MARCA CHASIS]]</f>
        <v>C2-MERCEDES BENZ</v>
      </c>
      <c r="O180" s="2">
        <f>MONTH(DitrbFlota[[#This Row],[Inicio Operación]])</f>
        <v>1</v>
      </c>
      <c r="P180" s="2">
        <f>YEAR(DitrbFlota[[#This Row],[Inicio Operación]])</f>
        <v>2023</v>
      </c>
      <c r="Q180" s="29">
        <v>152</v>
      </c>
    </row>
    <row r="181" spans="1:17" hidden="1">
      <c r="A181" s="7" t="s">
        <v>10</v>
      </c>
      <c r="B181" s="2" t="s">
        <v>243</v>
      </c>
      <c r="C181" s="2">
        <v>4020</v>
      </c>
      <c r="D181" s="2" t="s">
        <v>38</v>
      </c>
      <c r="E181" s="2" t="s">
        <v>13</v>
      </c>
      <c r="F181" s="2" t="s">
        <v>145</v>
      </c>
      <c r="G181" s="277" t="s">
        <v>130</v>
      </c>
      <c r="H181" s="277" t="s">
        <v>130</v>
      </c>
      <c r="I181" s="277">
        <v>44933</v>
      </c>
      <c r="J181" s="2" t="s">
        <v>830</v>
      </c>
      <c r="K181" s="2" t="s">
        <v>836</v>
      </c>
      <c r="L181" s="2" t="s">
        <v>130</v>
      </c>
      <c r="M181" s="2"/>
      <c r="N181" s="2" t="str">
        <f>DitrbFlota[[#This Row],[TIPO BUS]]&amp;"-"&amp;DitrbFlota[[#This Row],[MARCA CHASIS]]</f>
        <v>C2-MERCEDES BENZ</v>
      </c>
      <c r="O181" s="2">
        <f>MONTH(DitrbFlota[[#This Row],[Inicio Operación]])</f>
        <v>1</v>
      </c>
      <c r="P181" s="2">
        <f>YEAR(DitrbFlota[[#This Row],[Inicio Operación]])</f>
        <v>2023</v>
      </c>
      <c r="Q181" s="29">
        <v>152</v>
      </c>
    </row>
    <row r="182" spans="1:17" hidden="1">
      <c r="A182" s="7" t="s">
        <v>10</v>
      </c>
      <c r="B182" s="2" t="s">
        <v>244</v>
      </c>
      <c r="C182" s="2">
        <v>4021</v>
      </c>
      <c r="D182" s="2" t="s">
        <v>38</v>
      </c>
      <c r="E182" s="2" t="s">
        <v>13</v>
      </c>
      <c r="F182" s="2" t="s">
        <v>145</v>
      </c>
      <c r="G182" s="277" t="s">
        <v>130</v>
      </c>
      <c r="H182" s="277" t="s">
        <v>130</v>
      </c>
      <c r="I182" s="277">
        <v>44933</v>
      </c>
      <c r="J182" s="2" t="s">
        <v>830</v>
      </c>
      <c r="K182" s="2" t="s">
        <v>836</v>
      </c>
      <c r="L182" s="2" t="s">
        <v>130</v>
      </c>
      <c r="M182" s="2"/>
      <c r="N182" s="2" t="str">
        <f>DitrbFlota[[#This Row],[TIPO BUS]]&amp;"-"&amp;DitrbFlota[[#This Row],[MARCA CHASIS]]</f>
        <v>C2-MERCEDES BENZ</v>
      </c>
      <c r="O182" s="2">
        <f>MONTH(DitrbFlota[[#This Row],[Inicio Operación]])</f>
        <v>1</v>
      </c>
      <c r="P182" s="2">
        <f>YEAR(DitrbFlota[[#This Row],[Inicio Operación]])</f>
        <v>2023</v>
      </c>
      <c r="Q182" s="29">
        <v>152</v>
      </c>
    </row>
    <row r="183" spans="1:17" hidden="1">
      <c r="A183" s="7" t="s">
        <v>10</v>
      </c>
      <c r="B183" s="2" t="s">
        <v>245</v>
      </c>
      <c r="C183" s="2">
        <v>4022</v>
      </c>
      <c r="D183" s="2" t="s">
        <v>38</v>
      </c>
      <c r="E183" s="2" t="s">
        <v>13</v>
      </c>
      <c r="F183" s="2" t="s">
        <v>145</v>
      </c>
      <c r="G183" s="277" t="s">
        <v>130</v>
      </c>
      <c r="H183" s="277" t="s">
        <v>130</v>
      </c>
      <c r="I183" s="277">
        <v>44933</v>
      </c>
      <c r="J183" s="2" t="s">
        <v>830</v>
      </c>
      <c r="K183" s="2" t="s">
        <v>836</v>
      </c>
      <c r="L183" s="2" t="s">
        <v>130</v>
      </c>
      <c r="M183" s="2"/>
      <c r="N183" s="2" t="str">
        <f>DitrbFlota[[#This Row],[TIPO BUS]]&amp;"-"&amp;DitrbFlota[[#This Row],[MARCA CHASIS]]</f>
        <v>C2-MERCEDES BENZ</v>
      </c>
      <c r="O183" s="2">
        <f>MONTH(DitrbFlota[[#This Row],[Inicio Operación]])</f>
        <v>1</v>
      </c>
      <c r="P183" s="2">
        <f>YEAR(DitrbFlota[[#This Row],[Inicio Operación]])</f>
        <v>2023</v>
      </c>
      <c r="Q183" s="29">
        <v>152</v>
      </c>
    </row>
    <row r="184" spans="1:17" hidden="1">
      <c r="A184" s="7" t="s">
        <v>10</v>
      </c>
      <c r="B184" s="2" t="s">
        <v>246</v>
      </c>
      <c r="C184" s="2">
        <v>4023</v>
      </c>
      <c r="D184" s="2" t="s">
        <v>38</v>
      </c>
      <c r="E184" s="2" t="s">
        <v>13</v>
      </c>
      <c r="F184" s="2" t="s">
        <v>145</v>
      </c>
      <c r="G184" s="277" t="s">
        <v>130</v>
      </c>
      <c r="H184" s="277" t="s">
        <v>130</v>
      </c>
      <c r="I184" s="277">
        <v>44933</v>
      </c>
      <c r="J184" s="2" t="s">
        <v>830</v>
      </c>
      <c r="K184" s="2" t="s">
        <v>836</v>
      </c>
      <c r="L184" s="2" t="s">
        <v>130</v>
      </c>
      <c r="M184" s="2"/>
      <c r="N184" s="2" t="str">
        <f>DitrbFlota[[#This Row],[TIPO BUS]]&amp;"-"&amp;DitrbFlota[[#This Row],[MARCA CHASIS]]</f>
        <v>C2-MERCEDES BENZ</v>
      </c>
      <c r="O184" s="2">
        <f>MONTH(DitrbFlota[[#This Row],[Inicio Operación]])</f>
        <v>1</v>
      </c>
      <c r="P184" s="2">
        <f>YEAR(DitrbFlota[[#This Row],[Inicio Operación]])</f>
        <v>2023</v>
      </c>
      <c r="Q184" s="29">
        <v>152</v>
      </c>
    </row>
    <row r="185" spans="1:17" hidden="1">
      <c r="A185" s="7" t="s">
        <v>10</v>
      </c>
      <c r="B185" s="2" t="s">
        <v>247</v>
      </c>
      <c r="C185" s="2">
        <v>4024</v>
      </c>
      <c r="D185" s="2" t="s">
        <v>38</v>
      </c>
      <c r="E185" s="2" t="s">
        <v>25</v>
      </c>
      <c r="F185" s="2" t="s">
        <v>145</v>
      </c>
      <c r="G185" s="277" t="s">
        <v>130</v>
      </c>
      <c r="H185" s="277" t="s">
        <v>130</v>
      </c>
      <c r="I185" s="277">
        <v>44933</v>
      </c>
      <c r="J185" s="2" t="s">
        <v>830</v>
      </c>
      <c r="K185" s="2" t="s">
        <v>836</v>
      </c>
      <c r="L185" s="2" t="s">
        <v>130</v>
      </c>
      <c r="M185" s="2"/>
      <c r="N185" s="2" t="str">
        <f>DitrbFlota[[#This Row],[TIPO BUS]]&amp;"-"&amp;DitrbFlota[[#This Row],[MARCA CHASIS]]</f>
        <v>C2-MERCEDES BENZ</v>
      </c>
      <c r="O185" s="2">
        <f>MONTH(DitrbFlota[[#This Row],[Inicio Operación]])</f>
        <v>1</v>
      </c>
      <c r="P185" s="2">
        <f>YEAR(DitrbFlota[[#This Row],[Inicio Operación]])</f>
        <v>2023</v>
      </c>
      <c r="Q185" s="29">
        <v>152</v>
      </c>
    </row>
    <row r="186" spans="1:17" hidden="1">
      <c r="A186" s="7" t="s">
        <v>10</v>
      </c>
      <c r="B186" s="2" t="s">
        <v>248</v>
      </c>
      <c r="C186" s="2">
        <v>4031</v>
      </c>
      <c r="D186" s="2" t="s">
        <v>38</v>
      </c>
      <c r="E186" s="2" t="s">
        <v>13</v>
      </c>
      <c r="F186" s="2" t="s">
        <v>14</v>
      </c>
      <c r="G186" s="277" t="s">
        <v>130</v>
      </c>
      <c r="H186" s="277" t="s">
        <v>130</v>
      </c>
      <c r="I186" s="277">
        <v>44928</v>
      </c>
      <c r="J186" s="2" t="s">
        <v>1341</v>
      </c>
      <c r="K186" s="2" t="s">
        <v>836</v>
      </c>
      <c r="L186" s="2" t="s">
        <v>130</v>
      </c>
      <c r="M186" s="2"/>
      <c r="N186" s="2" t="str">
        <f>DitrbFlota[[#This Row],[TIPO BUS]]&amp;"-"&amp;DitrbFlota[[#This Row],[MARCA CHASIS]]</f>
        <v>C2-VOLVO</v>
      </c>
      <c r="O186" s="2">
        <f>MONTH(DitrbFlota[[#This Row],[Inicio Operación]])</f>
        <v>1</v>
      </c>
      <c r="P186" s="2">
        <f>YEAR(DitrbFlota[[#This Row],[Inicio Operación]])</f>
        <v>2023</v>
      </c>
      <c r="Q186" s="29">
        <v>156</v>
      </c>
    </row>
    <row r="187" spans="1:17" hidden="1">
      <c r="A187" s="7" t="s">
        <v>10</v>
      </c>
      <c r="B187" s="2" t="s">
        <v>249</v>
      </c>
      <c r="C187" s="2">
        <v>4041</v>
      </c>
      <c r="D187" s="2" t="s">
        <v>38</v>
      </c>
      <c r="E187" s="2" t="s">
        <v>13</v>
      </c>
      <c r="F187" s="2" t="s">
        <v>14</v>
      </c>
      <c r="G187" s="277" t="s">
        <v>130</v>
      </c>
      <c r="H187" s="277" t="s">
        <v>130</v>
      </c>
      <c r="I187" s="277">
        <v>44928</v>
      </c>
      <c r="J187" s="2" t="s">
        <v>1341</v>
      </c>
      <c r="K187" s="2" t="s">
        <v>836</v>
      </c>
      <c r="L187" s="2" t="s">
        <v>130</v>
      </c>
      <c r="M187" s="2"/>
      <c r="N187" s="2" t="str">
        <f>DitrbFlota[[#This Row],[TIPO BUS]]&amp;"-"&amp;DitrbFlota[[#This Row],[MARCA CHASIS]]</f>
        <v>C2-VOLVO</v>
      </c>
      <c r="O187" s="2">
        <f>MONTH(DitrbFlota[[#This Row],[Inicio Operación]])</f>
        <v>1</v>
      </c>
      <c r="P187" s="2">
        <f>YEAR(DitrbFlota[[#This Row],[Inicio Operación]])</f>
        <v>2023</v>
      </c>
      <c r="Q187" s="29">
        <v>156</v>
      </c>
    </row>
    <row r="188" spans="1:17" hidden="1">
      <c r="A188" s="7" t="s">
        <v>10</v>
      </c>
      <c r="B188" s="2" t="s">
        <v>250</v>
      </c>
      <c r="C188" s="2">
        <v>4042</v>
      </c>
      <c r="D188" s="2" t="s">
        <v>38</v>
      </c>
      <c r="E188" s="2" t="s">
        <v>25</v>
      </c>
      <c r="F188" s="2" t="s">
        <v>14</v>
      </c>
      <c r="G188" s="277" t="s">
        <v>130</v>
      </c>
      <c r="H188" s="277" t="s">
        <v>130</v>
      </c>
      <c r="I188" s="277">
        <v>44928</v>
      </c>
      <c r="J188" s="2" t="s">
        <v>1341</v>
      </c>
      <c r="K188" s="2" t="s">
        <v>836</v>
      </c>
      <c r="L188" s="2" t="s">
        <v>130</v>
      </c>
      <c r="M188" s="2"/>
      <c r="N188" s="2" t="str">
        <f>DitrbFlota[[#This Row],[TIPO BUS]]&amp;"-"&amp;DitrbFlota[[#This Row],[MARCA CHASIS]]</f>
        <v>C2-VOLVO</v>
      </c>
      <c r="O188" s="2">
        <f>MONTH(DitrbFlota[[#This Row],[Inicio Operación]])</f>
        <v>1</v>
      </c>
      <c r="P188" s="2">
        <f>YEAR(DitrbFlota[[#This Row],[Inicio Operación]])</f>
        <v>2023</v>
      </c>
      <c r="Q188" s="29">
        <v>156</v>
      </c>
    </row>
    <row r="189" spans="1:17" hidden="1">
      <c r="A189" s="7" t="s">
        <v>10</v>
      </c>
      <c r="B189" s="2" t="s">
        <v>251</v>
      </c>
      <c r="C189" s="2">
        <v>4051</v>
      </c>
      <c r="D189" s="2" t="s">
        <v>38</v>
      </c>
      <c r="E189" s="2" t="s">
        <v>13</v>
      </c>
      <c r="F189" s="2" t="s">
        <v>14</v>
      </c>
      <c r="G189" s="277" t="s">
        <v>130</v>
      </c>
      <c r="H189" s="277" t="s">
        <v>130</v>
      </c>
      <c r="I189" s="277">
        <v>44928</v>
      </c>
      <c r="J189" s="2" t="s">
        <v>1341</v>
      </c>
      <c r="K189" s="2" t="s">
        <v>836</v>
      </c>
      <c r="L189" s="2" t="s">
        <v>130</v>
      </c>
      <c r="M189" s="2"/>
      <c r="N189" s="2" t="str">
        <f>DitrbFlota[[#This Row],[TIPO BUS]]&amp;"-"&amp;DitrbFlota[[#This Row],[MARCA CHASIS]]</f>
        <v>C2-VOLVO</v>
      </c>
      <c r="O189" s="2">
        <f>MONTH(DitrbFlota[[#This Row],[Inicio Operación]])</f>
        <v>1</v>
      </c>
      <c r="P189" s="2">
        <f>YEAR(DitrbFlota[[#This Row],[Inicio Operación]])</f>
        <v>2023</v>
      </c>
      <c r="Q189" s="29">
        <v>156</v>
      </c>
    </row>
    <row r="190" spans="1:17" hidden="1">
      <c r="A190" s="7" t="s">
        <v>10</v>
      </c>
      <c r="B190" s="2" t="s">
        <v>252</v>
      </c>
      <c r="C190" s="2">
        <v>4056</v>
      </c>
      <c r="D190" s="2" t="s">
        <v>38</v>
      </c>
      <c r="E190" s="2" t="s">
        <v>13</v>
      </c>
      <c r="F190" s="2" t="s">
        <v>14</v>
      </c>
      <c r="G190" s="277" t="s">
        <v>130</v>
      </c>
      <c r="H190" s="277" t="s">
        <v>130</v>
      </c>
      <c r="I190" s="277">
        <v>44928</v>
      </c>
      <c r="J190" s="2" t="s">
        <v>1341</v>
      </c>
      <c r="K190" s="2" t="s">
        <v>836</v>
      </c>
      <c r="L190" s="2" t="s">
        <v>130</v>
      </c>
      <c r="M190" s="2"/>
      <c r="N190" s="2" t="str">
        <f>DitrbFlota[[#This Row],[TIPO BUS]]&amp;"-"&amp;DitrbFlota[[#This Row],[MARCA CHASIS]]</f>
        <v>C2-VOLVO</v>
      </c>
      <c r="O190" s="2">
        <f>MONTH(DitrbFlota[[#This Row],[Inicio Operación]])</f>
        <v>1</v>
      </c>
      <c r="P190" s="2">
        <f>YEAR(DitrbFlota[[#This Row],[Inicio Operación]])</f>
        <v>2023</v>
      </c>
      <c r="Q190" s="29">
        <v>156</v>
      </c>
    </row>
    <row r="191" spans="1:17" hidden="1">
      <c r="A191" s="7" t="s">
        <v>10</v>
      </c>
      <c r="B191" s="2" t="s">
        <v>253</v>
      </c>
      <c r="C191" s="2">
        <v>4066</v>
      </c>
      <c r="D191" s="2" t="s">
        <v>38</v>
      </c>
      <c r="E191" s="2" t="s">
        <v>25</v>
      </c>
      <c r="F191" s="2" t="s">
        <v>14</v>
      </c>
      <c r="G191" s="277" t="s">
        <v>130</v>
      </c>
      <c r="H191" s="277" t="s">
        <v>130</v>
      </c>
      <c r="I191" s="277">
        <v>44928</v>
      </c>
      <c r="J191" s="2" t="s">
        <v>1341</v>
      </c>
      <c r="K191" s="2" t="s">
        <v>836</v>
      </c>
      <c r="L191" s="2" t="s">
        <v>130</v>
      </c>
      <c r="M191" s="2"/>
      <c r="N191" s="2" t="str">
        <f>DitrbFlota[[#This Row],[TIPO BUS]]&amp;"-"&amp;DitrbFlota[[#This Row],[MARCA CHASIS]]</f>
        <v>C2-VOLVO</v>
      </c>
      <c r="O191" s="2">
        <f>MONTH(DitrbFlota[[#This Row],[Inicio Operación]])</f>
        <v>1</v>
      </c>
      <c r="P191" s="2">
        <f>YEAR(DitrbFlota[[#This Row],[Inicio Operación]])</f>
        <v>2023</v>
      </c>
      <c r="Q191" s="29">
        <v>156</v>
      </c>
    </row>
    <row r="192" spans="1:17" hidden="1">
      <c r="A192" s="7" t="s">
        <v>10</v>
      </c>
      <c r="B192" s="2" t="s">
        <v>254</v>
      </c>
      <c r="C192" s="2">
        <v>4068</v>
      </c>
      <c r="D192" s="2" t="s">
        <v>38</v>
      </c>
      <c r="E192" s="2" t="s">
        <v>13</v>
      </c>
      <c r="F192" s="2" t="s">
        <v>14</v>
      </c>
      <c r="G192" s="277" t="s">
        <v>130</v>
      </c>
      <c r="H192" s="277" t="s">
        <v>130</v>
      </c>
      <c r="I192" s="277">
        <v>44933</v>
      </c>
      <c r="J192" s="2" t="s">
        <v>1341</v>
      </c>
      <c r="K192" s="2" t="s">
        <v>836</v>
      </c>
      <c r="L192" s="2" t="s">
        <v>130</v>
      </c>
      <c r="M192" s="2"/>
      <c r="N192" s="2" t="str">
        <f>DitrbFlota[[#This Row],[TIPO BUS]]&amp;"-"&amp;DitrbFlota[[#This Row],[MARCA CHASIS]]</f>
        <v>C2-VOLVO</v>
      </c>
      <c r="O192" s="2">
        <f>MONTH(DitrbFlota[[#This Row],[Inicio Operación]])</f>
        <v>1</v>
      </c>
      <c r="P192" s="2">
        <f>YEAR(DitrbFlota[[#This Row],[Inicio Operación]])</f>
        <v>2023</v>
      </c>
      <c r="Q192" s="29">
        <v>156</v>
      </c>
    </row>
    <row r="193" spans="1:17" hidden="1">
      <c r="A193" s="7" t="s">
        <v>10</v>
      </c>
      <c r="B193" s="2" t="s">
        <v>11</v>
      </c>
      <c r="C193" s="2">
        <v>1002</v>
      </c>
      <c r="D193" s="2" t="s">
        <v>12</v>
      </c>
      <c r="E193" s="2" t="s">
        <v>13</v>
      </c>
      <c r="F193" s="2" t="s">
        <v>14</v>
      </c>
      <c r="G193" s="277" t="s">
        <v>15</v>
      </c>
      <c r="H193" s="277" t="s">
        <v>15</v>
      </c>
      <c r="I193" s="277">
        <v>44912</v>
      </c>
      <c r="J193" s="2" t="s">
        <v>1341</v>
      </c>
      <c r="K193" s="2" t="s">
        <v>837</v>
      </c>
      <c r="L193" s="2" t="s">
        <v>15</v>
      </c>
      <c r="M193" s="2"/>
      <c r="N193" s="2" t="str">
        <f>DitrbFlota[[#This Row],[TIPO BUS]]&amp;"-"&amp;DitrbFlota[[#This Row],[MARCA CHASIS]]</f>
        <v>A2-VOLVO</v>
      </c>
      <c r="O193" s="2">
        <f>MONTH(DitrbFlota[[#This Row],[Inicio Operación]])</f>
        <v>12</v>
      </c>
      <c r="P193" s="2">
        <f>YEAR(DitrbFlota[[#This Row],[Inicio Operación]])</f>
        <v>2022</v>
      </c>
      <c r="Q193" s="29">
        <v>77</v>
      </c>
    </row>
    <row r="194" spans="1:17" hidden="1">
      <c r="A194" s="7" t="s">
        <v>10</v>
      </c>
      <c r="B194" s="2" t="s">
        <v>18</v>
      </c>
      <c r="C194" s="2">
        <v>1003</v>
      </c>
      <c r="D194" s="2" t="s">
        <v>12</v>
      </c>
      <c r="E194" s="2" t="s">
        <v>13</v>
      </c>
      <c r="F194" s="2" t="s">
        <v>14</v>
      </c>
      <c r="G194" s="277" t="s">
        <v>15</v>
      </c>
      <c r="H194" s="277" t="s">
        <v>15</v>
      </c>
      <c r="I194" s="277">
        <v>44912</v>
      </c>
      <c r="J194" s="2" t="s">
        <v>1341</v>
      </c>
      <c r="K194" s="2" t="s">
        <v>837</v>
      </c>
      <c r="L194" s="2" t="s">
        <v>15</v>
      </c>
      <c r="M194" s="2"/>
      <c r="N194" s="2" t="str">
        <f>DitrbFlota[[#This Row],[TIPO BUS]]&amp;"-"&amp;DitrbFlota[[#This Row],[MARCA CHASIS]]</f>
        <v>A2-VOLVO</v>
      </c>
      <c r="O194" s="2">
        <f>MONTH(DitrbFlota[[#This Row],[Inicio Operación]])</f>
        <v>12</v>
      </c>
      <c r="P194" s="2">
        <f>YEAR(DitrbFlota[[#This Row],[Inicio Operación]])</f>
        <v>2022</v>
      </c>
      <c r="Q194" s="29">
        <v>77</v>
      </c>
    </row>
    <row r="195" spans="1:17" hidden="1">
      <c r="A195" s="7" t="s">
        <v>10</v>
      </c>
      <c r="B195" s="2" t="s">
        <v>21</v>
      </c>
      <c r="C195" s="2">
        <v>1004</v>
      </c>
      <c r="D195" s="2" t="s">
        <v>12</v>
      </c>
      <c r="E195" s="2" t="s">
        <v>13</v>
      </c>
      <c r="F195" s="2" t="s">
        <v>14</v>
      </c>
      <c r="G195" s="277" t="s">
        <v>15</v>
      </c>
      <c r="H195" s="277" t="s">
        <v>15</v>
      </c>
      <c r="I195" s="277">
        <v>44912</v>
      </c>
      <c r="J195" s="2" t="s">
        <v>1341</v>
      </c>
      <c r="K195" s="2" t="s">
        <v>837</v>
      </c>
      <c r="L195" s="2" t="s">
        <v>15</v>
      </c>
      <c r="M195" s="2"/>
      <c r="N195" s="2" t="str">
        <f>DitrbFlota[[#This Row],[TIPO BUS]]&amp;"-"&amp;DitrbFlota[[#This Row],[MARCA CHASIS]]</f>
        <v>A2-VOLVO</v>
      </c>
      <c r="O195" s="2">
        <f>MONTH(DitrbFlota[[#This Row],[Inicio Operación]])</f>
        <v>12</v>
      </c>
      <c r="P195" s="2">
        <f>YEAR(DitrbFlota[[#This Row],[Inicio Operación]])</f>
        <v>2022</v>
      </c>
      <c r="Q195" s="29">
        <v>77</v>
      </c>
    </row>
    <row r="196" spans="1:17" hidden="1">
      <c r="A196" s="7" t="s">
        <v>10</v>
      </c>
      <c r="B196" s="2" t="s">
        <v>23</v>
      </c>
      <c r="C196" s="2">
        <v>1005</v>
      </c>
      <c r="D196" s="2" t="s">
        <v>12</v>
      </c>
      <c r="E196" s="2" t="s">
        <v>13</v>
      </c>
      <c r="F196" s="2" t="s">
        <v>14</v>
      </c>
      <c r="G196" s="277" t="s">
        <v>15</v>
      </c>
      <c r="H196" s="277" t="s">
        <v>15</v>
      </c>
      <c r="I196" s="277">
        <v>44912</v>
      </c>
      <c r="J196" s="2" t="s">
        <v>1341</v>
      </c>
      <c r="K196" s="2" t="s">
        <v>837</v>
      </c>
      <c r="L196" s="2" t="s">
        <v>15</v>
      </c>
      <c r="M196" s="2"/>
      <c r="N196" s="2" t="str">
        <f>DitrbFlota[[#This Row],[TIPO BUS]]&amp;"-"&amp;DitrbFlota[[#This Row],[MARCA CHASIS]]</f>
        <v>A2-VOLVO</v>
      </c>
      <c r="O196" s="2">
        <f>MONTH(DitrbFlota[[#This Row],[Inicio Operación]])</f>
        <v>12</v>
      </c>
      <c r="P196" s="2">
        <f>YEAR(DitrbFlota[[#This Row],[Inicio Operación]])</f>
        <v>2022</v>
      </c>
      <c r="Q196" s="29">
        <v>77</v>
      </c>
    </row>
    <row r="197" spans="1:17" hidden="1">
      <c r="A197" s="7" t="s">
        <v>10</v>
      </c>
      <c r="B197" s="2" t="s">
        <v>24</v>
      </c>
      <c r="C197" s="2">
        <v>1008</v>
      </c>
      <c r="D197" s="2" t="s">
        <v>12</v>
      </c>
      <c r="E197" s="2" t="s">
        <v>25</v>
      </c>
      <c r="F197" s="2" t="s">
        <v>14</v>
      </c>
      <c r="G197" s="277" t="s">
        <v>15</v>
      </c>
      <c r="H197" s="277" t="s">
        <v>15</v>
      </c>
      <c r="I197" s="277">
        <v>44912</v>
      </c>
      <c r="J197" s="2" t="s">
        <v>1341</v>
      </c>
      <c r="K197" s="2" t="s">
        <v>837</v>
      </c>
      <c r="L197" s="2" t="s">
        <v>15</v>
      </c>
      <c r="M197" s="2"/>
      <c r="N197" s="2" t="str">
        <f>DitrbFlota[[#This Row],[TIPO BUS]]&amp;"-"&amp;DitrbFlota[[#This Row],[MARCA CHASIS]]</f>
        <v>A2-VOLVO</v>
      </c>
      <c r="O197" s="2">
        <f>MONTH(DitrbFlota[[#This Row],[Inicio Operación]])</f>
        <v>12</v>
      </c>
      <c r="P197" s="2">
        <f>YEAR(DitrbFlota[[#This Row],[Inicio Operación]])</f>
        <v>2022</v>
      </c>
      <c r="Q197" s="29">
        <v>77</v>
      </c>
    </row>
    <row r="198" spans="1:17" hidden="1">
      <c r="A198" s="7" t="s">
        <v>10</v>
      </c>
      <c r="B198" s="2" t="s">
        <v>26</v>
      </c>
      <c r="C198" s="2">
        <v>1009</v>
      </c>
      <c r="D198" s="2" t="s">
        <v>12</v>
      </c>
      <c r="E198" s="2" t="s">
        <v>25</v>
      </c>
      <c r="F198" s="2" t="s">
        <v>14</v>
      </c>
      <c r="G198" s="277" t="s">
        <v>15</v>
      </c>
      <c r="H198" s="277" t="s">
        <v>15</v>
      </c>
      <c r="I198" s="277">
        <v>44912</v>
      </c>
      <c r="J198" s="2" t="s">
        <v>1341</v>
      </c>
      <c r="K198" s="2" t="s">
        <v>837</v>
      </c>
      <c r="L198" s="2" t="s">
        <v>15</v>
      </c>
      <c r="M198" s="2"/>
      <c r="N198" s="2" t="str">
        <f>DitrbFlota[[#This Row],[TIPO BUS]]&amp;"-"&amp;DitrbFlota[[#This Row],[MARCA CHASIS]]</f>
        <v>A2-VOLVO</v>
      </c>
      <c r="O198" s="2">
        <f>MONTH(DitrbFlota[[#This Row],[Inicio Operación]])</f>
        <v>12</v>
      </c>
      <c r="P198" s="2">
        <f>YEAR(DitrbFlota[[#This Row],[Inicio Operación]])</f>
        <v>2022</v>
      </c>
      <c r="Q198" s="29">
        <v>77</v>
      </c>
    </row>
    <row r="199" spans="1:17" hidden="1">
      <c r="A199" s="7" t="s">
        <v>10</v>
      </c>
      <c r="B199" s="2" t="s">
        <v>27</v>
      </c>
      <c r="C199" s="2">
        <v>1010</v>
      </c>
      <c r="D199" s="2" t="s">
        <v>12</v>
      </c>
      <c r="E199" s="2" t="s">
        <v>13</v>
      </c>
      <c r="F199" s="2" t="s">
        <v>14</v>
      </c>
      <c r="G199" s="277" t="s">
        <v>15</v>
      </c>
      <c r="H199" s="277" t="s">
        <v>15</v>
      </c>
      <c r="I199" s="277">
        <v>44912</v>
      </c>
      <c r="J199" s="2" t="s">
        <v>1341</v>
      </c>
      <c r="K199" s="2" t="s">
        <v>837</v>
      </c>
      <c r="L199" s="2" t="s">
        <v>15</v>
      </c>
      <c r="M199" s="2"/>
      <c r="N199" s="2" t="str">
        <f>DitrbFlota[[#This Row],[TIPO BUS]]&amp;"-"&amp;DitrbFlota[[#This Row],[MARCA CHASIS]]</f>
        <v>A2-VOLVO</v>
      </c>
      <c r="O199" s="2">
        <f>MONTH(DitrbFlota[[#This Row],[Inicio Operación]])</f>
        <v>12</v>
      </c>
      <c r="P199" s="2">
        <f>YEAR(DitrbFlota[[#This Row],[Inicio Operación]])</f>
        <v>2022</v>
      </c>
      <c r="Q199" s="29">
        <v>77</v>
      </c>
    </row>
    <row r="200" spans="1:17" hidden="1">
      <c r="A200" s="7" t="s">
        <v>10</v>
      </c>
      <c r="B200" s="2" t="s">
        <v>28</v>
      </c>
      <c r="C200" s="2">
        <v>1011</v>
      </c>
      <c r="D200" s="2" t="s">
        <v>12</v>
      </c>
      <c r="E200" s="2" t="s">
        <v>13</v>
      </c>
      <c r="F200" s="2" t="s">
        <v>14</v>
      </c>
      <c r="G200" s="277" t="s">
        <v>15</v>
      </c>
      <c r="H200" s="277" t="s">
        <v>15</v>
      </c>
      <c r="I200" s="277">
        <v>44912</v>
      </c>
      <c r="J200" s="2" t="s">
        <v>1341</v>
      </c>
      <c r="K200" s="2" t="s">
        <v>837</v>
      </c>
      <c r="L200" s="2" t="s">
        <v>15</v>
      </c>
      <c r="M200" s="2"/>
      <c r="N200" s="2" t="str">
        <f>DitrbFlota[[#This Row],[TIPO BUS]]&amp;"-"&amp;DitrbFlota[[#This Row],[MARCA CHASIS]]</f>
        <v>A2-VOLVO</v>
      </c>
      <c r="O200" s="2">
        <f>MONTH(DitrbFlota[[#This Row],[Inicio Operación]])</f>
        <v>12</v>
      </c>
      <c r="P200" s="2">
        <f>YEAR(DitrbFlota[[#This Row],[Inicio Operación]])</f>
        <v>2022</v>
      </c>
      <c r="Q200" s="29">
        <v>77</v>
      </c>
    </row>
    <row r="201" spans="1:17" hidden="1">
      <c r="A201" s="7" t="s">
        <v>10</v>
      </c>
      <c r="B201" s="2" t="s">
        <v>31</v>
      </c>
      <c r="C201" s="2">
        <v>1012</v>
      </c>
      <c r="D201" s="2" t="s">
        <v>12</v>
      </c>
      <c r="E201" s="2" t="s">
        <v>13</v>
      </c>
      <c r="F201" s="2" t="s">
        <v>14</v>
      </c>
      <c r="G201" s="277" t="s">
        <v>15</v>
      </c>
      <c r="H201" s="277" t="s">
        <v>15</v>
      </c>
      <c r="I201" s="277">
        <v>44912</v>
      </c>
      <c r="J201" s="2" t="s">
        <v>1341</v>
      </c>
      <c r="K201" s="2" t="s">
        <v>837</v>
      </c>
      <c r="L201" s="2" t="s">
        <v>15</v>
      </c>
      <c r="M201" s="2"/>
      <c r="N201" s="2" t="str">
        <f>DitrbFlota[[#This Row],[TIPO BUS]]&amp;"-"&amp;DitrbFlota[[#This Row],[MARCA CHASIS]]</f>
        <v>A2-VOLVO</v>
      </c>
      <c r="O201" s="2">
        <f>MONTH(DitrbFlota[[#This Row],[Inicio Operación]])</f>
        <v>12</v>
      </c>
      <c r="P201" s="2">
        <f>YEAR(DitrbFlota[[#This Row],[Inicio Operación]])</f>
        <v>2022</v>
      </c>
      <c r="Q201" s="29">
        <v>77</v>
      </c>
    </row>
    <row r="202" spans="1:17" hidden="1">
      <c r="A202" s="7" t="s">
        <v>10</v>
      </c>
      <c r="B202" s="2" t="s">
        <v>32</v>
      </c>
      <c r="C202" s="2">
        <v>1013</v>
      </c>
      <c r="D202" s="2" t="s">
        <v>12</v>
      </c>
      <c r="E202" s="2" t="s">
        <v>13</v>
      </c>
      <c r="F202" s="2" t="s">
        <v>14</v>
      </c>
      <c r="G202" s="277" t="s">
        <v>15</v>
      </c>
      <c r="H202" s="277" t="s">
        <v>15</v>
      </c>
      <c r="I202" s="277">
        <v>44912</v>
      </c>
      <c r="J202" s="2" t="s">
        <v>1341</v>
      </c>
      <c r="K202" s="2" t="s">
        <v>837</v>
      </c>
      <c r="L202" s="2" t="s">
        <v>15</v>
      </c>
      <c r="M202" s="2"/>
      <c r="N202" s="2" t="str">
        <f>DitrbFlota[[#This Row],[TIPO BUS]]&amp;"-"&amp;DitrbFlota[[#This Row],[MARCA CHASIS]]</f>
        <v>A2-VOLVO</v>
      </c>
      <c r="O202" s="2">
        <f>MONTH(DitrbFlota[[#This Row],[Inicio Operación]])</f>
        <v>12</v>
      </c>
      <c r="P202" s="2">
        <f>YEAR(DitrbFlota[[#This Row],[Inicio Operación]])</f>
        <v>2022</v>
      </c>
      <c r="Q202" s="29">
        <v>77</v>
      </c>
    </row>
    <row r="203" spans="1:17" hidden="1">
      <c r="A203" s="7" t="s">
        <v>10</v>
      </c>
      <c r="B203" s="2" t="s">
        <v>33</v>
      </c>
      <c r="C203" s="2">
        <v>1015</v>
      </c>
      <c r="D203" s="2" t="s">
        <v>12</v>
      </c>
      <c r="E203" s="2" t="s">
        <v>13</v>
      </c>
      <c r="F203" s="2" t="s">
        <v>14</v>
      </c>
      <c r="G203" s="277" t="s">
        <v>15</v>
      </c>
      <c r="H203" s="277" t="s">
        <v>15</v>
      </c>
      <c r="I203" s="277">
        <v>44912</v>
      </c>
      <c r="J203" s="2" t="s">
        <v>1341</v>
      </c>
      <c r="K203" s="2" t="s">
        <v>837</v>
      </c>
      <c r="L203" s="2" t="s">
        <v>15</v>
      </c>
      <c r="M203" s="2"/>
      <c r="N203" s="2" t="str">
        <f>DitrbFlota[[#This Row],[TIPO BUS]]&amp;"-"&amp;DitrbFlota[[#This Row],[MARCA CHASIS]]</f>
        <v>A2-VOLVO</v>
      </c>
      <c r="O203" s="2">
        <f>MONTH(DitrbFlota[[#This Row],[Inicio Operación]])</f>
        <v>12</v>
      </c>
      <c r="P203" s="2">
        <f>YEAR(DitrbFlota[[#This Row],[Inicio Operación]])</f>
        <v>2022</v>
      </c>
      <c r="Q203" s="29">
        <v>77</v>
      </c>
    </row>
    <row r="204" spans="1:17" hidden="1">
      <c r="A204" s="7" t="s">
        <v>10</v>
      </c>
      <c r="B204" s="2" t="s">
        <v>62</v>
      </c>
      <c r="C204" s="2">
        <v>2042</v>
      </c>
      <c r="D204" s="2" t="s">
        <v>34</v>
      </c>
      <c r="E204" s="2" t="s">
        <v>13</v>
      </c>
      <c r="F204" s="2" t="s">
        <v>36</v>
      </c>
      <c r="G204" s="277" t="s">
        <v>15</v>
      </c>
      <c r="H204" s="277" t="s">
        <v>15</v>
      </c>
      <c r="I204" s="277">
        <v>44912</v>
      </c>
      <c r="J204" s="2" t="s">
        <v>830</v>
      </c>
      <c r="K204" s="2" t="s">
        <v>837</v>
      </c>
      <c r="L204" s="2" t="s">
        <v>130</v>
      </c>
      <c r="M204" s="2"/>
      <c r="N204" s="2" t="str">
        <f>DitrbFlota[[#This Row],[TIPO BUS]]&amp;"-"&amp;DitrbFlota[[#This Row],[MARCA CHASIS]]</f>
        <v>B2-SCANIA</v>
      </c>
      <c r="O204" s="2">
        <f>MONTH(DitrbFlota[[#This Row],[Inicio Operación]])</f>
        <v>12</v>
      </c>
      <c r="P204" s="2">
        <f>YEAR(DitrbFlota[[#This Row],[Inicio Operación]])</f>
        <v>2022</v>
      </c>
      <c r="Q204" s="29">
        <v>96</v>
      </c>
    </row>
    <row r="205" spans="1:17" hidden="1">
      <c r="A205" s="7" t="s">
        <v>10</v>
      </c>
      <c r="B205" s="2" t="s">
        <v>63</v>
      </c>
      <c r="C205" s="2">
        <v>2043</v>
      </c>
      <c r="D205" s="2" t="s">
        <v>34</v>
      </c>
      <c r="E205" s="2" t="s">
        <v>13</v>
      </c>
      <c r="F205" s="2" t="s">
        <v>36</v>
      </c>
      <c r="G205" s="277" t="s">
        <v>15</v>
      </c>
      <c r="H205" s="277" t="s">
        <v>15</v>
      </c>
      <c r="I205" s="277">
        <v>44912</v>
      </c>
      <c r="J205" s="2" t="s">
        <v>830</v>
      </c>
      <c r="K205" s="2" t="s">
        <v>837</v>
      </c>
      <c r="L205" s="2" t="s">
        <v>130</v>
      </c>
      <c r="M205" s="2"/>
      <c r="N205" s="2" t="str">
        <f>DitrbFlota[[#This Row],[TIPO BUS]]&amp;"-"&amp;DitrbFlota[[#This Row],[MARCA CHASIS]]</f>
        <v>B2-SCANIA</v>
      </c>
      <c r="O205" s="2">
        <f>MONTH(DitrbFlota[[#This Row],[Inicio Operación]])</f>
        <v>12</v>
      </c>
      <c r="P205" s="2">
        <f>YEAR(DitrbFlota[[#This Row],[Inicio Operación]])</f>
        <v>2022</v>
      </c>
      <c r="Q205" s="29">
        <v>96</v>
      </c>
    </row>
    <row r="206" spans="1:17" hidden="1">
      <c r="A206" s="7" t="s">
        <v>10</v>
      </c>
      <c r="B206" s="2" t="s">
        <v>65</v>
      </c>
      <c r="C206" s="2">
        <v>2044</v>
      </c>
      <c r="D206" s="2" t="s">
        <v>34</v>
      </c>
      <c r="E206" s="2" t="s">
        <v>13</v>
      </c>
      <c r="F206" s="2" t="s">
        <v>36</v>
      </c>
      <c r="G206" s="277" t="s">
        <v>15</v>
      </c>
      <c r="H206" s="277" t="s">
        <v>15</v>
      </c>
      <c r="I206" s="277">
        <v>44933</v>
      </c>
      <c r="J206" s="2" t="s">
        <v>830</v>
      </c>
      <c r="K206" s="2" t="s">
        <v>837</v>
      </c>
      <c r="L206" s="2" t="s">
        <v>130</v>
      </c>
      <c r="M206" s="2"/>
      <c r="N206" s="2" t="str">
        <f>DitrbFlota[[#This Row],[TIPO BUS]]&amp;"-"&amp;DitrbFlota[[#This Row],[MARCA CHASIS]]</f>
        <v>B2-SCANIA</v>
      </c>
      <c r="O206" s="2">
        <f>MONTH(DitrbFlota[[#This Row],[Inicio Operación]])</f>
        <v>1</v>
      </c>
      <c r="P206" s="2">
        <f>YEAR(DitrbFlota[[#This Row],[Inicio Operación]])</f>
        <v>2023</v>
      </c>
      <c r="Q206" s="29">
        <v>96</v>
      </c>
    </row>
    <row r="207" spans="1:17" hidden="1">
      <c r="A207" s="7" t="s">
        <v>10</v>
      </c>
      <c r="B207" s="2" t="s">
        <v>66</v>
      </c>
      <c r="C207" s="2">
        <v>2045</v>
      </c>
      <c r="D207" s="2" t="s">
        <v>34</v>
      </c>
      <c r="E207" s="2" t="s">
        <v>13</v>
      </c>
      <c r="F207" s="2" t="s">
        <v>36</v>
      </c>
      <c r="G207" s="277" t="s">
        <v>15</v>
      </c>
      <c r="H207" s="277" t="s">
        <v>15</v>
      </c>
      <c r="I207" s="277">
        <v>44912</v>
      </c>
      <c r="J207" s="2" t="s">
        <v>830</v>
      </c>
      <c r="K207" s="2" t="s">
        <v>837</v>
      </c>
      <c r="L207" s="2" t="s">
        <v>130</v>
      </c>
      <c r="M207" s="2"/>
      <c r="N207" s="2" t="str">
        <f>DitrbFlota[[#This Row],[TIPO BUS]]&amp;"-"&amp;DitrbFlota[[#This Row],[MARCA CHASIS]]</f>
        <v>B2-SCANIA</v>
      </c>
      <c r="O207" s="2">
        <f>MONTH(DitrbFlota[[#This Row],[Inicio Operación]])</f>
        <v>12</v>
      </c>
      <c r="P207" s="2">
        <f>YEAR(DitrbFlota[[#This Row],[Inicio Operación]])</f>
        <v>2022</v>
      </c>
      <c r="Q207" s="29">
        <v>96</v>
      </c>
    </row>
    <row r="208" spans="1:17" hidden="1">
      <c r="A208" s="7" t="s">
        <v>10</v>
      </c>
      <c r="B208" s="2" t="s">
        <v>67</v>
      </c>
      <c r="C208" s="2">
        <v>2047</v>
      </c>
      <c r="D208" s="2" t="s">
        <v>34</v>
      </c>
      <c r="E208" s="2" t="s">
        <v>13</v>
      </c>
      <c r="F208" s="2" t="s">
        <v>36</v>
      </c>
      <c r="G208" s="277" t="s">
        <v>15</v>
      </c>
      <c r="H208" s="277" t="s">
        <v>15</v>
      </c>
      <c r="I208" s="277">
        <v>44912</v>
      </c>
      <c r="J208" s="2" t="s">
        <v>830</v>
      </c>
      <c r="K208" s="2" t="s">
        <v>837</v>
      </c>
      <c r="L208" s="2" t="s">
        <v>130</v>
      </c>
      <c r="M208" s="2"/>
      <c r="N208" s="2" t="str">
        <f>DitrbFlota[[#This Row],[TIPO BUS]]&amp;"-"&amp;DitrbFlota[[#This Row],[MARCA CHASIS]]</f>
        <v>B2-SCANIA</v>
      </c>
      <c r="O208" s="2">
        <f>MONTH(DitrbFlota[[#This Row],[Inicio Operación]])</f>
        <v>12</v>
      </c>
      <c r="P208" s="2">
        <f>YEAR(DitrbFlota[[#This Row],[Inicio Operación]])</f>
        <v>2022</v>
      </c>
      <c r="Q208" s="29">
        <v>96</v>
      </c>
    </row>
    <row r="209" spans="1:18" hidden="1">
      <c r="A209" s="7" t="s">
        <v>10</v>
      </c>
      <c r="B209" s="2" t="s">
        <v>68</v>
      </c>
      <c r="C209" s="2">
        <v>2048</v>
      </c>
      <c r="D209" s="2" t="s">
        <v>34</v>
      </c>
      <c r="E209" s="2" t="s">
        <v>13</v>
      </c>
      <c r="F209" s="2" t="s">
        <v>36</v>
      </c>
      <c r="G209" s="277" t="s">
        <v>15</v>
      </c>
      <c r="H209" s="277" t="s">
        <v>15</v>
      </c>
      <c r="I209" s="277">
        <v>44912</v>
      </c>
      <c r="J209" s="2" t="s">
        <v>830</v>
      </c>
      <c r="K209" s="2" t="s">
        <v>837</v>
      </c>
      <c r="L209" s="2" t="s">
        <v>130</v>
      </c>
      <c r="M209" s="2"/>
      <c r="N209" s="2" t="str">
        <f>DitrbFlota[[#This Row],[TIPO BUS]]&amp;"-"&amp;DitrbFlota[[#This Row],[MARCA CHASIS]]</f>
        <v>B2-SCANIA</v>
      </c>
      <c r="O209" s="2">
        <f>MONTH(DitrbFlota[[#This Row],[Inicio Operación]])</f>
        <v>12</v>
      </c>
      <c r="P209" s="2">
        <f>YEAR(DitrbFlota[[#This Row],[Inicio Operación]])</f>
        <v>2022</v>
      </c>
      <c r="Q209" s="29">
        <v>96</v>
      </c>
    </row>
    <row r="210" spans="1:18" hidden="1">
      <c r="A210" s="7" t="s">
        <v>10</v>
      </c>
      <c r="B210" s="2" t="s">
        <v>69</v>
      </c>
      <c r="C210" s="2">
        <v>2049</v>
      </c>
      <c r="D210" s="2" t="s">
        <v>34</v>
      </c>
      <c r="E210" s="2" t="s">
        <v>13</v>
      </c>
      <c r="F210" s="2" t="s">
        <v>36</v>
      </c>
      <c r="G210" s="277" t="s">
        <v>15</v>
      </c>
      <c r="H210" s="277" t="s">
        <v>15</v>
      </c>
      <c r="I210" s="277">
        <v>44912</v>
      </c>
      <c r="J210" s="2" t="s">
        <v>830</v>
      </c>
      <c r="K210" s="2" t="s">
        <v>837</v>
      </c>
      <c r="L210" s="2" t="s">
        <v>130</v>
      </c>
      <c r="M210" s="2" t="s">
        <v>1408</v>
      </c>
      <c r="N210" s="2" t="str">
        <f>DitrbFlota[[#This Row],[TIPO BUS]]&amp;"-"&amp;DitrbFlota[[#This Row],[MARCA CHASIS]]</f>
        <v>B2-SCANIA</v>
      </c>
      <c r="O210" s="2">
        <f>MONTH(DitrbFlota[[#This Row],[Inicio Operación]])</f>
        <v>12</v>
      </c>
      <c r="P210" s="2">
        <f>YEAR(DitrbFlota[[#This Row],[Inicio Operación]])</f>
        <v>2022</v>
      </c>
      <c r="Q210" s="29">
        <v>96</v>
      </c>
      <c r="R210" s="295"/>
    </row>
    <row r="211" spans="1:18" hidden="1">
      <c r="A211" s="7" t="s">
        <v>10</v>
      </c>
      <c r="B211" s="2" t="s">
        <v>70</v>
      </c>
      <c r="C211" s="2">
        <v>2050</v>
      </c>
      <c r="D211" s="2" t="s">
        <v>34</v>
      </c>
      <c r="E211" s="2" t="s">
        <v>13</v>
      </c>
      <c r="F211" s="2" t="s">
        <v>36</v>
      </c>
      <c r="G211" s="277" t="s">
        <v>15</v>
      </c>
      <c r="H211" s="277" t="s">
        <v>15</v>
      </c>
      <c r="I211" s="277">
        <v>44912</v>
      </c>
      <c r="J211" s="2" t="s">
        <v>830</v>
      </c>
      <c r="K211" s="2" t="s">
        <v>837</v>
      </c>
      <c r="L211" s="2" t="s">
        <v>130</v>
      </c>
      <c r="M211" s="2"/>
      <c r="N211" s="2" t="str">
        <f>DitrbFlota[[#This Row],[TIPO BUS]]&amp;"-"&amp;DitrbFlota[[#This Row],[MARCA CHASIS]]</f>
        <v>B2-SCANIA</v>
      </c>
      <c r="O211" s="2">
        <f>MONTH(DitrbFlota[[#This Row],[Inicio Operación]])</f>
        <v>12</v>
      </c>
      <c r="P211" s="2">
        <f>YEAR(DitrbFlota[[#This Row],[Inicio Operación]])</f>
        <v>2022</v>
      </c>
      <c r="Q211" s="29">
        <v>96</v>
      </c>
    </row>
    <row r="212" spans="1:18" hidden="1">
      <c r="A212" s="7" t="s">
        <v>10</v>
      </c>
      <c r="B212" s="2" t="s">
        <v>71</v>
      </c>
      <c r="C212" s="2">
        <v>2051</v>
      </c>
      <c r="D212" s="2" t="s">
        <v>34</v>
      </c>
      <c r="E212" s="2" t="s">
        <v>13</v>
      </c>
      <c r="F212" s="2" t="s">
        <v>36</v>
      </c>
      <c r="G212" s="277" t="s">
        <v>15</v>
      </c>
      <c r="H212" s="277" t="s">
        <v>15</v>
      </c>
      <c r="I212" s="277">
        <v>44912</v>
      </c>
      <c r="J212" s="2" t="s">
        <v>830</v>
      </c>
      <c r="K212" s="2" t="s">
        <v>837</v>
      </c>
      <c r="L212" s="2" t="s">
        <v>130</v>
      </c>
      <c r="M212" s="2"/>
      <c r="N212" s="2" t="str">
        <f>DitrbFlota[[#This Row],[TIPO BUS]]&amp;"-"&amp;DitrbFlota[[#This Row],[MARCA CHASIS]]</f>
        <v>B2-SCANIA</v>
      </c>
      <c r="O212" s="2">
        <f>MONTH(DitrbFlota[[#This Row],[Inicio Operación]])</f>
        <v>12</v>
      </c>
      <c r="P212" s="2">
        <f>YEAR(DitrbFlota[[#This Row],[Inicio Operación]])</f>
        <v>2022</v>
      </c>
      <c r="Q212" s="29">
        <v>96</v>
      </c>
    </row>
    <row r="213" spans="1:18" hidden="1">
      <c r="A213" s="7" t="s">
        <v>10</v>
      </c>
      <c r="B213" s="2" t="s">
        <v>72</v>
      </c>
      <c r="C213" s="2">
        <v>2052</v>
      </c>
      <c r="D213" s="2" t="s">
        <v>34</v>
      </c>
      <c r="E213" s="2" t="s">
        <v>13</v>
      </c>
      <c r="F213" s="2" t="s">
        <v>36</v>
      </c>
      <c r="G213" s="277" t="s">
        <v>15</v>
      </c>
      <c r="H213" s="277" t="s">
        <v>15</v>
      </c>
      <c r="I213" s="277">
        <v>44912</v>
      </c>
      <c r="J213" s="2" t="s">
        <v>830</v>
      </c>
      <c r="K213" s="2" t="s">
        <v>837</v>
      </c>
      <c r="L213" s="2" t="s">
        <v>130</v>
      </c>
      <c r="M213" s="2"/>
      <c r="N213" s="2" t="str">
        <f>DitrbFlota[[#This Row],[TIPO BUS]]&amp;"-"&amp;DitrbFlota[[#This Row],[MARCA CHASIS]]</f>
        <v>B2-SCANIA</v>
      </c>
      <c r="O213" s="2">
        <f>MONTH(DitrbFlota[[#This Row],[Inicio Operación]])</f>
        <v>12</v>
      </c>
      <c r="P213" s="2">
        <f>YEAR(DitrbFlota[[#This Row],[Inicio Operación]])</f>
        <v>2022</v>
      </c>
      <c r="Q213" s="29">
        <v>96</v>
      </c>
    </row>
    <row r="214" spans="1:18" hidden="1">
      <c r="A214" s="7" t="s">
        <v>10</v>
      </c>
      <c r="B214" s="2" t="s">
        <v>73</v>
      </c>
      <c r="C214" s="2">
        <v>2053</v>
      </c>
      <c r="D214" s="2" t="s">
        <v>34</v>
      </c>
      <c r="E214" s="2" t="s">
        <v>13</v>
      </c>
      <c r="F214" s="2" t="s">
        <v>36</v>
      </c>
      <c r="G214" s="277" t="s">
        <v>15</v>
      </c>
      <c r="H214" s="277" t="s">
        <v>15</v>
      </c>
      <c r="I214" s="277">
        <v>44912</v>
      </c>
      <c r="J214" s="2" t="s">
        <v>830</v>
      </c>
      <c r="K214" s="2" t="s">
        <v>837</v>
      </c>
      <c r="L214" s="2" t="s">
        <v>130</v>
      </c>
      <c r="M214" s="2"/>
      <c r="N214" s="2" t="str">
        <f>DitrbFlota[[#This Row],[TIPO BUS]]&amp;"-"&amp;DitrbFlota[[#This Row],[MARCA CHASIS]]</f>
        <v>B2-SCANIA</v>
      </c>
      <c r="O214" s="2">
        <f>MONTH(DitrbFlota[[#This Row],[Inicio Operación]])</f>
        <v>12</v>
      </c>
      <c r="P214" s="2">
        <f>YEAR(DitrbFlota[[#This Row],[Inicio Operación]])</f>
        <v>2022</v>
      </c>
      <c r="Q214" s="29">
        <v>96</v>
      </c>
    </row>
    <row r="215" spans="1:18" hidden="1">
      <c r="A215" s="7" t="s">
        <v>10</v>
      </c>
      <c r="B215" s="2" t="s">
        <v>74</v>
      </c>
      <c r="C215" s="2">
        <v>2054</v>
      </c>
      <c r="D215" s="2" t="s">
        <v>34</v>
      </c>
      <c r="E215" s="2" t="s">
        <v>13</v>
      </c>
      <c r="F215" s="2" t="s">
        <v>36</v>
      </c>
      <c r="G215" s="277" t="s">
        <v>15</v>
      </c>
      <c r="H215" s="277" t="s">
        <v>15</v>
      </c>
      <c r="I215" s="277">
        <v>44912</v>
      </c>
      <c r="J215" s="2" t="s">
        <v>830</v>
      </c>
      <c r="K215" s="2" t="s">
        <v>837</v>
      </c>
      <c r="L215" s="2" t="s">
        <v>130</v>
      </c>
      <c r="M215" s="2"/>
      <c r="N215" s="2" t="str">
        <f>DitrbFlota[[#This Row],[TIPO BUS]]&amp;"-"&amp;DitrbFlota[[#This Row],[MARCA CHASIS]]</f>
        <v>B2-SCANIA</v>
      </c>
      <c r="O215" s="2">
        <f>MONTH(DitrbFlota[[#This Row],[Inicio Operación]])</f>
        <v>12</v>
      </c>
      <c r="P215" s="2">
        <f>YEAR(DitrbFlota[[#This Row],[Inicio Operación]])</f>
        <v>2022</v>
      </c>
      <c r="Q215" s="29">
        <v>96</v>
      </c>
    </row>
    <row r="216" spans="1:18" hidden="1">
      <c r="A216" s="7" t="s">
        <v>10</v>
      </c>
      <c r="B216" s="2" t="s">
        <v>35</v>
      </c>
      <c r="C216" s="2">
        <v>2055</v>
      </c>
      <c r="D216" s="2" t="s">
        <v>34</v>
      </c>
      <c r="E216" s="2" t="s">
        <v>13</v>
      </c>
      <c r="F216" s="2" t="s">
        <v>36</v>
      </c>
      <c r="G216" s="277" t="s">
        <v>15</v>
      </c>
      <c r="H216" s="277" t="s">
        <v>15</v>
      </c>
      <c r="I216" s="277">
        <v>44912</v>
      </c>
      <c r="J216" s="2" t="s">
        <v>830</v>
      </c>
      <c r="K216" s="2" t="s">
        <v>837</v>
      </c>
      <c r="L216" s="2" t="s">
        <v>130</v>
      </c>
      <c r="M216" s="2"/>
      <c r="N216" s="2" t="str">
        <f>DitrbFlota[[#This Row],[TIPO BUS]]&amp;"-"&amp;DitrbFlota[[#This Row],[MARCA CHASIS]]</f>
        <v>B2-SCANIA</v>
      </c>
      <c r="O216" s="2">
        <f>MONTH(DitrbFlota[[#This Row],[Inicio Operación]])</f>
        <v>12</v>
      </c>
      <c r="P216" s="2">
        <f>YEAR(DitrbFlota[[#This Row],[Inicio Operación]])</f>
        <v>2022</v>
      </c>
      <c r="Q216" s="29">
        <v>96</v>
      </c>
    </row>
    <row r="217" spans="1:18" hidden="1">
      <c r="A217" s="7" t="s">
        <v>10</v>
      </c>
      <c r="B217" s="2" t="s">
        <v>64</v>
      </c>
      <c r="C217" s="2">
        <v>2056</v>
      </c>
      <c r="D217" s="2" t="s">
        <v>34</v>
      </c>
      <c r="E217" s="2" t="s">
        <v>13</v>
      </c>
      <c r="F217" s="2" t="s">
        <v>36</v>
      </c>
      <c r="G217" s="277" t="s">
        <v>15</v>
      </c>
      <c r="H217" s="277" t="s">
        <v>15</v>
      </c>
      <c r="I217" s="277">
        <v>44912</v>
      </c>
      <c r="J217" s="2" t="s">
        <v>830</v>
      </c>
      <c r="K217" s="2" t="s">
        <v>837</v>
      </c>
      <c r="L217" s="2" t="s">
        <v>130</v>
      </c>
      <c r="M217" s="2"/>
      <c r="N217" s="2" t="str">
        <f>DitrbFlota[[#This Row],[TIPO BUS]]&amp;"-"&amp;DitrbFlota[[#This Row],[MARCA CHASIS]]</f>
        <v>B2-SCANIA</v>
      </c>
      <c r="O217" s="2">
        <f>MONTH(DitrbFlota[[#This Row],[Inicio Operación]])</f>
        <v>12</v>
      </c>
      <c r="P217" s="2">
        <f>YEAR(DitrbFlota[[#This Row],[Inicio Operación]])</f>
        <v>2022</v>
      </c>
      <c r="Q217" s="29">
        <v>96</v>
      </c>
    </row>
    <row r="218" spans="1:18" hidden="1">
      <c r="A218" s="7" t="s">
        <v>10</v>
      </c>
      <c r="B218" s="2" t="s">
        <v>81</v>
      </c>
      <c r="C218" s="2">
        <v>2057</v>
      </c>
      <c r="D218" s="2" t="s">
        <v>34</v>
      </c>
      <c r="E218" s="2" t="s">
        <v>13</v>
      </c>
      <c r="F218" s="2" t="s">
        <v>36</v>
      </c>
      <c r="G218" s="277" t="s">
        <v>15</v>
      </c>
      <c r="H218" s="277" t="s">
        <v>15</v>
      </c>
      <c r="I218" s="277">
        <v>44912</v>
      </c>
      <c r="J218" s="2" t="s">
        <v>830</v>
      </c>
      <c r="K218" s="2" t="s">
        <v>837</v>
      </c>
      <c r="L218" s="2" t="s">
        <v>130</v>
      </c>
      <c r="M218" s="2"/>
      <c r="N218" s="2" t="str">
        <f>DitrbFlota[[#This Row],[TIPO BUS]]&amp;"-"&amp;DitrbFlota[[#This Row],[MARCA CHASIS]]</f>
        <v>B2-SCANIA</v>
      </c>
      <c r="O218" s="2">
        <f>MONTH(DitrbFlota[[#This Row],[Inicio Operación]])</f>
        <v>12</v>
      </c>
      <c r="P218" s="2">
        <f>YEAR(DitrbFlota[[#This Row],[Inicio Operación]])</f>
        <v>2022</v>
      </c>
      <c r="Q218" s="29">
        <v>96</v>
      </c>
    </row>
    <row r="219" spans="1:18" hidden="1">
      <c r="A219" s="7" t="s">
        <v>10</v>
      </c>
      <c r="B219" s="2" t="s">
        <v>75</v>
      </c>
      <c r="C219" s="2">
        <v>2058</v>
      </c>
      <c r="D219" s="2" t="s">
        <v>34</v>
      </c>
      <c r="E219" s="2" t="s">
        <v>13</v>
      </c>
      <c r="F219" s="2" t="s">
        <v>36</v>
      </c>
      <c r="G219" s="277" t="s">
        <v>15</v>
      </c>
      <c r="H219" s="277" t="s">
        <v>15</v>
      </c>
      <c r="I219" s="277">
        <v>44912</v>
      </c>
      <c r="J219" s="2" t="s">
        <v>830</v>
      </c>
      <c r="K219" s="2" t="s">
        <v>837</v>
      </c>
      <c r="L219" s="2" t="s">
        <v>130</v>
      </c>
      <c r="M219" s="2"/>
      <c r="N219" s="2" t="str">
        <f>DitrbFlota[[#This Row],[TIPO BUS]]&amp;"-"&amp;DitrbFlota[[#This Row],[MARCA CHASIS]]</f>
        <v>B2-SCANIA</v>
      </c>
      <c r="O219" s="2">
        <f>MONTH(DitrbFlota[[#This Row],[Inicio Operación]])</f>
        <v>12</v>
      </c>
      <c r="P219" s="2">
        <f>YEAR(DitrbFlota[[#This Row],[Inicio Operación]])</f>
        <v>2022</v>
      </c>
      <c r="Q219" s="29">
        <v>96</v>
      </c>
    </row>
    <row r="220" spans="1:18" hidden="1">
      <c r="A220" s="7" t="s">
        <v>10</v>
      </c>
      <c r="B220" s="2" t="s">
        <v>76</v>
      </c>
      <c r="C220" s="2">
        <v>2059</v>
      </c>
      <c r="D220" s="2" t="s">
        <v>34</v>
      </c>
      <c r="E220" s="2" t="s">
        <v>13</v>
      </c>
      <c r="F220" s="2" t="s">
        <v>36</v>
      </c>
      <c r="G220" s="277" t="s">
        <v>15</v>
      </c>
      <c r="H220" s="277" t="s">
        <v>15</v>
      </c>
      <c r="I220" s="277">
        <v>44928</v>
      </c>
      <c r="J220" s="2" t="s">
        <v>830</v>
      </c>
      <c r="K220" s="2" t="s">
        <v>837</v>
      </c>
      <c r="L220" s="2" t="s">
        <v>130</v>
      </c>
      <c r="M220" s="2"/>
      <c r="N220" s="2" t="str">
        <f>DitrbFlota[[#This Row],[TIPO BUS]]&amp;"-"&amp;DitrbFlota[[#This Row],[MARCA CHASIS]]</f>
        <v>B2-SCANIA</v>
      </c>
      <c r="O220" s="2">
        <f>MONTH(DitrbFlota[[#This Row],[Inicio Operación]])</f>
        <v>1</v>
      </c>
      <c r="P220" s="2">
        <f>YEAR(DitrbFlota[[#This Row],[Inicio Operación]])</f>
        <v>2023</v>
      </c>
      <c r="Q220" s="29">
        <v>96</v>
      </c>
    </row>
    <row r="221" spans="1:18" hidden="1">
      <c r="A221" s="7" t="s">
        <v>10</v>
      </c>
      <c r="B221" s="2" t="s">
        <v>78</v>
      </c>
      <c r="C221" s="2">
        <v>2060</v>
      </c>
      <c r="D221" s="2" t="s">
        <v>34</v>
      </c>
      <c r="E221" s="2" t="s">
        <v>13</v>
      </c>
      <c r="F221" s="2" t="s">
        <v>36</v>
      </c>
      <c r="G221" s="277" t="s">
        <v>15</v>
      </c>
      <c r="H221" s="277" t="s">
        <v>15</v>
      </c>
      <c r="I221" s="277">
        <v>44912</v>
      </c>
      <c r="J221" s="2" t="s">
        <v>830</v>
      </c>
      <c r="K221" s="2" t="s">
        <v>837</v>
      </c>
      <c r="L221" s="2" t="s">
        <v>130</v>
      </c>
      <c r="M221" s="2"/>
      <c r="N221" s="2" t="str">
        <f>DitrbFlota[[#This Row],[TIPO BUS]]&amp;"-"&amp;DitrbFlota[[#This Row],[MARCA CHASIS]]</f>
        <v>B2-SCANIA</v>
      </c>
      <c r="O221" s="2">
        <f>MONTH(DitrbFlota[[#This Row],[Inicio Operación]])</f>
        <v>12</v>
      </c>
      <c r="P221" s="2">
        <f>YEAR(DitrbFlota[[#This Row],[Inicio Operación]])</f>
        <v>2022</v>
      </c>
      <c r="Q221" s="29">
        <v>96</v>
      </c>
    </row>
    <row r="222" spans="1:18" hidden="1">
      <c r="A222" s="7" t="s">
        <v>10</v>
      </c>
      <c r="B222" s="2" t="s">
        <v>82</v>
      </c>
      <c r="C222" s="2">
        <v>2061</v>
      </c>
      <c r="D222" s="2" t="s">
        <v>34</v>
      </c>
      <c r="E222" s="2" t="s">
        <v>13</v>
      </c>
      <c r="F222" s="2" t="s">
        <v>36</v>
      </c>
      <c r="G222" s="277" t="s">
        <v>15</v>
      </c>
      <c r="H222" s="277" t="s">
        <v>15</v>
      </c>
      <c r="I222" s="277">
        <v>44912</v>
      </c>
      <c r="J222" s="2" t="s">
        <v>830</v>
      </c>
      <c r="K222" s="2" t="s">
        <v>837</v>
      </c>
      <c r="L222" s="2" t="s">
        <v>130</v>
      </c>
      <c r="M222" s="2"/>
      <c r="N222" s="2" t="str">
        <f>DitrbFlota[[#This Row],[TIPO BUS]]&amp;"-"&amp;DitrbFlota[[#This Row],[MARCA CHASIS]]</f>
        <v>B2-SCANIA</v>
      </c>
      <c r="O222" s="2">
        <f>MONTH(DitrbFlota[[#This Row],[Inicio Operación]])</f>
        <v>12</v>
      </c>
      <c r="P222" s="2">
        <f>YEAR(DitrbFlota[[#This Row],[Inicio Operación]])</f>
        <v>2022</v>
      </c>
      <c r="Q222" s="29">
        <v>96</v>
      </c>
    </row>
    <row r="223" spans="1:18" hidden="1">
      <c r="A223" s="7" t="s">
        <v>10</v>
      </c>
      <c r="B223" s="2" t="s">
        <v>83</v>
      </c>
      <c r="C223" s="2">
        <v>2062</v>
      </c>
      <c r="D223" s="2" t="s">
        <v>34</v>
      </c>
      <c r="E223" s="2" t="s">
        <v>13</v>
      </c>
      <c r="F223" s="2" t="s">
        <v>36</v>
      </c>
      <c r="G223" s="277" t="s">
        <v>15</v>
      </c>
      <c r="H223" s="277" t="s">
        <v>15</v>
      </c>
      <c r="I223" s="277">
        <v>44912</v>
      </c>
      <c r="J223" s="2" t="s">
        <v>830</v>
      </c>
      <c r="K223" s="2" t="s">
        <v>837</v>
      </c>
      <c r="L223" s="2" t="s">
        <v>130</v>
      </c>
      <c r="M223" s="2"/>
      <c r="N223" s="2" t="str">
        <f>DitrbFlota[[#This Row],[TIPO BUS]]&amp;"-"&amp;DitrbFlota[[#This Row],[MARCA CHASIS]]</f>
        <v>B2-SCANIA</v>
      </c>
      <c r="O223" s="2">
        <f>MONTH(DitrbFlota[[#This Row],[Inicio Operación]])</f>
        <v>12</v>
      </c>
      <c r="P223" s="2">
        <f>YEAR(DitrbFlota[[#This Row],[Inicio Operación]])</f>
        <v>2022</v>
      </c>
      <c r="Q223" s="29">
        <v>96</v>
      </c>
    </row>
    <row r="224" spans="1:18" hidden="1">
      <c r="A224" s="7" t="s">
        <v>10</v>
      </c>
      <c r="B224" s="2" t="s">
        <v>84</v>
      </c>
      <c r="C224" s="2">
        <v>2063</v>
      </c>
      <c r="D224" s="2" t="s">
        <v>34</v>
      </c>
      <c r="E224" s="2" t="s">
        <v>13</v>
      </c>
      <c r="F224" s="2" t="s">
        <v>36</v>
      </c>
      <c r="G224" s="277" t="s">
        <v>15</v>
      </c>
      <c r="H224" s="277" t="s">
        <v>15</v>
      </c>
      <c r="I224" s="277">
        <v>44912</v>
      </c>
      <c r="J224" s="2" t="s">
        <v>830</v>
      </c>
      <c r="K224" s="2" t="s">
        <v>837</v>
      </c>
      <c r="L224" s="2" t="s">
        <v>130</v>
      </c>
      <c r="M224" s="2"/>
      <c r="N224" s="2" t="str">
        <f>DitrbFlota[[#This Row],[TIPO BUS]]&amp;"-"&amp;DitrbFlota[[#This Row],[MARCA CHASIS]]</f>
        <v>B2-SCANIA</v>
      </c>
      <c r="O224" s="2">
        <f>MONTH(DitrbFlota[[#This Row],[Inicio Operación]])</f>
        <v>12</v>
      </c>
      <c r="P224" s="2">
        <f>YEAR(DitrbFlota[[#This Row],[Inicio Operación]])</f>
        <v>2022</v>
      </c>
      <c r="Q224" s="29">
        <v>96</v>
      </c>
    </row>
    <row r="225" spans="1:17" hidden="1">
      <c r="A225" s="7" t="s">
        <v>10</v>
      </c>
      <c r="B225" s="2" t="s">
        <v>37</v>
      </c>
      <c r="C225" s="2">
        <v>2064</v>
      </c>
      <c r="D225" s="2" t="s">
        <v>34</v>
      </c>
      <c r="E225" s="2" t="s">
        <v>13</v>
      </c>
      <c r="F225" s="2" t="s">
        <v>36</v>
      </c>
      <c r="G225" s="277" t="s">
        <v>15</v>
      </c>
      <c r="H225" s="277" t="s">
        <v>15</v>
      </c>
      <c r="I225" s="277">
        <v>44933</v>
      </c>
      <c r="J225" s="2" t="s">
        <v>830</v>
      </c>
      <c r="K225" s="2" t="s">
        <v>837</v>
      </c>
      <c r="L225" s="2" t="s">
        <v>130</v>
      </c>
      <c r="M225" s="2"/>
      <c r="N225" s="2" t="str">
        <f>DitrbFlota[[#This Row],[TIPO BUS]]&amp;"-"&amp;DitrbFlota[[#This Row],[MARCA CHASIS]]</f>
        <v>B2-SCANIA</v>
      </c>
      <c r="O225" s="2">
        <f>MONTH(DitrbFlota[[#This Row],[Inicio Operación]])</f>
        <v>1</v>
      </c>
      <c r="P225" s="2">
        <f>YEAR(DitrbFlota[[#This Row],[Inicio Operación]])</f>
        <v>2023</v>
      </c>
      <c r="Q225" s="29">
        <v>96</v>
      </c>
    </row>
    <row r="226" spans="1:17" hidden="1">
      <c r="A226" s="7" t="s">
        <v>10</v>
      </c>
      <c r="B226" s="2" t="s">
        <v>85</v>
      </c>
      <c r="C226" s="2">
        <v>2067</v>
      </c>
      <c r="D226" s="2" t="s">
        <v>34</v>
      </c>
      <c r="E226" s="2" t="s">
        <v>13</v>
      </c>
      <c r="F226" s="2" t="s">
        <v>36</v>
      </c>
      <c r="G226" s="277" t="s">
        <v>15</v>
      </c>
      <c r="H226" s="277" t="s">
        <v>15</v>
      </c>
      <c r="I226" s="277">
        <v>44933</v>
      </c>
      <c r="J226" s="2" t="s">
        <v>830</v>
      </c>
      <c r="K226" s="2" t="s">
        <v>837</v>
      </c>
      <c r="L226" s="2" t="s">
        <v>130</v>
      </c>
      <c r="M226" s="2"/>
      <c r="N226" s="2" t="str">
        <f>DitrbFlota[[#This Row],[TIPO BUS]]&amp;"-"&amp;DitrbFlota[[#This Row],[MARCA CHASIS]]</f>
        <v>B2-SCANIA</v>
      </c>
      <c r="O226" s="2">
        <f>MONTH(DitrbFlota[[#This Row],[Inicio Operación]])</f>
        <v>1</v>
      </c>
      <c r="P226" s="2">
        <f>YEAR(DitrbFlota[[#This Row],[Inicio Operación]])</f>
        <v>2023</v>
      </c>
      <c r="Q226" s="29">
        <v>96</v>
      </c>
    </row>
    <row r="227" spans="1:17" hidden="1">
      <c r="A227" s="7" t="s">
        <v>10</v>
      </c>
      <c r="B227" s="2" t="s">
        <v>86</v>
      </c>
      <c r="C227" s="2">
        <v>2068</v>
      </c>
      <c r="D227" s="2" t="s">
        <v>34</v>
      </c>
      <c r="E227" s="2" t="s">
        <v>13</v>
      </c>
      <c r="F227" s="2" t="s">
        <v>36</v>
      </c>
      <c r="G227" s="277" t="s">
        <v>15</v>
      </c>
      <c r="H227" s="277" t="s">
        <v>15</v>
      </c>
      <c r="I227" s="277">
        <v>44928</v>
      </c>
      <c r="J227" s="2" t="s">
        <v>830</v>
      </c>
      <c r="K227" s="2" t="s">
        <v>837</v>
      </c>
      <c r="L227" s="2" t="s">
        <v>130</v>
      </c>
      <c r="M227" s="2"/>
      <c r="N227" s="2" t="str">
        <f>DitrbFlota[[#This Row],[TIPO BUS]]&amp;"-"&amp;DitrbFlota[[#This Row],[MARCA CHASIS]]</f>
        <v>B2-SCANIA</v>
      </c>
      <c r="O227" s="2">
        <f>MONTH(DitrbFlota[[#This Row],[Inicio Operación]])</f>
        <v>1</v>
      </c>
      <c r="P227" s="2">
        <f>YEAR(DitrbFlota[[#This Row],[Inicio Operación]])</f>
        <v>2023</v>
      </c>
      <c r="Q227" s="29">
        <v>96</v>
      </c>
    </row>
    <row r="228" spans="1:17" hidden="1">
      <c r="A228" s="7" t="s">
        <v>10</v>
      </c>
      <c r="B228" s="2" t="s">
        <v>77</v>
      </c>
      <c r="C228" s="2">
        <v>2069</v>
      </c>
      <c r="D228" s="2" t="s">
        <v>34</v>
      </c>
      <c r="E228" s="2" t="s">
        <v>13</v>
      </c>
      <c r="F228" s="2" t="s">
        <v>36</v>
      </c>
      <c r="G228" s="277" t="s">
        <v>15</v>
      </c>
      <c r="H228" s="277" t="s">
        <v>15</v>
      </c>
      <c r="I228" s="277">
        <v>44928</v>
      </c>
      <c r="J228" s="2" t="s">
        <v>830</v>
      </c>
      <c r="K228" s="2" t="s">
        <v>837</v>
      </c>
      <c r="L228" s="2" t="s">
        <v>130</v>
      </c>
      <c r="M228" s="2"/>
      <c r="N228" s="2" t="str">
        <f>DitrbFlota[[#This Row],[TIPO BUS]]&amp;"-"&amp;DitrbFlota[[#This Row],[MARCA CHASIS]]</f>
        <v>B2-SCANIA</v>
      </c>
      <c r="O228" s="2">
        <f>MONTH(DitrbFlota[[#This Row],[Inicio Operación]])</f>
        <v>1</v>
      </c>
      <c r="P228" s="2">
        <f>YEAR(DitrbFlota[[#This Row],[Inicio Operación]])</f>
        <v>2023</v>
      </c>
      <c r="Q228" s="29">
        <v>96</v>
      </c>
    </row>
    <row r="229" spans="1:17" hidden="1">
      <c r="A229" s="7" t="s">
        <v>10</v>
      </c>
      <c r="B229" s="2" t="s">
        <v>39</v>
      </c>
      <c r="C229" s="2">
        <v>2070</v>
      </c>
      <c r="D229" s="2" t="s">
        <v>34</v>
      </c>
      <c r="E229" s="2" t="s">
        <v>13</v>
      </c>
      <c r="F229" s="2" t="s">
        <v>36</v>
      </c>
      <c r="G229" s="277" t="s">
        <v>15</v>
      </c>
      <c r="H229" s="277" t="s">
        <v>15</v>
      </c>
      <c r="I229" s="277">
        <v>44912</v>
      </c>
      <c r="J229" s="2" t="s">
        <v>830</v>
      </c>
      <c r="K229" s="2" t="s">
        <v>837</v>
      </c>
      <c r="L229" s="2" t="s">
        <v>130</v>
      </c>
      <c r="M229" s="2"/>
      <c r="N229" s="2" t="str">
        <f>DitrbFlota[[#This Row],[TIPO BUS]]&amp;"-"&amp;DitrbFlota[[#This Row],[MARCA CHASIS]]</f>
        <v>B2-SCANIA</v>
      </c>
      <c r="O229" s="2">
        <f>MONTH(DitrbFlota[[#This Row],[Inicio Operación]])</f>
        <v>12</v>
      </c>
      <c r="P229" s="2">
        <f>YEAR(DitrbFlota[[#This Row],[Inicio Operación]])</f>
        <v>2022</v>
      </c>
      <c r="Q229" s="29">
        <v>96</v>
      </c>
    </row>
    <row r="230" spans="1:17" hidden="1">
      <c r="A230" s="7" t="s">
        <v>10</v>
      </c>
      <c r="B230" s="2" t="s">
        <v>80</v>
      </c>
      <c r="C230" s="2">
        <v>2072</v>
      </c>
      <c r="D230" s="2" t="s">
        <v>34</v>
      </c>
      <c r="E230" s="2" t="s">
        <v>13</v>
      </c>
      <c r="F230" s="2" t="s">
        <v>36</v>
      </c>
      <c r="G230" s="277" t="s">
        <v>15</v>
      </c>
      <c r="H230" s="277" t="s">
        <v>15</v>
      </c>
      <c r="I230" s="277">
        <v>44928</v>
      </c>
      <c r="J230" s="2" t="s">
        <v>830</v>
      </c>
      <c r="K230" s="2" t="s">
        <v>837</v>
      </c>
      <c r="L230" s="2" t="s">
        <v>130</v>
      </c>
      <c r="M230" s="2"/>
      <c r="N230" s="2" t="str">
        <f>DitrbFlota[[#This Row],[TIPO BUS]]&amp;"-"&amp;DitrbFlota[[#This Row],[MARCA CHASIS]]</f>
        <v>B2-SCANIA</v>
      </c>
      <c r="O230" s="2">
        <f>MONTH(DitrbFlota[[#This Row],[Inicio Operación]])</f>
        <v>1</v>
      </c>
      <c r="P230" s="2">
        <f>YEAR(DitrbFlota[[#This Row],[Inicio Operación]])</f>
        <v>2023</v>
      </c>
      <c r="Q230" s="29">
        <v>96</v>
      </c>
    </row>
    <row r="231" spans="1:17" hidden="1">
      <c r="A231" s="7" t="s">
        <v>10</v>
      </c>
      <c r="B231" s="2" t="s">
        <v>79</v>
      </c>
      <c r="C231" s="2">
        <v>2073</v>
      </c>
      <c r="D231" s="2" t="s">
        <v>34</v>
      </c>
      <c r="E231" s="2" t="s">
        <v>13</v>
      </c>
      <c r="F231" s="2" t="s">
        <v>36</v>
      </c>
      <c r="G231" s="277" t="s">
        <v>15</v>
      </c>
      <c r="H231" s="277" t="s">
        <v>15</v>
      </c>
      <c r="I231" s="277">
        <v>44933</v>
      </c>
      <c r="J231" s="2" t="s">
        <v>830</v>
      </c>
      <c r="K231" s="2" t="s">
        <v>837</v>
      </c>
      <c r="L231" s="2" t="s">
        <v>130</v>
      </c>
      <c r="M231" s="2"/>
      <c r="N231" s="2" t="str">
        <f>DitrbFlota[[#This Row],[TIPO BUS]]&amp;"-"&amp;DitrbFlota[[#This Row],[MARCA CHASIS]]</f>
        <v>B2-SCANIA</v>
      </c>
      <c r="O231" s="2">
        <f>MONTH(DitrbFlota[[#This Row],[Inicio Operación]])</f>
        <v>1</v>
      </c>
      <c r="P231" s="2">
        <f>YEAR(DitrbFlota[[#This Row],[Inicio Operación]])</f>
        <v>2023</v>
      </c>
      <c r="Q231" s="29">
        <v>96</v>
      </c>
    </row>
    <row r="232" spans="1:17" hidden="1">
      <c r="A232" s="7" t="s">
        <v>10</v>
      </c>
      <c r="B232" s="2" t="s">
        <v>40</v>
      </c>
      <c r="C232" s="2">
        <v>4035</v>
      </c>
      <c r="D232" s="2" t="s">
        <v>38</v>
      </c>
      <c r="E232" s="2" t="s">
        <v>13</v>
      </c>
      <c r="F232" s="2" t="s">
        <v>14</v>
      </c>
      <c r="G232" s="277" t="s">
        <v>15</v>
      </c>
      <c r="H232" s="277" t="s">
        <v>15</v>
      </c>
      <c r="I232" s="277">
        <v>44928</v>
      </c>
      <c r="J232" s="2" t="s">
        <v>1341</v>
      </c>
      <c r="K232" s="2" t="s">
        <v>837</v>
      </c>
      <c r="L232" s="2" t="s">
        <v>15</v>
      </c>
      <c r="M232" s="2"/>
      <c r="N232" s="2" t="str">
        <f>DitrbFlota[[#This Row],[TIPO BUS]]&amp;"-"&amp;DitrbFlota[[#This Row],[MARCA CHASIS]]</f>
        <v>C2-VOLVO</v>
      </c>
      <c r="O232" s="2">
        <f>MONTH(DitrbFlota[[#This Row],[Inicio Operación]])</f>
        <v>1</v>
      </c>
      <c r="P232" s="2">
        <f>YEAR(DitrbFlota[[#This Row],[Inicio Operación]])</f>
        <v>2023</v>
      </c>
      <c r="Q232" s="29">
        <v>156</v>
      </c>
    </row>
    <row r="233" spans="1:17" hidden="1">
      <c r="A233" s="7" t="s">
        <v>10</v>
      </c>
      <c r="B233" s="2" t="s">
        <v>42</v>
      </c>
      <c r="C233" s="2">
        <v>4036</v>
      </c>
      <c r="D233" s="2" t="s">
        <v>38</v>
      </c>
      <c r="E233" s="2" t="s">
        <v>13</v>
      </c>
      <c r="F233" s="2" t="s">
        <v>14</v>
      </c>
      <c r="G233" s="277" t="s">
        <v>15</v>
      </c>
      <c r="H233" s="277" t="s">
        <v>15</v>
      </c>
      <c r="I233" s="277">
        <v>44928</v>
      </c>
      <c r="J233" s="2" t="s">
        <v>1341</v>
      </c>
      <c r="K233" s="2" t="s">
        <v>837</v>
      </c>
      <c r="L233" s="2" t="s">
        <v>15</v>
      </c>
      <c r="M233" s="2"/>
      <c r="N233" s="2" t="str">
        <f>DitrbFlota[[#This Row],[TIPO BUS]]&amp;"-"&amp;DitrbFlota[[#This Row],[MARCA CHASIS]]</f>
        <v>C2-VOLVO</v>
      </c>
      <c r="O233" s="2">
        <f>MONTH(DitrbFlota[[#This Row],[Inicio Operación]])</f>
        <v>1</v>
      </c>
      <c r="P233" s="2">
        <f>YEAR(DitrbFlota[[#This Row],[Inicio Operación]])</f>
        <v>2023</v>
      </c>
      <c r="Q233" s="29">
        <v>156</v>
      </c>
    </row>
    <row r="234" spans="1:17" hidden="1">
      <c r="A234" s="7" t="s">
        <v>10</v>
      </c>
      <c r="B234" s="2" t="s">
        <v>43</v>
      </c>
      <c r="C234" s="2">
        <v>4038</v>
      </c>
      <c r="D234" s="2" t="s">
        <v>38</v>
      </c>
      <c r="E234" s="2" t="s">
        <v>13</v>
      </c>
      <c r="F234" s="2" t="s">
        <v>14</v>
      </c>
      <c r="G234" s="277" t="s">
        <v>15</v>
      </c>
      <c r="H234" s="277" t="s">
        <v>15</v>
      </c>
      <c r="I234" s="277">
        <v>44928</v>
      </c>
      <c r="J234" s="2" t="s">
        <v>1341</v>
      </c>
      <c r="K234" s="2" t="s">
        <v>837</v>
      </c>
      <c r="L234" s="2" t="s">
        <v>15</v>
      </c>
      <c r="M234" s="2"/>
      <c r="N234" s="2" t="str">
        <f>DitrbFlota[[#This Row],[TIPO BUS]]&amp;"-"&amp;DitrbFlota[[#This Row],[MARCA CHASIS]]</f>
        <v>C2-VOLVO</v>
      </c>
      <c r="O234" s="2">
        <f>MONTH(DitrbFlota[[#This Row],[Inicio Operación]])</f>
        <v>1</v>
      </c>
      <c r="P234" s="2">
        <f>YEAR(DitrbFlota[[#This Row],[Inicio Operación]])</f>
        <v>2023</v>
      </c>
      <c r="Q234" s="29">
        <v>156</v>
      </c>
    </row>
    <row r="235" spans="1:17" hidden="1">
      <c r="A235" s="7" t="s">
        <v>10</v>
      </c>
      <c r="B235" s="2" t="s">
        <v>44</v>
      </c>
      <c r="C235" s="2">
        <v>4040</v>
      </c>
      <c r="D235" s="2" t="s">
        <v>38</v>
      </c>
      <c r="E235" s="2" t="s">
        <v>13</v>
      </c>
      <c r="F235" s="2" t="s">
        <v>14</v>
      </c>
      <c r="G235" s="277" t="s">
        <v>15</v>
      </c>
      <c r="H235" s="277" t="s">
        <v>15</v>
      </c>
      <c r="I235" s="277">
        <v>44928</v>
      </c>
      <c r="J235" s="2" t="s">
        <v>1341</v>
      </c>
      <c r="K235" s="2" t="s">
        <v>837</v>
      </c>
      <c r="L235" s="2" t="s">
        <v>15</v>
      </c>
      <c r="M235" s="2"/>
      <c r="N235" s="2" t="str">
        <f>DitrbFlota[[#This Row],[TIPO BUS]]&amp;"-"&amp;DitrbFlota[[#This Row],[MARCA CHASIS]]</f>
        <v>C2-VOLVO</v>
      </c>
      <c r="O235" s="2">
        <f>MONTH(DitrbFlota[[#This Row],[Inicio Operación]])</f>
        <v>1</v>
      </c>
      <c r="P235" s="2">
        <f>YEAR(DitrbFlota[[#This Row],[Inicio Operación]])</f>
        <v>2023</v>
      </c>
      <c r="Q235" s="29">
        <v>156</v>
      </c>
    </row>
    <row r="236" spans="1:17" hidden="1">
      <c r="A236" s="7" t="s">
        <v>10</v>
      </c>
      <c r="B236" s="2" t="s">
        <v>46</v>
      </c>
      <c r="C236" s="2">
        <v>4043</v>
      </c>
      <c r="D236" s="2" t="s">
        <v>38</v>
      </c>
      <c r="E236" s="2" t="s">
        <v>25</v>
      </c>
      <c r="F236" s="2" t="s">
        <v>14</v>
      </c>
      <c r="G236" s="277" t="s">
        <v>15</v>
      </c>
      <c r="H236" s="277" t="s">
        <v>15</v>
      </c>
      <c r="I236" s="277">
        <v>44928</v>
      </c>
      <c r="J236" s="2" t="s">
        <v>1341</v>
      </c>
      <c r="K236" s="2" t="s">
        <v>837</v>
      </c>
      <c r="L236" s="2" t="s">
        <v>15</v>
      </c>
      <c r="M236" s="2"/>
      <c r="N236" s="2" t="str">
        <f>DitrbFlota[[#This Row],[TIPO BUS]]&amp;"-"&amp;DitrbFlota[[#This Row],[MARCA CHASIS]]</f>
        <v>C2-VOLVO</v>
      </c>
      <c r="O236" s="2">
        <f>MONTH(DitrbFlota[[#This Row],[Inicio Operación]])</f>
        <v>1</v>
      </c>
      <c r="P236" s="2">
        <f>YEAR(DitrbFlota[[#This Row],[Inicio Operación]])</f>
        <v>2023</v>
      </c>
      <c r="Q236" s="29">
        <v>156</v>
      </c>
    </row>
    <row r="237" spans="1:17" hidden="1">
      <c r="A237" s="7" t="s">
        <v>10</v>
      </c>
      <c r="B237" s="2" t="s">
        <v>48</v>
      </c>
      <c r="C237" s="2">
        <v>4044</v>
      </c>
      <c r="D237" s="2" t="s">
        <v>38</v>
      </c>
      <c r="E237" s="2" t="s">
        <v>13</v>
      </c>
      <c r="F237" s="2" t="s">
        <v>14</v>
      </c>
      <c r="G237" s="277" t="s">
        <v>15</v>
      </c>
      <c r="H237" s="277" t="s">
        <v>15</v>
      </c>
      <c r="I237" s="277">
        <v>44928</v>
      </c>
      <c r="J237" s="2" t="s">
        <v>1341</v>
      </c>
      <c r="K237" s="2" t="s">
        <v>837</v>
      </c>
      <c r="L237" s="2" t="s">
        <v>15</v>
      </c>
      <c r="M237" s="2"/>
      <c r="N237" s="2" t="str">
        <f>DitrbFlota[[#This Row],[TIPO BUS]]&amp;"-"&amp;DitrbFlota[[#This Row],[MARCA CHASIS]]</f>
        <v>C2-VOLVO</v>
      </c>
      <c r="O237" s="2">
        <f>MONTH(DitrbFlota[[#This Row],[Inicio Operación]])</f>
        <v>1</v>
      </c>
      <c r="P237" s="2">
        <f>YEAR(DitrbFlota[[#This Row],[Inicio Operación]])</f>
        <v>2023</v>
      </c>
      <c r="Q237" s="29">
        <v>156</v>
      </c>
    </row>
    <row r="238" spans="1:17" hidden="1">
      <c r="A238" s="7" t="s">
        <v>10</v>
      </c>
      <c r="B238" s="2" t="s">
        <v>49</v>
      </c>
      <c r="C238" s="2">
        <v>4046</v>
      </c>
      <c r="D238" s="2" t="s">
        <v>38</v>
      </c>
      <c r="E238" s="2" t="s">
        <v>13</v>
      </c>
      <c r="F238" s="2" t="s">
        <v>14</v>
      </c>
      <c r="G238" s="277" t="s">
        <v>15</v>
      </c>
      <c r="H238" s="277" t="s">
        <v>15</v>
      </c>
      <c r="I238" s="277">
        <v>44928</v>
      </c>
      <c r="J238" s="2" t="s">
        <v>1341</v>
      </c>
      <c r="K238" s="2" t="s">
        <v>837</v>
      </c>
      <c r="L238" s="2" t="s">
        <v>15</v>
      </c>
      <c r="M238" s="2"/>
      <c r="N238" s="2" t="str">
        <f>DitrbFlota[[#This Row],[TIPO BUS]]&amp;"-"&amp;DitrbFlota[[#This Row],[MARCA CHASIS]]</f>
        <v>C2-VOLVO</v>
      </c>
      <c r="O238" s="2">
        <f>MONTH(DitrbFlota[[#This Row],[Inicio Operación]])</f>
        <v>1</v>
      </c>
      <c r="P238" s="2">
        <f>YEAR(DitrbFlota[[#This Row],[Inicio Operación]])</f>
        <v>2023</v>
      </c>
      <c r="Q238" s="29">
        <v>156</v>
      </c>
    </row>
    <row r="239" spans="1:17" hidden="1">
      <c r="A239" s="7" t="s">
        <v>10</v>
      </c>
      <c r="B239" s="2" t="s">
        <v>50</v>
      </c>
      <c r="C239" s="2">
        <v>4048</v>
      </c>
      <c r="D239" s="2" t="s">
        <v>38</v>
      </c>
      <c r="E239" s="2" t="s">
        <v>13</v>
      </c>
      <c r="F239" s="2" t="s">
        <v>14</v>
      </c>
      <c r="G239" s="277" t="s">
        <v>15</v>
      </c>
      <c r="H239" s="277" t="s">
        <v>15</v>
      </c>
      <c r="I239" s="277">
        <v>44928</v>
      </c>
      <c r="J239" s="2" t="s">
        <v>1341</v>
      </c>
      <c r="K239" s="2" t="s">
        <v>837</v>
      </c>
      <c r="L239" s="2" t="s">
        <v>15</v>
      </c>
      <c r="M239" s="2"/>
      <c r="N239" s="2" t="str">
        <f>DitrbFlota[[#This Row],[TIPO BUS]]&amp;"-"&amp;DitrbFlota[[#This Row],[MARCA CHASIS]]</f>
        <v>C2-VOLVO</v>
      </c>
      <c r="O239" s="2">
        <f>MONTH(DitrbFlota[[#This Row],[Inicio Operación]])</f>
        <v>1</v>
      </c>
      <c r="P239" s="2">
        <f>YEAR(DitrbFlota[[#This Row],[Inicio Operación]])</f>
        <v>2023</v>
      </c>
      <c r="Q239" s="29">
        <v>156</v>
      </c>
    </row>
    <row r="240" spans="1:17" hidden="1">
      <c r="A240" s="7" t="s">
        <v>10</v>
      </c>
      <c r="B240" s="2" t="s">
        <v>51</v>
      </c>
      <c r="C240" s="2">
        <v>4049</v>
      </c>
      <c r="D240" s="2" t="s">
        <v>38</v>
      </c>
      <c r="E240" s="2" t="s">
        <v>13</v>
      </c>
      <c r="F240" s="2" t="s">
        <v>14</v>
      </c>
      <c r="G240" s="277" t="s">
        <v>15</v>
      </c>
      <c r="H240" s="277" t="s">
        <v>15</v>
      </c>
      <c r="I240" s="277">
        <v>44928</v>
      </c>
      <c r="J240" s="2" t="s">
        <v>1341</v>
      </c>
      <c r="K240" s="2" t="s">
        <v>837</v>
      </c>
      <c r="L240" s="2" t="s">
        <v>15</v>
      </c>
      <c r="M240" s="2"/>
      <c r="N240" s="2" t="str">
        <f>DitrbFlota[[#This Row],[TIPO BUS]]&amp;"-"&amp;DitrbFlota[[#This Row],[MARCA CHASIS]]</f>
        <v>C2-VOLVO</v>
      </c>
      <c r="O240" s="2">
        <f>MONTH(DitrbFlota[[#This Row],[Inicio Operación]])</f>
        <v>1</v>
      </c>
      <c r="P240" s="2">
        <f>YEAR(DitrbFlota[[#This Row],[Inicio Operación]])</f>
        <v>2023</v>
      </c>
      <c r="Q240" s="29">
        <v>156</v>
      </c>
    </row>
    <row r="241" spans="1:17" hidden="1">
      <c r="A241" s="7" t="s">
        <v>10</v>
      </c>
      <c r="B241" s="2" t="s">
        <v>52</v>
      </c>
      <c r="C241" s="2">
        <v>4050</v>
      </c>
      <c r="D241" s="2" t="s">
        <v>38</v>
      </c>
      <c r="E241" s="2" t="s">
        <v>13</v>
      </c>
      <c r="F241" s="2" t="s">
        <v>14</v>
      </c>
      <c r="G241" s="277" t="s">
        <v>15</v>
      </c>
      <c r="H241" s="277" t="s">
        <v>15</v>
      </c>
      <c r="I241" s="277">
        <v>44928</v>
      </c>
      <c r="J241" s="2" t="s">
        <v>1341</v>
      </c>
      <c r="K241" s="2" t="s">
        <v>837</v>
      </c>
      <c r="L241" s="2" t="s">
        <v>15</v>
      </c>
      <c r="M241" s="2"/>
      <c r="N241" s="2" t="str">
        <f>DitrbFlota[[#This Row],[TIPO BUS]]&amp;"-"&amp;DitrbFlota[[#This Row],[MARCA CHASIS]]</f>
        <v>C2-VOLVO</v>
      </c>
      <c r="O241" s="2">
        <f>MONTH(DitrbFlota[[#This Row],[Inicio Operación]])</f>
        <v>1</v>
      </c>
      <c r="P241" s="2">
        <f>YEAR(DitrbFlota[[#This Row],[Inicio Operación]])</f>
        <v>2023</v>
      </c>
      <c r="Q241" s="29">
        <v>156</v>
      </c>
    </row>
    <row r="242" spans="1:17" hidden="1">
      <c r="A242" s="7" t="s">
        <v>10</v>
      </c>
      <c r="B242" s="2" t="s">
        <v>53</v>
      </c>
      <c r="C242" s="2">
        <v>4052</v>
      </c>
      <c r="D242" s="2" t="s">
        <v>38</v>
      </c>
      <c r="E242" s="2" t="s">
        <v>13</v>
      </c>
      <c r="F242" s="2" t="s">
        <v>14</v>
      </c>
      <c r="G242" s="277" t="s">
        <v>15</v>
      </c>
      <c r="H242" s="277" t="s">
        <v>15</v>
      </c>
      <c r="I242" s="277">
        <v>44928</v>
      </c>
      <c r="J242" s="2" t="s">
        <v>1341</v>
      </c>
      <c r="K242" s="2" t="s">
        <v>837</v>
      </c>
      <c r="L242" s="2" t="s">
        <v>15</v>
      </c>
      <c r="M242" s="2"/>
      <c r="N242" s="2" t="str">
        <f>DitrbFlota[[#This Row],[TIPO BUS]]&amp;"-"&amp;DitrbFlota[[#This Row],[MARCA CHASIS]]</f>
        <v>C2-VOLVO</v>
      </c>
      <c r="O242" s="2">
        <f>MONTH(DitrbFlota[[#This Row],[Inicio Operación]])</f>
        <v>1</v>
      </c>
      <c r="P242" s="2">
        <f>YEAR(DitrbFlota[[#This Row],[Inicio Operación]])</f>
        <v>2023</v>
      </c>
      <c r="Q242" s="29">
        <v>156</v>
      </c>
    </row>
    <row r="243" spans="1:17" hidden="1">
      <c r="A243" s="7" t="s">
        <v>10</v>
      </c>
      <c r="B243" s="2" t="s">
        <v>54</v>
      </c>
      <c r="C243" s="2">
        <v>4057</v>
      </c>
      <c r="D243" s="2" t="s">
        <v>38</v>
      </c>
      <c r="E243" s="2" t="s">
        <v>13</v>
      </c>
      <c r="F243" s="2" t="s">
        <v>14</v>
      </c>
      <c r="G243" s="277" t="s">
        <v>15</v>
      </c>
      <c r="H243" s="277" t="s">
        <v>15</v>
      </c>
      <c r="I243" s="277">
        <v>44928</v>
      </c>
      <c r="J243" s="2" t="s">
        <v>1341</v>
      </c>
      <c r="K243" s="2" t="s">
        <v>837</v>
      </c>
      <c r="L243" s="2" t="s">
        <v>15</v>
      </c>
      <c r="M243" s="2"/>
      <c r="N243" s="2" t="str">
        <f>DitrbFlota[[#This Row],[TIPO BUS]]&amp;"-"&amp;DitrbFlota[[#This Row],[MARCA CHASIS]]</f>
        <v>C2-VOLVO</v>
      </c>
      <c r="O243" s="2">
        <f>MONTH(DitrbFlota[[#This Row],[Inicio Operación]])</f>
        <v>1</v>
      </c>
      <c r="P243" s="2">
        <f>YEAR(DitrbFlota[[#This Row],[Inicio Operación]])</f>
        <v>2023</v>
      </c>
      <c r="Q243" s="29">
        <v>156</v>
      </c>
    </row>
    <row r="244" spans="1:17" hidden="1">
      <c r="A244" s="7" t="s">
        <v>10</v>
      </c>
      <c r="B244" s="2" t="s">
        <v>55</v>
      </c>
      <c r="C244" s="2">
        <v>4058</v>
      </c>
      <c r="D244" s="2" t="s">
        <v>38</v>
      </c>
      <c r="E244" s="2" t="s">
        <v>13</v>
      </c>
      <c r="F244" s="2" t="s">
        <v>14</v>
      </c>
      <c r="G244" s="277" t="s">
        <v>15</v>
      </c>
      <c r="H244" s="277" t="s">
        <v>15</v>
      </c>
      <c r="I244" s="277">
        <v>44928</v>
      </c>
      <c r="J244" s="2" t="s">
        <v>1341</v>
      </c>
      <c r="K244" s="2" t="s">
        <v>837</v>
      </c>
      <c r="L244" s="2" t="s">
        <v>15</v>
      </c>
      <c r="M244" s="2"/>
      <c r="N244" s="2" t="str">
        <f>DitrbFlota[[#This Row],[TIPO BUS]]&amp;"-"&amp;DitrbFlota[[#This Row],[MARCA CHASIS]]</f>
        <v>C2-VOLVO</v>
      </c>
      <c r="O244" s="2">
        <f>MONTH(DitrbFlota[[#This Row],[Inicio Operación]])</f>
        <v>1</v>
      </c>
      <c r="P244" s="2">
        <f>YEAR(DitrbFlota[[#This Row],[Inicio Operación]])</f>
        <v>2023</v>
      </c>
      <c r="Q244" s="29">
        <v>156</v>
      </c>
    </row>
    <row r="245" spans="1:17" hidden="1">
      <c r="A245" s="7" t="s">
        <v>10</v>
      </c>
      <c r="B245" s="2" t="s">
        <v>56</v>
      </c>
      <c r="C245" s="2">
        <v>4059</v>
      </c>
      <c r="D245" s="2" t="s">
        <v>38</v>
      </c>
      <c r="E245" s="2" t="s">
        <v>13</v>
      </c>
      <c r="F245" s="2" t="s">
        <v>14</v>
      </c>
      <c r="G245" s="277" t="s">
        <v>15</v>
      </c>
      <c r="H245" s="277" t="s">
        <v>15</v>
      </c>
      <c r="I245" s="277">
        <v>44928</v>
      </c>
      <c r="J245" s="2" t="s">
        <v>1341</v>
      </c>
      <c r="K245" s="2" t="s">
        <v>837</v>
      </c>
      <c r="L245" s="2" t="s">
        <v>15</v>
      </c>
      <c r="M245" s="2"/>
      <c r="N245" s="2" t="str">
        <f>DitrbFlota[[#This Row],[TIPO BUS]]&amp;"-"&amp;DitrbFlota[[#This Row],[MARCA CHASIS]]</f>
        <v>C2-VOLVO</v>
      </c>
      <c r="O245" s="2">
        <f>MONTH(DitrbFlota[[#This Row],[Inicio Operación]])</f>
        <v>1</v>
      </c>
      <c r="P245" s="2">
        <f>YEAR(DitrbFlota[[#This Row],[Inicio Operación]])</f>
        <v>2023</v>
      </c>
      <c r="Q245" s="29">
        <v>156</v>
      </c>
    </row>
    <row r="246" spans="1:17" hidden="1">
      <c r="A246" s="7" t="s">
        <v>10</v>
      </c>
      <c r="B246" s="2" t="s">
        <v>57</v>
      </c>
      <c r="C246" s="2">
        <v>4061</v>
      </c>
      <c r="D246" s="2" t="s">
        <v>38</v>
      </c>
      <c r="E246" s="2" t="s">
        <v>13</v>
      </c>
      <c r="F246" s="2" t="s">
        <v>14</v>
      </c>
      <c r="G246" s="277" t="s">
        <v>15</v>
      </c>
      <c r="H246" s="277" t="s">
        <v>15</v>
      </c>
      <c r="I246" s="277">
        <v>44928</v>
      </c>
      <c r="J246" s="2" t="s">
        <v>1341</v>
      </c>
      <c r="K246" s="2" t="s">
        <v>837</v>
      </c>
      <c r="L246" s="2" t="s">
        <v>15</v>
      </c>
      <c r="M246" s="2"/>
      <c r="N246" s="2" t="str">
        <f>DitrbFlota[[#This Row],[TIPO BUS]]&amp;"-"&amp;DitrbFlota[[#This Row],[MARCA CHASIS]]</f>
        <v>C2-VOLVO</v>
      </c>
      <c r="O246" s="2">
        <f>MONTH(DitrbFlota[[#This Row],[Inicio Operación]])</f>
        <v>1</v>
      </c>
      <c r="P246" s="2">
        <f>YEAR(DitrbFlota[[#This Row],[Inicio Operación]])</f>
        <v>2023</v>
      </c>
      <c r="Q246" s="29">
        <v>156</v>
      </c>
    </row>
    <row r="247" spans="1:17" hidden="1">
      <c r="A247" s="7" t="s">
        <v>10</v>
      </c>
      <c r="B247" s="2" t="s">
        <v>58</v>
      </c>
      <c r="C247" s="2">
        <v>4063</v>
      </c>
      <c r="D247" s="2" t="s">
        <v>38</v>
      </c>
      <c r="E247" s="2" t="s">
        <v>13</v>
      </c>
      <c r="F247" s="2" t="s">
        <v>14</v>
      </c>
      <c r="G247" s="277" t="s">
        <v>15</v>
      </c>
      <c r="H247" s="277" t="s">
        <v>15</v>
      </c>
      <c r="I247" s="277">
        <v>44928</v>
      </c>
      <c r="J247" s="2" t="s">
        <v>1341</v>
      </c>
      <c r="K247" s="2" t="s">
        <v>837</v>
      </c>
      <c r="L247" s="2" t="s">
        <v>15</v>
      </c>
      <c r="M247" s="2"/>
      <c r="N247" s="2" t="str">
        <f>DitrbFlota[[#This Row],[TIPO BUS]]&amp;"-"&amp;DitrbFlota[[#This Row],[MARCA CHASIS]]</f>
        <v>C2-VOLVO</v>
      </c>
      <c r="O247" s="2">
        <f>MONTH(DitrbFlota[[#This Row],[Inicio Operación]])</f>
        <v>1</v>
      </c>
      <c r="P247" s="2">
        <f>YEAR(DitrbFlota[[#This Row],[Inicio Operación]])</f>
        <v>2023</v>
      </c>
      <c r="Q247" s="29">
        <v>156</v>
      </c>
    </row>
    <row r="248" spans="1:17" hidden="1">
      <c r="A248" s="7" t="s">
        <v>10</v>
      </c>
      <c r="B248" s="2" t="s">
        <v>59</v>
      </c>
      <c r="C248" s="2">
        <v>4064</v>
      </c>
      <c r="D248" s="2" t="s">
        <v>38</v>
      </c>
      <c r="E248" s="2" t="s">
        <v>13</v>
      </c>
      <c r="F248" s="2" t="s">
        <v>14</v>
      </c>
      <c r="G248" s="277" t="s">
        <v>15</v>
      </c>
      <c r="H248" s="277" t="s">
        <v>15</v>
      </c>
      <c r="I248" s="277">
        <v>44928</v>
      </c>
      <c r="J248" s="2" t="s">
        <v>1341</v>
      </c>
      <c r="K248" s="2" t="s">
        <v>837</v>
      </c>
      <c r="L248" s="2" t="s">
        <v>15</v>
      </c>
      <c r="M248" s="2"/>
      <c r="N248" s="2" t="str">
        <f>DitrbFlota[[#This Row],[TIPO BUS]]&amp;"-"&amp;DitrbFlota[[#This Row],[MARCA CHASIS]]</f>
        <v>C2-VOLVO</v>
      </c>
      <c r="O248" s="2">
        <f>MONTH(DitrbFlota[[#This Row],[Inicio Operación]])</f>
        <v>1</v>
      </c>
      <c r="P248" s="2">
        <f>YEAR(DitrbFlota[[#This Row],[Inicio Operación]])</f>
        <v>2023</v>
      </c>
      <c r="Q248" s="29">
        <v>156</v>
      </c>
    </row>
    <row r="249" spans="1:17" hidden="1">
      <c r="A249" s="7" t="s">
        <v>10</v>
      </c>
      <c r="B249" s="2" t="s">
        <v>60</v>
      </c>
      <c r="C249" s="2">
        <v>4067</v>
      </c>
      <c r="D249" s="2" t="s">
        <v>38</v>
      </c>
      <c r="E249" s="2" t="s">
        <v>13</v>
      </c>
      <c r="F249" s="2" t="s">
        <v>14</v>
      </c>
      <c r="G249" s="277" t="s">
        <v>15</v>
      </c>
      <c r="H249" s="277" t="s">
        <v>15</v>
      </c>
      <c r="I249" s="277">
        <v>44933</v>
      </c>
      <c r="J249" s="2" t="s">
        <v>1341</v>
      </c>
      <c r="K249" s="2" t="s">
        <v>837</v>
      </c>
      <c r="L249" s="2" t="s">
        <v>15</v>
      </c>
      <c r="M249" s="2"/>
      <c r="N249" s="2" t="str">
        <f>DitrbFlota[[#This Row],[TIPO BUS]]&amp;"-"&amp;DitrbFlota[[#This Row],[MARCA CHASIS]]</f>
        <v>C2-VOLVO</v>
      </c>
      <c r="O249" s="2">
        <f>MONTH(DitrbFlota[[#This Row],[Inicio Operación]])</f>
        <v>1</v>
      </c>
      <c r="P249" s="2">
        <f>YEAR(DitrbFlota[[#This Row],[Inicio Operación]])</f>
        <v>2023</v>
      </c>
      <c r="Q249" s="29">
        <v>156</v>
      </c>
    </row>
    <row r="250" spans="1:17" hidden="1">
      <c r="A250" s="7" t="s">
        <v>10</v>
      </c>
      <c r="B250" s="2" t="s">
        <v>61</v>
      </c>
      <c r="C250" s="2">
        <v>4069</v>
      </c>
      <c r="D250" s="2" t="s">
        <v>38</v>
      </c>
      <c r="E250" s="2" t="s">
        <v>13</v>
      </c>
      <c r="F250" s="2" t="s">
        <v>14</v>
      </c>
      <c r="G250" s="277" t="s">
        <v>15</v>
      </c>
      <c r="H250" s="277" t="s">
        <v>15</v>
      </c>
      <c r="I250" s="277">
        <v>44933</v>
      </c>
      <c r="J250" s="2" t="s">
        <v>1341</v>
      </c>
      <c r="K250" s="2" t="s">
        <v>837</v>
      </c>
      <c r="L250" s="2" t="s">
        <v>15</v>
      </c>
      <c r="M250" s="2"/>
      <c r="N250" s="2" t="str">
        <f>DitrbFlota[[#This Row],[TIPO BUS]]&amp;"-"&amp;DitrbFlota[[#This Row],[MARCA CHASIS]]</f>
        <v>C2-VOLVO</v>
      </c>
      <c r="O250" s="2">
        <f>MONTH(DitrbFlota[[#This Row],[Inicio Operación]])</f>
        <v>1</v>
      </c>
      <c r="P250" s="2">
        <f>YEAR(DitrbFlota[[#This Row],[Inicio Operación]])</f>
        <v>2023</v>
      </c>
      <c r="Q250" s="29">
        <v>156</v>
      </c>
    </row>
    <row r="251" spans="1:17">
      <c r="A251" s="7" t="s">
        <v>421</v>
      </c>
      <c r="B251" s="2" t="s">
        <v>514</v>
      </c>
      <c r="C251" s="2">
        <v>6027</v>
      </c>
      <c r="D251" s="2" t="s">
        <v>34</v>
      </c>
      <c r="E251" s="2" t="s">
        <v>13</v>
      </c>
      <c r="F251" s="2" t="s">
        <v>145</v>
      </c>
      <c r="G251" s="277" t="s">
        <v>674</v>
      </c>
      <c r="H251" s="277" t="s">
        <v>674</v>
      </c>
      <c r="I251" s="277">
        <v>45003</v>
      </c>
      <c r="J251" s="2" t="s">
        <v>830</v>
      </c>
      <c r="K251" s="2" t="s">
        <v>841</v>
      </c>
      <c r="L251" s="2" t="s">
        <v>493</v>
      </c>
      <c r="M251" s="2"/>
      <c r="N251" s="2" t="str">
        <f>DitrbFlota[[#This Row],[TIPO BUS]]&amp;"-"&amp;DitrbFlota[[#This Row],[MARCA CHASIS]]</f>
        <v>B2-MERCEDES BENZ</v>
      </c>
      <c r="O251" s="2">
        <f>MONTH(DitrbFlota[[#This Row],[Inicio Operación]])</f>
        <v>3</v>
      </c>
      <c r="P251" s="2">
        <f>YEAR(DitrbFlota[[#This Row],[Inicio Operación]])</f>
        <v>2023</v>
      </c>
      <c r="Q251" s="29">
        <v>95</v>
      </c>
    </row>
    <row r="252" spans="1:17">
      <c r="A252" s="7" t="s">
        <v>421</v>
      </c>
      <c r="B252" s="2" t="s">
        <v>515</v>
      </c>
      <c r="C252" s="2">
        <v>6028</v>
      </c>
      <c r="D252" s="2" t="s">
        <v>34</v>
      </c>
      <c r="E252" s="2" t="s">
        <v>25</v>
      </c>
      <c r="F252" s="2" t="s">
        <v>145</v>
      </c>
      <c r="G252" s="277" t="s">
        <v>674</v>
      </c>
      <c r="H252" s="277" t="s">
        <v>674</v>
      </c>
      <c r="I252" s="277">
        <v>45003</v>
      </c>
      <c r="J252" s="2" t="s">
        <v>830</v>
      </c>
      <c r="K252" s="2" t="s">
        <v>841</v>
      </c>
      <c r="L252" s="2" t="s">
        <v>493</v>
      </c>
      <c r="M252" s="2"/>
      <c r="N252" s="2" t="str">
        <f>DitrbFlota[[#This Row],[TIPO BUS]]&amp;"-"&amp;DitrbFlota[[#This Row],[MARCA CHASIS]]</f>
        <v>B2-MERCEDES BENZ</v>
      </c>
      <c r="O252" s="2">
        <f>MONTH(DitrbFlota[[#This Row],[Inicio Operación]])</f>
        <v>3</v>
      </c>
      <c r="P252" s="2">
        <f>YEAR(DitrbFlota[[#This Row],[Inicio Operación]])</f>
        <v>2023</v>
      </c>
      <c r="Q252" s="29">
        <v>95</v>
      </c>
    </row>
    <row r="253" spans="1:17">
      <c r="A253" s="7" t="s">
        <v>421</v>
      </c>
      <c r="B253" s="2" t="s">
        <v>516</v>
      </c>
      <c r="C253" s="2">
        <v>6029</v>
      </c>
      <c r="D253" s="2" t="s">
        <v>34</v>
      </c>
      <c r="E253" s="2" t="s">
        <v>25</v>
      </c>
      <c r="F253" s="2" t="s">
        <v>145</v>
      </c>
      <c r="G253" s="277" t="s">
        <v>674</v>
      </c>
      <c r="H253" s="277" t="s">
        <v>674</v>
      </c>
      <c r="I253" s="277">
        <v>45003</v>
      </c>
      <c r="J253" s="2" t="s">
        <v>830</v>
      </c>
      <c r="K253" s="2" t="s">
        <v>841</v>
      </c>
      <c r="L253" s="2" t="s">
        <v>493</v>
      </c>
      <c r="M253" s="2"/>
      <c r="N253" s="2" t="str">
        <f>DitrbFlota[[#This Row],[TIPO BUS]]&amp;"-"&amp;DitrbFlota[[#This Row],[MARCA CHASIS]]</f>
        <v>B2-MERCEDES BENZ</v>
      </c>
      <c r="O253" s="2">
        <f>MONTH(DitrbFlota[[#This Row],[Inicio Operación]])</f>
        <v>3</v>
      </c>
      <c r="P253" s="2">
        <f>YEAR(DitrbFlota[[#This Row],[Inicio Operación]])</f>
        <v>2023</v>
      </c>
      <c r="Q253" s="29">
        <v>95</v>
      </c>
    </row>
    <row r="254" spans="1:17">
      <c r="A254" s="7" t="s">
        <v>421</v>
      </c>
      <c r="B254" s="2" t="s">
        <v>663</v>
      </c>
      <c r="C254" s="2">
        <v>6031</v>
      </c>
      <c r="D254" s="2" t="s">
        <v>34</v>
      </c>
      <c r="E254" s="2" t="s">
        <v>13</v>
      </c>
      <c r="F254" s="2" t="s">
        <v>145</v>
      </c>
      <c r="G254" s="277" t="s">
        <v>674</v>
      </c>
      <c r="H254" s="277" t="s">
        <v>674</v>
      </c>
      <c r="I254" s="277">
        <v>45003</v>
      </c>
      <c r="J254" s="2" t="s">
        <v>830</v>
      </c>
      <c r="K254" s="2" t="s">
        <v>840</v>
      </c>
      <c r="L254" s="2" t="s">
        <v>674</v>
      </c>
      <c r="M254" s="2"/>
      <c r="N254" s="2" t="str">
        <f>DitrbFlota[[#This Row],[TIPO BUS]]&amp;"-"&amp;DitrbFlota[[#This Row],[MARCA CHASIS]]</f>
        <v>B2-MERCEDES BENZ</v>
      </c>
      <c r="O254" s="2">
        <f>MONTH(DitrbFlota[[#This Row],[Inicio Operación]])</f>
        <v>3</v>
      </c>
      <c r="P254" s="2">
        <f>YEAR(DitrbFlota[[#This Row],[Inicio Operación]])</f>
        <v>2023</v>
      </c>
      <c r="Q254" s="29">
        <v>95</v>
      </c>
    </row>
    <row r="255" spans="1:17">
      <c r="A255" s="7" t="s">
        <v>421</v>
      </c>
      <c r="B255" s="2" t="s">
        <v>673</v>
      </c>
      <c r="C255" s="2">
        <v>6032</v>
      </c>
      <c r="D255" s="2" t="s">
        <v>34</v>
      </c>
      <c r="E255" s="2" t="s">
        <v>13</v>
      </c>
      <c r="F255" s="2" t="s">
        <v>145</v>
      </c>
      <c r="G255" s="277" t="s">
        <v>674</v>
      </c>
      <c r="H255" s="277" t="s">
        <v>674</v>
      </c>
      <c r="I255" s="277">
        <v>45024</v>
      </c>
      <c r="J255" s="2" t="s">
        <v>830</v>
      </c>
      <c r="K255" s="2" t="s">
        <v>840</v>
      </c>
      <c r="L255" s="2" t="s">
        <v>674</v>
      </c>
      <c r="M255" s="2"/>
      <c r="N255" s="2" t="str">
        <f>DitrbFlota[[#This Row],[TIPO BUS]]&amp;"-"&amp;DitrbFlota[[#This Row],[MARCA CHASIS]]</f>
        <v>B2-MERCEDES BENZ</v>
      </c>
      <c r="O255" s="2">
        <f>MONTH(DitrbFlota[[#This Row],[Inicio Operación]])</f>
        <v>4</v>
      </c>
      <c r="P255" s="2">
        <f>YEAR(DitrbFlota[[#This Row],[Inicio Operación]])</f>
        <v>2023</v>
      </c>
      <c r="Q255" s="29">
        <v>95</v>
      </c>
    </row>
    <row r="256" spans="1:17">
      <c r="A256" s="7" t="s">
        <v>421</v>
      </c>
      <c r="B256" s="2" t="s">
        <v>664</v>
      </c>
      <c r="C256" s="2">
        <v>6033</v>
      </c>
      <c r="D256" s="2" t="s">
        <v>34</v>
      </c>
      <c r="E256" s="2" t="s">
        <v>13</v>
      </c>
      <c r="F256" s="2" t="s">
        <v>145</v>
      </c>
      <c r="G256" s="277" t="s">
        <v>674</v>
      </c>
      <c r="H256" s="277" t="s">
        <v>674</v>
      </c>
      <c r="I256" s="277">
        <v>45003</v>
      </c>
      <c r="J256" s="2" t="s">
        <v>830</v>
      </c>
      <c r="K256" s="2" t="s">
        <v>840</v>
      </c>
      <c r="L256" s="2" t="s">
        <v>674</v>
      </c>
      <c r="M256" s="2"/>
      <c r="N256" s="2" t="str">
        <f>DitrbFlota[[#This Row],[TIPO BUS]]&amp;"-"&amp;DitrbFlota[[#This Row],[MARCA CHASIS]]</f>
        <v>B2-MERCEDES BENZ</v>
      </c>
      <c r="O256" s="2">
        <f>MONTH(DitrbFlota[[#This Row],[Inicio Operación]])</f>
        <v>3</v>
      </c>
      <c r="P256" s="2">
        <f>YEAR(DitrbFlota[[#This Row],[Inicio Operación]])</f>
        <v>2023</v>
      </c>
      <c r="Q256" s="29">
        <v>95</v>
      </c>
    </row>
    <row r="257" spans="1:18">
      <c r="A257" s="7" t="s">
        <v>421</v>
      </c>
      <c r="B257" s="2" t="s">
        <v>676</v>
      </c>
      <c r="C257" s="2">
        <v>6034</v>
      </c>
      <c r="D257" s="2" t="s">
        <v>34</v>
      </c>
      <c r="E257" s="2" t="s">
        <v>13</v>
      </c>
      <c r="F257" s="2" t="s">
        <v>145</v>
      </c>
      <c r="G257" s="277" t="s">
        <v>674</v>
      </c>
      <c r="H257" s="277" t="s">
        <v>674</v>
      </c>
      <c r="I257" s="277">
        <v>45003</v>
      </c>
      <c r="J257" s="2" t="s">
        <v>830</v>
      </c>
      <c r="K257" s="2" t="s">
        <v>840</v>
      </c>
      <c r="L257" s="2" t="s">
        <v>674</v>
      </c>
      <c r="M257" s="2"/>
      <c r="N257" s="2" t="str">
        <f>DitrbFlota[[#This Row],[TIPO BUS]]&amp;"-"&amp;DitrbFlota[[#This Row],[MARCA CHASIS]]</f>
        <v>B2-MERCEDES BENZ</v>
      </c>
      <c r="O257" s="2">
        <f>MONTH(DitrbFlota[[#This Row],[Inicio Operación]])</f>
        <v>3</v>
      </c>
      <c r="P257" s="2">
        <f>YEAR(DitrbFlota[[#This Row],[Inicio Operación]])</f>
        <v>2023</v>
      </c>
      <c r="Q257" s="29">
        <v>95</v>
      </c>
    </row>
    <row r="258" spans="1:18">
      <c r="A258" s="7" t="s">
        <v>421</v>
      </c>
      <c r="B258" s="2" t="s">
        <v>678</v>
      </c>
      <c r="C258" s="2">
        <v>6035</v>
      </c>
      <c r="D258" s="2" t="s">
        <v>34</v>
      </c>
      <c r="E258" s="2" t="s">
        <v>13</v>
      </c>
      <c r="F258" s="2" t="s">
        <v>145</v>
      </c>
      <c r="G258" s="277" t="s">
        <v>674</v>
      </c>
      <c r="H258" s="277" t="s">
        <v>674</v>
      </c>
      <c r="I258" s="277">
        <v>45003</v>
      </c>
      <c r="J258" s="2" t="s">
        <v>830</v>
      </c>
      <c r="K258" s="2" t="s">
        <v>840</v>
      </c>
      <c r="L258" s="2" t="s">
        <v>674</v>
      </c>
      <c r="M258" s="2"/>
      <c r="N258" s="2" t="str">
        <f>DitrbFlota[[#This Row],[TIPO BUS]]&amp;"-"&amp;DitrbFlota[[#This Row],[MARCA CHASIS]]</f>
        <v>B2-MERCEDES BENZ</v>
      </c>
      <c r="O258" s="2">
        <f>MONTH(DitrbFlota[[#This Row],[Inicio Operación]])</f>
        <v>3</v>
      </c>
      <c r="P258" s="2">
        <f>YEAR(DitrbFlota[[#This Row],[Inicio Operación]])</f>
        <v>2023</v>
      </c>
      <c r="Q258" s="29">
        <v>95</v>
      </c>
    </row>
    <row r="259" spans="1:18">
      <c r="A259" s="7" t="s">
        <v>421</v>
      </c>
      <c r="B259" s="2" t="s">
        <v>680</v>
      </c>
      <c r="C259" s="2">
        <v>6036</v>
      </c>
      <c r="D259" s="2" t="s">
        <v>34</v>
      </c>
      <c r="E259" s="2" t="s">
        <v>13</v>
      </c>
      <c r="F259" s="2" t="s">
        <v>145</v>
      </c>
      <c r="G259" s="277" t="s">
        <v>674</v>
      </c>
      <c r="H259" s="277" t="s">
        <v>674</v>
      </c>
      <c r="I259" s="277">
        <v>45003</v>
      </c>
      <c r="J259" s="2" t="s">
        <v>830</v>
      </c>
      <c r="K259" s="2" t="s">
        <v>840</v>
      </c>
      <c r="L259" s="2" t="s">
        <v>674</v>
      </c>
      <c r="M259" s="2"/>
      <c r="N259" s="2" t="str">
        <f>DitrbFlota[[#This Row],[TIPO BUS]]&amp;"-"&amp;DitrbFlota[[#This Row],[MARCA CHASIS]]</f>
        <v>B2-MERCEDES BENZ</v>
      </c>
      <c r="O259" s="2">
        <f>MONTH(DitrbFlota[[#This Row],[Inicio Operación]])</f>
        <v>3</v>
      </c>
      <c r="P259" s="2">
        <f>YEAR(DitrbFlota[[#This Row],[Inicio Operación]])</f>
        <v>2023</v>
      </c>
      <c r="Q259" s="29">
        <v>95</v>
      </c>
    </row>
    <row r="260" spans="1:18">
      <c r="A260" s="7" t="s">
        <v>421</v>
      </c>
      <c r="B260" s="2" t="s">
        <v>518</v>
      </c>
      <c r="C260" s="2">
        <v>6037</v>
      </c>
      <c r="D260" s="2" t="s">
        <v>34</v>
      </c>
      <c r="E260" s="2" t="s">
        <v>13</v>
      </c>
      <c r="F260" s="2" t="s">
        <v>145</v>
      </c>
      <c r="G260" s="277" t="s">
        <v>674</v>
      </c>
      <c r="H260" s="277" t="s">
        <v>674</v>
      </c>
      <c r="I260" s="277">
        <v>45003</v>
      </c>
      <c r="J260" s="2" t="s">
        <v>830</v>
      </c>
      <c r="K260" s="2" t="s">
        <v>840</v>
      </c>
      <c r="L260" s="2" t="s">
        <v>674</v>
      </c>
      <c r="M260" s="2"/>
      <c r="N260" s="2" t="str">
        <f>DitrbFlota[[#This Row],[TIPO BUS]]&amp;"-"&amp;DitrbFlota[[#This Row],[MARCA CHASIS]]</f>
        <v>B2-MERCEDES BENZ</v>
      </c>
      <c r="O260" s="2">
        <f>MONTH(DitrbFlota[[#This Row],[Inicio Operación]])</f>
        <v>3</v>
      </c>
      <c r="P260" s="2">
        <f>YEAR(DitrbFlota[[#This Row],[Inicio Operación]])</f>
        <v>2023</v>
      </c>
      <c r="Q260" s="29">
        <v>95</v>
      </c>
    </row>
    <row r="261" spans="1:18">
      <c r="A261" s="7" t="s">
        <v>421</v>
      </c>
      <c r="B261" s="2" t="s">
        <v>682</v>
      </c>
      <c r="C261" s="2">
        <v>6038</v>
      </c>
      <c r="D261" s="2" t="s">
        <v>34</v>
      </c>
      <c r="E261" s="2" t="s">
        <v>13</v>
      </c>
      <c r="F261" s="2" t="s">
        <v>145</v>
      </c>
      <c r="G261" s="277" t="s">
        <v>674</v>
      </c>
      <c r="H261" s="277" t="s">
        <v>674</v>
      </c>
      <c r="I261" s="277">
        <v>45003</v>
      </c>
      <c r="J261" s="2" t="s">
        <v>830</v>
      </c>
      <c r="K261" s="2" t="s">
        <v>840</v>
      </c>
      <c r="L261" s="2" t="s">
        <v>674</v>
      </c>
      <c r="M261" s="2"/>
      <c r="N261" s="2" t="str">
        <f>DitrbFlota[[#This Row],[TIPO BUS]]&amp;"-"&amp;DitrbFlota[[#This Row],[MARCA CHASIS]]</f>
        <v>B2-MERCEDES BENZ</v>
      </c>
      <c r="O261" s="2">
        <f>MONTH(DitrbFlota[[#This Row],[Inicio Operación]])</f>
        <v>3</v>
      </c>
      <c r="P261" s="2">
        <f>YEAR(DitrbFlota[[#This Row],[Inicio Operación]])</f>
        <v>2023</v>
      </c>
      <c r="Q261" s="29">
        <v>95</v>
      </c>
    </row>
    <row r="262" spans="1:18">
      <c r="A262" s="7" t="s">
        <v>421</v>
      </c>
      <c r="B262" s="2" t="s">
        <v>519</v>
      </c>
      <c r="C262" s="2">
        <v>6039</v>
      </c>
      <c r="D262" s="2" t="s">
        <v>34</v>
      </c>
      <c r="E262" s="2" t="s">
        <v>13</v>
      </c>
      <c r="F262" s="2" t="s">
        <v>145</v>
      </c>
      <c r="G262" s="277" t="s">
        <v>674</v>
      </c>
      <c r="H262" s="277" t="s">
        <v>674</v>
      </c>
      <c r="I262" s="277">
        <v>45003</v>
      </c>
      <c r="J262" s="2" t="s">
        <v>830</v>
      </c>
      <c r="K262" s="2" t="s">
        <v>840</v>
      </c>
      <c r="L262" s="2" t="s">
        <v>674</v>
      </c>
      <c r="M262" s="2"/>
      <c r="N262" s="2" t="str">
        <f>DitrbFlota[[#This Row],[TIPO BUS]]&amp;"-"&amp;DitrbFlota[[#This Row],[MARCA CHASIS]]</f>
        <v>B2-MERCEDES BENZ</v>
      </c>
      <c r="O262" s="2">
        <f>MONTH(DitrbFlota[[#This Row],[Inicio Operación]])</f>
        <v>3</v>
      </c>
      <c r="P262" s="2">
        <f>YEAR(DitrbFlota[[#This Row],[Inicio Operación]])</f>
        <v>2023</v>
      </c>
      <c r="Q262" s="29">
        <v>95</v>
      </c>
    </row>
    <row r="263" spans="1:18">
      <c r="A263" s="7" t="s">
        <v>421</v>
      </c>
      <c r="B263" s="2" t="s">
        <v>683</v>
      </c>
      <c r="C263" s="2">
        <v>6040</v>
      </c>
      <c r="D263" s="2" t="s">
        <v>34</v>
      </c>
      <c r="E263" s="2" t="s">
        <v>13</v>
      </c>
      <c r="F263" s="2" t="s">
        <v>145</v>
      </c>
      <c r="G263" s="277" t="s">
        <v>674</v>
      </c>
      <c r="H263" s="277" t="s">
        <v>674</v>
      </c>
      <c r="I263" s="277">
        <v>45003</v>
      </c>
      <c r="J263" s="2" t="s">
        <v>830</v>
      </c>
      <c r="K263" s="2" t="s">
        <v>840</v>
      </c>
      <c r="L263" s="2" t="s">
        <v>674</v>
      </c>
      <c r="M263" s="2"/>
      <c r="N263" s="2" t="str">
        <f>DitrbFlota[[#This Row],[TIPO BUS]]&amp;"-"&amp;DitrbFlota[[#This Row],[MARCA CHASIS]]</f>
        <v>B2-MERCEDES BENZ</v>
      </c>
      <c r="O263" s="2">
        <f>MONTH(DitrbFlota[[#This Row],[Inicio Operación]])</f>
        <v>3</v>
      </c>
      <c r="P263" s="2">
        <f>YEAR(DitrbFlota[[#This Row],[Inicio Operación]])</f>
        <v>2023</v>
      </c>
      <c r="Q263" s="29">
        <v>95</v>
      </c>
      <c r="R263" s="351"/>
    </row>
    <row r="264" spans="1:18">
      <c r="A264" s="7" t="s">
        <v>421</v>
      </c>
      <c r="B264" s="2" t="s">
        <v>684</v>
      </c>
      <c r="C264" s="2">
        <v>6041</v>
      </c>
      <c r="D264" s="2" t="s">
        <v>34</v>
      </c>
      <c r="E264" s="2" t="s">
        <v>13</v>
      </c>
      <c r="F264" s="2" t="s">
        <v>145</v>
      </c>
      <c r="G264" s="277" t="s">
        <v>674</v>
      </c>
      <c r="H264" s="277" t="s">
        <v>674</v>
      </c>
      <c r="I264" s="277">
        <v>45003</v>
      </c>
      <c r="J264" s="2" t="s">
        <v>830</v>
      </c>
      <c r="K264" s="2" t="s">
        <v>840</v>
      </c>
      <c r="L264" s="2" t="s">
        <v>674</v>
      </c>
      <c r="M264" s="2"/>
      <c r="N264" s="2" t="str">
        <f>DitrbFlota[[#This Row],[TIPO BUS]]&amp;"-"&amp;DitrbFlota[[#This Row],[MARCA CHASIS]]</f>
        <v>B2-MERCEDES BENZ</v>
      </c>
      <c r="O264" s="2">
        <f>MONTH(DitrbFlota[[#This Row],[Inicio Operación]])</f>
        <v>3</v>
      </c>
      <c r="P264" s="2">
        <f>YEAR(DitrbFlota[[#This Row],[Inicio Operación]])</f>
        <v>2023</v>
      </c>
      <c r="Q264" s="29">
        <v>95</v>
      </c>
    </row>
    <row r="265" spans="1:18">
      <c r="A265" s="7" t="s">
        <v>421</v>
      </c>
      <c r="B265" s="2" t="s">
        <v>665</v>
      </c>
      <c r="C265" s="2">
        <v>6042</v>
      </c>
      <c r="D265" s="2" t="s">
        <v>34</v>
      </c>
      <c r="E265" s="2" t="s">
        <v>13</v>
      </c>
      <c r="F265" s="2" t="s">
        <v>145</v>
      </c>
      <c r="G265" s="277" t="s">
        <v>674</v>
      </c>
      <c r="H265" s="277" t="s">
        <v>674</v>
      </c>
      <c r="I265" s="277">
        <v>45003</v>
      </c>
      <c r="J265" s="2" t="s">
        <v>830</v>
      </c>
      <c r="K265" s="2" t="s">
        <v>840</v>
      </c>
      <c r="L265" s="2" t="s">
        <v>674</v>
      </c>
      <c r="M265" s="2"/>
      <c r="N265" s="2" t="str">
        <f>DitrbFlota[[#This Row],[TIPO BUS]]&amp;"-"&amp;DitrbFlota[[#This Row],[MARCA CHASIS]]</f>
        <v>B2-MERCEDES BENZ</v>
      </c>
      <c r="O265" s="2">
        <f>MONTH(DitrbFlota[[#This Row],[Inicio Operación]])</f>
        <v>3</v>
      </c>
      <c r="P265" s="2">
        <f>YEAR(DitrbFlota[[#This Row],[Inicio Operación]])</f>
        <v>2023</v>
      </c>
      <c r="Q265" s="29">
        <v>95</v>
      </c>
    </row>
    <row r="266" spans="1:18">
      <c r="A266" s="7" t="s">
        <v>421</v>
      </c>
      <c r="B266" s="2" t="s">
        <v>685</v>
      </c>
      <c r="C266" s="2">
        <v>6043</v>
      </c>
      <c r="D266" s="2" t="s">
        <v>34</v>
      </c>
      <c r="E266" s="2" t="s">
        <v>13</v>
      </c>
      <c r="F266" s="2" t="s">
        <v>145</v>
      </c>
      <c r="G266" s="277" t="s">
        <v>674</v>
      </c>
      <c r="H266" s="277" t="s">
        <v>674</v>
      </c>
      <c r="I266" s="277">
        <v>45003</v>
      </c>
      <c r="J266" s="2" t="s">
        <v>830</v>
      </c>
      <c r="K266" s="2" t="s">
        <v>840</v>
      </c>
      <c r="L266" s="2" t="s">
        <v>674</v>
      </c>
      <c r="M266" s="2"/>
      <c r="N266" s="2" t="str">
        <f>DitrbFlota[[#This Row],[TIPO BUS]]&amp;"-"&amp;DitrbFlota[[#This Row],[MARCA CHASIS]]</f>
        <v>B2-MERCEDES BENZ</v>
      </c>
      <c r="O266" s="2">
        <f>MONTH(DitrbFlota[[#This Row],[Inicio Operación]])</f>
        <v>3</v>
      </c>
      <c r="P266" s="2">
        <f>YEAR(DitrbFlota[[#This Row],[Inicio Operación]])</f>
        <v>2023</v>
      </c>
      <c r="Q266" s="29">
        <v>95</v>
      </c>
    </row>
    <row r="267" spans="1:18">
      <c r="A267" s="7" t="s">
        <v>421</v>
      </c>
      <c r="B267" s="2" t="s">
        <v>686</v>
      </c>
      <c r="C267" s="2">
        <v>6045</v>
      </c>
      <c r="D267" s="2" t="s">
        <v>34</v>
      </c>
      <c r="E267" s="2" t="s">
        <v>13</v>
      </c>
      <c r="F267" s="2" t="s">
        <v>145</v>
      </c>
      <c r="G267" s="277" t="s">
        <v>674</v>
      </c>
      <c r="H267" s="277" t="s">
        <v>674</v>
      </c>
      <c r="I267" s="277">
        <v>45003</v>
      </c>
      <c r="J267" s="2" t="s">
        <v>830</v>
      </c>
      <c r="K267" s="2" t="s">
        <v>840</v>
      </c>
      <c r="L267" s="2" t="s">
        <v>674</v>
      </c>
      <c r="M267" s="2"/>
      <c r="N267" s="2" t="str">
        <f>DitrbFlota[[#This Row],[TIPO BUS]]&amp;"-"&amp;DitrbFlota[[#This Row],[MARCA CHASIS]]</f>
        <v>B2-MERCEDES BENZ</v>
      </c>
      <c r="O267" s="2">
        <f>MONTH(DitrbFlota[[#This Row],[Inicio Operación]])</f>
        <v>3</v>
      </c>
      <c r="P267" s="2">
        <f>YEAR(DitrbFlota[[#This Row],[Inicio Operación]])</f>
        <v>2023</v>
      </c>
      <c r="Q267" s="29">
        <v>95</v>
      </c>
    </row>
    <row r="268" spans="1:18">
      <c r="A268" s="7" t="s">
        <v>421</v>
      </c>
      <c r="B268" s="2" t="s">
        <v>687</v>
      </c>
      <c r="C268" s="2">
        <v>6046</v>
      </c>
      <c r="D268" s="2" t="s">
        <v>34</v>
      </c>
      <c r="E268" s="2" t="s">
        <v>13</v>
      </c>
      <c r="F268" s="2" t="s">
        <v>145</v>
      </c>
      <c r="G268" s="277" t="s">
        <v>674</v>
      </c>
      <c r="H268" s="277" t="s">
        <v>674</v>
      </c>
      <c r="I268" s="277">
        <v>45003</v>
      </c>
      <c r="J268" s="2" t="s">
        <v>830</v>
      </c>
      <c r="K268" s="2" t="s">
        <v>840</v>
      </c>
      <c r="L268" s="2" t="s">
        <v>674</v>
      </c>
      <c r="M268" s="2"/>
      <c r="N268" s="2" t="str">
        <f>DitrbFlota[[#This Row],[TIPO BUS]]&amp;"-"&amp;DitrbFlota[[#This Row],[MARCA CHASIS]]</f>
        <v>B2-MERCEDES BENZ</v>
      </c>
      <c r="O268" s="2">
        <f>MONTH(DitrbFlota[[#This Row],[Inicio Operación]])</f>
        <v>3</v>
      </c>
      <c r="P268" s="2">
        <f>YEAR(DitrbFlota[[#This Row],[Inicio Operación]])</f>
        <v>2023</v>
      </c>
      <c r="Q268" s="29">
        <v>95</v>
      </c>
    </row>
    <row r="269" spans="1:18">
      <c r="A269" s="7" t="s">
        <v>421</v>
      </c>
      <c r="B269" s="2" t="s">
        <v>688</v>
      </c>
      <c r="C269" s="2">
        <v>6047</v>
      </c>
      <c r="D269" s="2" t="s">
        <v>34</v>
      </c>
      <c r="E269" s="2" t="s">
        <v>13</v>
      </c>
      <c r="F269" s="2" t="s">
        <v>145</v>
      </c>
      <c r="G269" s="277" t="s">
        <v>674</v>
      </c>
      <c r="H269" s="277" t="s">
        <v>674</v>
      </c>
      <c r="I269" s="277">
        <v>45003</v>
      </c>
      <c r="J269" s="2" t="s">
        <v>830</v>
      </c>
      <c r="K269" s="2" t="s">
        <v>840</v>
      </c>
      <c r="L269" s="2" t="s">
        <v>674</v>
      </c>
      <c r="M269" s="2"/>
      <c r="N269" s="2" t="str">
        <f>DitrbFlota[[#This Row],[TIPO BUS]]&amp;"-"&amp;DitrbFlota[[#This Row],[MARCA CHASIS]]</f>
        <v>B2-MERCEDES BENZ</v>
      </c>
      <c r="O269" s="2">
        <f>MONTH(DitrbFlota[[#This Row],[Inicio Operación]])</f>
        <v>3</v>
      </c>
      <c r="P269" s="2">
        <f>YEAR(DitrbFlota[[#This Row],[Inicio Operación]])</f>
        <v>2023</v>
      </c>
      <c r="Q269" s="29">
        <v>95</v>
      </c>
    </row>
    <row r="270" spans="1:18">
      <c r="A270" s="7" t="s">
        <v>421</v>
      </c>
      <c r="B270" s="2" t="s">
        <v>521</v>
      </c>
      <c r="C270" s="2">
        <v>6048</v>
      </c>
      <c r="D270" s="2" t="s">
        <v>34</v>
      </c>
      <c r="E270" s="2" t="s">
        <v>13</v>
      </c>
      <c r="F270" s="2" t="s">
        <v>145</v>
      </c>
      <c r="G270" s="277" t="s">
        <v>674</v>
      </c>
      <c r="H270" s="277" t="s">
        <v>674</v>
      </c>
      <c r="I270" s="277">
        <v>45003</v>
      </c>
      <c r="J270" s="2" t="s">
        <v>830</v>
      </c>
      <c r="K270" s="2" t="s">
        <v>840</v>
      </c>
      <c r="L270" s="2" t="s">
        <v>674</v>
      </c>
      <c r="M270" s="2"/>
      <c r="N270" s="2" t="str">
        <f>DitrbFlota[[#This Row],[TIPO BUS]]&amp;"-"&amp;DitrbFlota[[#This Row],[MARCA CHASIS]]</f>
        <v>B2-MERCEDES BENZ</v>
      </c>
      <c r="O270" s="2">
        <f>MONTH(DitrbFlota[[#This Row],[Inicio Operación]])</f>
        <v>3</v>
      </c>
      <c r="P270" s="2">
        <f>YEAR(DitrbFlota[[#This Row],[Inicio Operación]])</f>
        <v>2023</v>
      </c>
      <c r="Q270" s="29">
        <v>95</v>
      </c>
    </row>
    <row r="271" spans="1:18">
      <c r="A271" s="7" t="s">
        <v>421</v>
      </c>
      <c r="B271" s="2" t="s">
        <v>523</v>
      </c>
      <c r="C271" s="2">
        <v>6049</v>
      </c>
      <c r="D271" s="2" t="s">
        <v>34</v>
      </c>
      <c r="E271" s="2" t="s">
        <v>13</v>
      </c>
      <c r="F271" s="2" t="s">
        <v>145</v>
      </c>
      <c r="G271" s="277" t="s">
        <v>674</v>
      </c>
      <c r="H271" s="277" t="s">
        <v>674</v>
      </c>
      <c r="I271" s="277">
        <v>45003</v>
      </c>
      <c r="J271" s="2" t="s">
        <v>830</v>
      </c>
      <c r="K271" s="2" t="s">
        <v>840</v>
      </c>
      <c r="L271" s="2" t="s">
        <v>674</v>
      </c>
      <c r="M271" s="2"/>
      <c r="N271" s="2" t="str">
        <f>DitrbFlota[[#This Row],[TIPO BUS]]&amp;"-"&amp;DitrbFlota[[#This Row],[MARCA CHASIS]]</f>
        <v>B2-MERCEDES BENZ</v>
      </c>
      <c r="O271" s="2">
        <f>MONTH(DitrbFlota[[#This Row],[Inicio Operación]])</f>
        <v>3</v>
      </c>
      <c r="P271" s="2">
        <f>YEAR(DitrbFlota[[#This Row],[Inicio Operación]])</f>
        <v>2023</v>
      </c>
      <c r="Q271" s="29">
        <v>95</v>
      </c>
    </row>
    <row r="272" spans="1:18">
      <c r="A272" s="7" t="s">
        <v>421</v>
      </c>
      <c r="B272" s="2" t="s">
        <v>525</v>
      </c>
      <c r="C272" s="2">
        <v>6050</v>
      </c>
      <c r="D272" s="2" t="s">
        <v>34</v>
      </c>
      <c r="E272" s="2" t="s">
        <v>13</v>
      </c>
      <c r="F272" s="2" t="s">
        <v>145</v>
      </c>
      <c r="G272" s="277" t="s">
        <v>674</v>
      </c>
      <c r="H272" s="277" t="s">
        <v>674</v>
      </c>
      <c r="I272" s="277">
        <v>45003</v>
      </c>
      <c r="J272" s="2" t="s">
        <v>830</v>
      </c>
      <c r="K272" s="2" t="s">
        <v>840</v>
      </c>
      <c r="L272" s="2" t="s">
        <v>674</v>
      </c>
      <c r="M272" s="2"/>
      <c r="N272" s="2" t="str">
        <f>DitrbFlota[[#This Row],[TIPO BUS]]&amp;"-"&amp;DitrbFlota[[#This Row],[MARCA CHASIS]]</f>
        <v>B2-MERCEDES BENZ</v>
      </c>
      <c r="O272" s="2">
        <f>MONTH(DitrbFlota[[#This Row],[Inicio Operación]])</f>
        <v>3</v>
      </c>
      <c r="P272" s="2">
        <f>YEAR(DitrbFlota[[#This Row],[Inicio Operación]])</f>
        <v>2023</v>
      </c>
      <c r="Q272" s="29">
        <v>95</v>
      </c>
      <c r="R272" s="351"/>
    </row>
    <row r="273" spans="1:18">
      <c r="A273" s="7" t="s">
        <v>421</v>
      </c>
      <c r="B273" s="2" t="s">
        <v>527</v>
      </c>
      <c r="C273" s="2">
        <v>6051</v>
      </c>
      <c r="D273" s="2" t="s">
        <v>34</v>
      </c>
      <c r="E273" s="2" t="s">
        <v>13</v>
      </c>
      <c r="F273" s="2" t="s">
        <v>145</v>
      </c>
      <c r="G273" s="277" t="s">
        <v>674</v>
      </c>
      <c r="H273" s="277" t="s">
        <v>674</v>
      </c>
      <c r="I273" s="277">
        <v>45003</v>
      </c>
      <c r="J273" s="2" t="s">
        <v>830</v>
      </c>
      <c r="K273" s="2" t="s">
        <v>840</v>
      </c>
      <c r="L273" s="2" t="s">
        <v>674</v>
      </c>
      <c r="M273" s="2"/>
      <c r="N273" s="2" t="str">
        <f>DitrbFlota[[#This Row],[TIPO BUS]]&amp;"-"&amp;DitrbFlota[[#This Row],[MARCA CHASIS]]</f>
        <v>B2-MERCEDES BENZ</v>
      </c>
      <c r="O273" s="2">
        <f>MONTH(DitrbFlota[[#This Row],[Inicio Operación]])</f>
        <v>3</v>
      </c>
      <c r="P273" s="2">
        <f>YEAR(DitrbFlota[[#This Row],[Inicio Operación]])</f>
        <v>2023</v>
      </c>
      <c r="Q273" s="29">
        <v>95</v>
      </c>
    </row>
    <row r="274" spans="1:18">
      <c r="A274" s="7" t="s">
        <v>421</v>
      </c>
      <c r="B274" s="2" t="s">
        <v>528</v>
      </c>
      <c r="C274" s="2">
        <v>6052</v>
      </c>
      <c r="D274" s="2" t="s">
        <v>34</v>
      </c>
      <c r="E274" s="2" t="s">
        <v>13</v>
      </c>
      <c r="F274" s="2" t="s">
        <v>145</v>
      </c>
      <c r="G274" s="277" t="s">
        <v>674</v>
      </c>
      <c r="H274" s="277" t="s">
        <v>674</v>
      </c>
      <c r="I274" s="277">
        <v>45003</v>
      </c>
      <c r="J274" s="2" t="s">
        <v>830</v>
      </c>
      <c r="K274" s="2" t="s">
        <v>840</v>
      </c>
      <c r="L274" s="2" t="s">
        <v>674</v>
      </c>
      <c r="M274" s="2"/>
      <c r="N274" s="2" t="str">
        <f>DitrbFlota[[#This Row],[TIPO BUS]]&amp;"-"&amp;DitrbFlota[[#This Row],[MARCA CHASIS]]</f>
        <v>B2-MERCEDES BENZ</v>
      </c>
      <c r="O274" s="2">
        <f>MONTH(DitrbFlota[[#This Row],[Inicio Operación]])</f>
        <v>3</v>
      </c>
      <c r="P274" s="2">
        <f>YEAR(DitrbFlota[[#This Row],[Inicio Operación]])</f>
        <v>2023</v>
      </c>
      <c r="Q274" s="29">
        <v>95</v>
      </c>
    </row>
    <row r="275" spans="1:18">
      <c r="A275" s="7" t="s">
        <v>421</v>
      </c>
      <c r="B275" s="2" t="s">
        <v>529</v>
      </c>
      <c r="C275" s="2">
        <v>6053</v>
      </c>
      <c r="D275" s="2" t="s">
        <v>34</v>
      </c>
      <c r="E275" s="2" t="s">
        <v>13</v>
      </c>
      <c r="F275" s="2" t="s">
        <v>145</v>
      </c>
      <c r="G275" s="277" t="s">
        <v>674</v>
      </c>
      <c r="H275" s="277" t="s">
        <v>674</v>
      </c>
      <c r="I275" s="277">
        <v>45003</v>
      </c>
      <c r="J275" s="2" t="s">
        <v>830</v>
      </c>
      <c r="K275" s="2" t="s">
        <v>840</v>
      </c>
      <c r="L275" s="2" t="s">
        <v>674</v>
      </c>
      <c r="M275" s="2"/>
      <c r="N275" s="2" t="str">
        <f>DitrbFlota[[#This Row],[TIPO BUS]]&amp;"-"&amp;DitrbFlota[[#This Row],[MARCA CHASIS]]</f>
        <v>B2-MERCEDES BENZ</v>
      </c>
      <c r="O275" s="2">
        <f>MONTH(DitrbFlota[[#This Row],[Inicio Operación]])</f>
        <v>3</v>
      </c>
      <c r="P275" s="2">
        <f>YEAR(DitrbFlota[[#This Row],[Inicio Operación]])</f>
        <v>2023</v>
      </c>
      <c r="Q275" s="29">
        <v>95</v>
      </c>
    </row>
    <row r="276" spans="1:18">
      <c r="A276" s="7" t="s">
        <v>421</v>
      </c>
      <c r="B276" s="2" t="s">
        <v>530</v>
      </c>
      <c r="C276" s="2">
        <v>6054</v>
      </c>
      <c r="D276" s="2" t="s">
        <v>34</v>
      </c>
      <c r="E276" s="2" t="s">
        <v>13</v>
      </c>
      <c r="F276" s="2" t="s">
        <v>145</v>
      </c>
      <c r="G276" s="277" t="s">
        <v>674</v>
      </c>
      <c r="H276" s="277" t="s">
        <v>674</v>
      </c>
      <c r="I276" s="277">
        <v>45003</v>
      </c>
      <c r="J276" s="2" t="s">
        <v>830</v>
      </c>
      <c r="K276" s="2" t="s">
        <v>840</v>
      </c>
      <c r="L276" s="2" t="s">
        <v>674</v>
      </c>
      <c r="M276" s="2"/>
      <c r="N276" s="2" t="str">
        <f>DitrbFlota[[#This Row],[TIPO BUS]]&amp;"-"&amp;DitrbFlota[[#This Row],[MARCA CHASIS]]</f>
        <v>B2-MERCEDES BENZ</v>
      </c>
      <c r="O276" s="2">
        <f>MONTH(DitrbFlota[[#This Row],[Inicio Operación]])</f>
        <v>3</v>
      </c>
      <c r="P276" s="2">
        <f>YEAR(DitrbFlota[[#This Row],[Inicio Operación]])</f>
        <v>2023</v>
      </c>
      <c r="Q276" s="29">
        <v>95</v>
      </c>
    </row>
    <row r="277" spans="1:18">
      <c r="A277" s="7" t="s">
        <v>421</v>
      </c>
      <c r="B277" s="2" t="s">
        <v>531</v>
      </c>
      <c r="C277" s="2">
        <v>6055</v>
      </c>
      <c r="D277" s="2" t="s">
        <v>34</v>
      </c>
      <c r="E277" s="2" t="s">
        <v>25</v>
      </c>
      <c r="F277" s="2" t="s">
        <v>145</v>
      </c>
      <c r="G277" s="277" t="s">
        <v>674</v>
      </c>
      <c r="H277" s="277" t="s">
        <v>674</v>
      </c>
      <c r="I277" s="277">
        <v>45024</v>
      </c>
      <c r="J277" s="2" t="s">
        <v>830</v>
      </c>
      <c r="K277" s="2" t="s">
        <v>841</v>
      </c>
      <c r="L277" s="2" t="s">
        <v>493</v>
      </c>
      <c r="M277" s="2"/>
      <c r="N277" s="2" t="str">
        <f>DitrbFlota[[#This Row],[TIPO BUS]]&amp;"-"&amp;DitrbFlota[[#This Row],[MARCA CHASIS]]</f>
        <v>B2-MERCEDES BENZ</v>
      </c>
      <c r="O277" s="2">
        <f>MONTH(DitrbFlota[[#This Row],[Inicio Operación]])</f>
        <v>4</v>
      </c>
      <c r="P277" s="2">
        <f>YEAR(DitrbFlota[[#This Row],[Inicio Operación]])</f>
        <v>2023</v>
      </c>
      <c r="Q277" s="29">
        <v>95</v>
      </c>
    </row>
    <row r="278" spans="1:18">
      <c r="A278" s="7" t="s">
        <v>421</v>
      </c>
      <c r="B278" s="2" t="s">
        <v>689</v>
      </c>
      <c r="C278" s="2">
        <v>6056</v>
      </c>
      <c r="D278" s="2" t="s">
        <v>34</v>
      </c>
      <c r="E278" s="2" t="s">
        <v>25</v>
      </c>
      <c r="F278" s="2" t="s">
        <v>145</v>
      </c>
      <c r="G278" s="277" t="s">
        <v>674</v>
      </c>
      <c r="H278" s="277" t="s">
        <v>674</v>
      </c>
      <c r="I278" s="277">
        <v>45024</v>
      </c>
      <c r="J278" s="2" t="s">
        <v>830</v>
      </c>
      <c r="K278" s="2" t="s">
        <v>840</v>
      </c>
      <c r="L278" s="2" t="s">
        <v>674</v>
      </c>
      <c r="M278" s="2"/>
      <c r="N278" s="2" t="str">
        <f>DitrbFlota[[#This Row],[TIPO BUS]]&amp;"-"&amp;DitrbFlota[[#This Row],[MARCA CHASIS]]</f>
        <v>B2-MERCEDES BENZ</v>
      </c>
      <c r="O278" s="2">
        <f>MONTH(DitrbFlota[[#This Row],[Inicio Operación]])</f>
        <v>4</v>
      </c>
      <c r="P278" s="2">
        <f>YEAR(DitrbFlota[[#This Row],[Inicio Operación]])</f>
        <v>2023</v>
      </c>
      <c r="Q278" s="29">
        <v>95</v>
      </c>
    </row>
    <row r="279" spans="1:18">
      <c r="A279" s="7" t="s">
        <v>421</v>
      </c>
      <c r="B279" s="2" t="s">
        <v>666</v>
      </c>
      <c r="C279" s="2">
        <v>6057</v>
      </c>
      <c r="D279" s="2" t="s">
        <v>34</v>
      </c>
      <c r="E279" s="2" t="s">
        <v>13</v>
      </c>
      <c r="F279" s="2" t="s">
        <v>145</v>
      </c>
      <c r="G279" s="277" t="s">
        <v>674</v>
      </c>
      <c r="H279" s="277" t="s">
        <v>674</v>
      </c>
      <c r="I279" s="277">
        <v>45024</v>
      </c>
      <c r="J279" s="2" t="s">
        <v>830</v>
      </c>
      <c r="K279" s="2" t="s">
        <v>840</v>
      </c>
      <c r="L279" s="2" t="s">
        <v>674</v>
      </c>
      <c r="M279" s="2"/>
      <c r="N279" s="2" t="str">
        <f>DitrbFlota[[#This Row],[TIPO BUS]]&amp;"-"&amp;DitrbFlota[[#This Row],[MARCA CHASIS]]</f>
        <v>B2-MERCEDES BENZ</v>
      </c>
      <c r="O279" s="2">
        <f>MONTH(DitrbFlota[[#This Row],[Inicio Operación]])</f>
        <v>4</v>
      </c>
      <c r="P279" s="2">
        <f>YEAR(DitrbFlota[[#This Row],[Inicio Operación]])</f>
        <v>2023</v>
      </c>
      <c r="Q279" s="29">
        <v>95</v>
      </c>
    </row>
    <row r="280" spans="1:18">
      <c r="A280" s="7" t="s">
        <v>421</v>
      </c>
      <c r="B280" s="2" t="s">
        <v>691</v>
      </c>
      <c r="C280" s="2">
        <v>6058</v>
      </c>
      <c r="D280" s="2" t="s">
        <v>34</v>
      </c>
      <c r="E280" s="2" t="s">
        <v>13</v>
      </c>
      <c r="F280" s="2" t="s">
        <v>145</v>
      </c>
      <c r="G280" s="277" t="s">
        <v>674</v>
      </c>
      <c r="H280" s="277" t="s">
        <v>674</v>
      </c>
      <c r="I280" s="277">
        <v>45024</v>
      </c>
      <c r="J280" s="2" t="s">
        <v>830</v>
      </c>
      <c r="K280" s="2" t="s">
        <v>840</v>
      </c>
      <c r="L280" s="2" t="s">
        <v>674</v>
      </c>
      <c r="M280" s="2"/>
      <c r="N280" s="2" t="str">
        <f>DitrbFlota[[#This Row],[TIPO BUS]]&amp;"-"&amp;DitrbFlota[[#This Row],[MARCA CHASIS]]</f>
        <v>B2-MERCEDES BENZ</v>
      </c>
      <c r="O280" s="2">
        <f>MONTH(DitrbFlota[[#This Row],[Inicio Operación]])</f>
        <v>4</v>
      </c>
      <c r="P280" s="2">
        <f>YEAR(DitrbFlota[[#This Row],[Inicio Operación]])</f>
        <v>2023</v>
      </c>
      <c r="Q280" s="29">
        <v>95</v>
      </c>
    </row>
    <row r="281" spans="1:18">
      <c r="A281" s="7" t="s">
        <v>421</v>
      </c>
      <c r="B281" s="2" t="s">
        <v>667</v>
      </c>
      <c r="C281" s="2">
        <v>6059</v>
      </c>
      <c r="D281" s="2" t="s">
        <v>34</v>
      </c>
      <c r="E281" s="2" t="s">
        <v>13</v>
      </c>
      <c r="F281" s="2" t="s">
        <v>145</v>
      </c>
      <c r="G281" s="277" t="s">
        <v>674</v>
      </c>
      <c r="H281" s="277" t="s">
        <v>674</v>
      </c>
      <c r="I281" s="277">
        <v>45024</v>
      </c>
      <c r="J281" s="2" t="s">
        <v>830</v>
      </c>
      <c r="K281" s="2" t="s">
        <v>840</v>
      </c>
      <c r="L281" s="2" t="s">
        <v>674</v>
      </c>
      <c r="M281" s="2"/>
      <c r="N281" s="2" t="str">
        <f>DitrbFlota[[#This Row],[TIPO BUS]]&amp;"-"&amp;DitrbFlota[[#This Row],[MARCA CHASIS]]</f>
        <v>B2-MERCEDES BENZ</v>
      </c>
      <c r="O281" s="2">
        <f>MONTH(DitrbFlota[[#This Row],[Inicio Operación]])</f>
        <v>4</v>
      </c>
      <c r="P281" s="2">
        <f>YEAR(DitrbFlota[[#This Row],[Inicio Operación]])</f>
        <v>2023</v>
      </c>
      <c r="Q281" s="29">
        <v>95</v>
      </c>
    </row>
    <row r="282" spans="1:18">
      <c r="A282" s="7" t="s">
        <v>421</v>
      </c>
      <c r="B282" s="2" t="s">
        <v>532</v>
      </c>
      <c r="C282" s="2">
        <v>6060</v>
      </c>
      <c r="D282" s="2" t="s">
        <v>34</v>
      </c>
      <c r="E282" s="2" t="s">
        <v>13</v>
      </c>
      <c r="F282" s="2" t="s">
        <v>145</v>
      </c>
      <c r="G282" s="277" t="s">
        <v>674</v>
      </c>
      <c r="H282" s="277" t="s">
        <v>674</v>
      </c>
      <c r="I282" s="277">
        <v>45003</v>
      </c>
      <c r="J282" s="2" t="s">
        <v>830</v>
      </c>
      <c r="K282" s="2" t="s">
        <v>840</v>
      </c>
      <c r="L282" s="2" t="s">
        <v>674</v>
      </c>
      <c r="M282" s="2"/>
      <c r="N282" s="2" t="str">
        <f>DitrbFlota[[#This Row],[TIPO BUS]]&amp;"-"&amp;DitrbFlota[[#This Row],[MARCA CHASIS]]</f>
        <v>B2-MERCEDES BENZ</v>
      </c>
      <c r="O282" s="2">
        <f>MONTH(DitrbFlota[[#This Row],[Inicio Operación]])</f>
        <v>3</v>
      </c>
      <c r="P282" s="2">
        <f>YEAR(DitrbFlota[[#This Row],[Inicio Operación]])</f>
        <v>2023</v>
      </c>
      <c r="Q282" s="29">
        <v>95</v>
      </c>
    </row>
    <row r="283" spans="1:18">
      <c r="A283" s="7" t="s">
        <v>421</v>
      </c>
      <c r="B283" s="2" t="s">
        <v>533</v>
      </c>
      <c r="C283" s="2">
        <v>6061</v>
      </c>
      <c r="D283" s="2" t="s">
        <v>34</v>
      </c>
      <c r="E283" s="2" t="s">
        <v>13</v>
      </c>
      <c r="F283" s="2" t="s">
        <v>145</v>
      </c>
      <c r="G283" s="277" t="s">
        <v>674</v>
      </c>
      <c r="H283" s="277" t="s">
        <v>674</v>
      </c>
      <c r="I283" s="277">
        <v>45024</v>
      </c>
      <c r="J283" s="2" t="s">
        <v>830</v>
      </c>
      <c r="K283" s="2" t="s">
        <v>840</v>
      </c>
      <c r="L283" s="2" t="s">
        <v>674</v>
      </c>
      <c r="M283" s="2"/>
      <c r="N283" s="2" t="str">
        <f>DitrbFlota[[#This Row],[TIPO BUS]]&amp;"-"&amp;DitrbFlota[[#This Row],[MARCA CHASIS]]</f>
        <v>B2-MERCEDES BENZ</v>
      </c>
      <c r="O283" s="2">
        <f>MONTH(DitrbFlota[[#This Row],[Inicio Operación]])</f>
        <v>4</v>
      </c>
      <c r="P283" s="2">
        <f>YEAR(DitrbFlota[[#This Row],[Inicio Operación]])</f>
        <v>2023</v>
      </c>
      <c r="Q283" s="29">
        <v>95</v>
      </c>
    </row>
    <row r="284" spans="1:18">
      <c r="A284" s="7" t="s">
        <v>421</v>
      </c>
      <c r="B284" s="2" t="s">
        <v>692</v>
      </c>
      <c r="C284" s="2">
        <v>6062</v>
      </c>
      <c r="D284" s="2" t="s">
        <v>34</v>
      </c>
      <c r="E284" s="2" t="s">
        <v>13</v>
      </c>
      <c r="F284" s="2" t="s">
        <v>145</v>
      </c>
      <c r="G284" s="277" t="s">
        <v>674</v>
      </c>
      <c r="H284" s="277" t="s">
        <v>674</v>
      </c>
      <c r="I284" s="277">
        <v>45024</v>
      </c>
      <c r="J284" s="2" t="s">
        <v>830</v>
      </c>
      <c r="K284" s="2" t="s">
        <v>840</v>
      </c>
      <c r="L284" s="2" t="s">
        <v>674</v>
      </c>
      <c r="M284" s="2"/>
      <c r="N284" s="2" t="str">
        <f>DitrbFlota[[#This Row],[TIPO BUS]]&amp;"-"&amp;DitrbFlota[[#This Row],[MARCA CHASIS]]</f>
        <v>B2-MERCEDES BENZ</v>
      </c>
      <c r="O284" s="2">
        <f>MONTH(DitrbFlota[[#This Row],[Inicio Operación]])</f>
        <v>4</v>
      </c>
      <c r="P284" s="2">
        <f>YEAR(DitrbFlota[[#This Row],[Inicio Operación]])</f>
        <v>2023</v>
      </c>
      <c r="Q284" s="29">
        <v>95</v>
      </c>
    </row>
    <row r="285" spans="1:18">
      <c r="A285" s="7" t="s">
        <v>421</v>
      </c>
      <c r="B285" s="2" t="s">
        <v>534</v>
      </c>
      <c r="C285" s="2">
        <v>6063</v>
      </c>
      <c r="D285" s="2" t="s">
        <v>34</v>
      </c>
      <c r="E285" s="2" t="s">
        <v>13</v>
      </c>
      <c r="F285" s="2" t="s">
        <v>145</v>
      </c>
      <c r="G285" s="277" t="s">
        <v>674</v>
      </c>
      <c r="H285" s="277" t="s">
        <v>674</v>
      </c>
      <c r="I285" s="277">
        <v>45024</v>
      </c>
      <c r="J285" s="2" t="s">
        <v>830</v>
      </c>
      <c r="K285" s="2" t="s">
        <v>841</v>
      </c>
      <c r="L285" s="2" t="s">
        <v>493</v>
      </c>
      <c r="M285" s="2"/>
      <c r="N285" s="2" t="str">
        <f>DitrbFlota[[#This Row],[TIPO BUS]]&amp;"-"&amp;DitrbFlota[[#This Row],[MARCA CHASIS]]</f>
        <v>B2-MERCEDES BENZ</v>
      </c>
      <c r="O285" s="2">
        <f>MONTH(DitrbFlota[[#This Row],[Inicio Operación]])</f>
        <v>4</v>
      </c>
      <c r="P285" s="2">
        <f>YEAR(DitrbFlota[[#This Row],[Inicio Operación]])</f>
        <v>2023</v>
      </c>
      <c r="Q285" s="29">
        <v>95</v>
      </c>
    </row>
    <row r="286" spans="1:18">
      <c r="A286" s="7" t="s">
        <v>421</v>
      </c>
      <c r="B286" s="2" t="s">
        <v>693</v>
      </c>
      <c r="C286" s="2">
        <v>6064</v>
      </c>
      <c r="D286" s="2" t="s">
        <v>34</v>
      </c>
      <c r="E286" s="2" t="s">
        <v>13</v>
      </c>
      <c r="F286" s="2" t="s">
        <v>145</v>
      </c>
      <c r="G286" s="277" t="s">
        <v>674</v>
      </c>
      <c r="H286" s="277" t="s">
        <v>674</v>
      </c>
      <c r="I286" s="277">
        <v>45024</v>
      </c>
      <c r="J286" s="2" t="s">
        <v>830</v>
      </c>
      <c r="K286" s="2" t="s">
        <v>840</v>
      </c>
      <c r="L286" s="2" t="s">
        <v>674</v>
      </c>
      <c r="M286" s="2"/>
      <c r="N286" s="2" t="str">
        <f>DitrbFlota[[#This Row],[TIPO BUS]]&amp;"-"&amp;DitrbFlota[[#This Row],[MARCA CHASIS]]</f>
        <v>B2-MERCEDES BENZ</v>
      </c>
      <c r="O286" s="2">
        <f>MONTH(DitrbFlota[[#This Row],[Inicio Operación]])</f>
        <v>4</v>
      </c>
      <c r="P286" s="2">
        <f>YEAR(DitrbFlota[[#This Row],[Inicio Operación]])</f>
        <v>2023</v>
      </c>
      <c r="Q286" s="29">
        <v>95</v>
      </c>
    </row>
    <row r="287" spans="1:18">
      <c r="A287" s="7" t="s">
        <v>421</v>
      </c>
      <c r="B287" s="2" t="s">
        <v>694</v>
      </c>
      <c r="C287" s="2">
        <v>6065</v>
      </c>
      <c r="D287" s="2" t="s">
        <v>34</v>
      </c>
      <c r="E287" s="2" t="s">
        <v>13</v>
      </c>
      <c r="F287" s="2" t="s">
        <v>145</v>
      </c>
      <c r="G287" s="277" t="s">
        <v>674</v>
      </c>
      <c r="H287" s="277" t="s">
        <v>674</v>
      </c>
      <c r="I287" s="277">
        <v>45024</v>
      </c>
      <c r="J287" s="2" t="s">
        <v>830</v>
      </c>
      <c r="K287" s="2" t="s">
        <v>840</v>
      </c>
      <c r="L287" s="2" t="s">
        <v>674</v>
      </c>
      <c r="M287" s="2"/>
      <c r="N287" s="2" t="str">
        <f>DitrbFlota[[#This Row],[TIPO BUS]]&amp;"-"&amp;DitrbFlota[[#This Row],[MARCA CHASIS]]</f>
        <v>B2-MERCEDES BENZ</v>
      </c>
      <c r="O287" s="2">
        <f>MONTH(DitrbFlota[[#This Row],[Inicio Operación]])</f>
        <v>4</v>
      </c>
      <c r="P287" s="2">
        <f>YEAR(DitrbFlota[[#This Row],[Inicio Operación]])</f>
        <v>2023</v>
      </c>
      <c r="Q287" s="29">
        <v>95</v>
      </c>
      <c r="R287" s="351"/>
    </row>
    <row r="288" spans="1:18">
      <c r="A288" s="7" t="s">
        <v>421</v>
      </c>
      <c r="B288" s="2" t="s">
        <v>535</v>
      </c>
      <c r="C288" s="2">
        <v>6066</v>
      </c>
      <c r="D288" s="2" t="s">
        <v>34</v>
      </c>
      <c r="E288" s="2" t="s">
        <v>13</v>
      </c>
      <c r="F288" s="2" t="s">
        <v>145</v>
      </c>
      <c r="G288" s="277" t="s">
        <v>674</v>
      </c>
      <c r="H288" s="277" t="s">
        <v>674</v>
      </c>
      <c r="I288" s="277">
        <v>45024</v>
      </c>
      <c r="J288" s="2" t="s">
        <v>830</v>
      </c>
      <c r="K288" s="2" t="s">
        <v>840</v>
      </c>
      <c r="L288" s="2" t="s">
        <v>674</v>
      </c>
      <c r="M288" s="2"/>
      <c r="N288" s="2" t="str">
        <f>DitrbFlota[[#This Row],[TIPO BUS]]&amp;"-"&amp;DitrbFlota[[#This Row],[MARCA CHASIS]]</f>
        <v>B2-MERCEDES BENZ</v>
      </c>
      <c r="O288" s="2">
        <f>MONTH(DitrbFlota[[#This Row],[Inicio Operación]])</f>
        <v>4</v>
      </c>
      <c r="P288" s="2">
        <f>YEAR(DitrbFlota[[#This Row],[Inicio Operación]])</f>
        <v>2023</v>
      </c>
      <c r="Q288" s="29">
        <v>95</v>
      </c>
    </row>
    <row r="289" spans="1:18">
      <c r="A289" s="7" t="s">
        <v>421</v>
      </c>
      <c r="B289" s="2" t="s">
        <v>695</v>
      </c>
      <c r="C289" s="2">
        <v>6067</v>
      </c>
      <c r="D289" s="2" t="s">
        <v>34</v>
      </c>
      <c r="E289" s="2" t="s">
        <v>13</v>
      </c>
      <c r="F289" s="2" t="s">
        <v>145</v>
      </c>
      <c r="G289" s="277" t="s">
        <v>674</v>
      </c>
      <c r="H289" s="277" t="s">
        <v>674</v>
      </c>
      <c r="I289" s="277">
        <v>45024</v>
      </c>
      <c r="J289" s="2" t="s">
        <v>830</v>
      </c>
      <c r="K289" s="2" t="s">
        <v>840</v>
      </c>
      <c r="L289" s="2" t="s">
        <v>674</v>
      </c>
      <c r="M289" s="2"/>
      <c r="N289" s="2" t="str">
        <f>DitrbFlota[[#This Row],[TIPO BUS]]&amp;"-"&amp;DitrbFlota[[#This Row],[MARCA CHASIS]]</f>
        <v>B2-MERCEDES BENZ</v>
      </c>
      <c r="O289" s="2">
        <f>MONTH(DitrbFlota[[#This Row],[Inicio Operación]])</f>
        <v>4</v>
      </c>
      <c r="P289" s="2">
        <f>YEAR(DitrbFlota[[#This Row],[Inicio Operación]])</f>
        <v>2023</v>
      </c>
      <c r="Q289" s="29">
        <v>95</v>
      </c>
    </row>
    <row r="290" spans="1:18">
      <c r="A290" s="7" t="s">
        <v>421</v>
      </c>
      <c r="B290" s="2" t="s">
        <v>536</v>
      </c>
      <c r="C290" s="2">
        <v>6068</v>
      </c>
      <c r="D290" s="2" t="s">
        <v>34</v>
      </c>
      <c r="E290" s="2" t="s">
        <v>13</v>
      </c>
      <c r="F290" s="2" t="s">
        <v>145</v>
      </c>
      <c r="G290" s="277" t="s">
        <v>674</v>
      </c>
      <c r="H290" s="277" t="s">
        <v>674</v>
      </c>
      <c r="I290" s="277">
        <v>45024</v>
      </c>
      <c r="J290" s="2" t="s">
        <v>830</v>
      </c>
      <c r="K290" s="2" t="s">
        <v>840</v>
      </c>
      <c r="L290" s="2" t="s">
        <v>674</v>
      </c>
      <c r="M290" s="2"/>
      <c r="N290" s="2" t="str">
        <f>DitrbFlota[[#This Row],[TIPO BUS]]&amp;"-"&amp;DitrbFlota[[#This Row],[MARCA CHASIS]]</f>
        <v>B2-MERCEDES BENZ</v>
      </c>
      <c r="O290" s="2">
        <f>MONTH(DitrbFlota[[#This Row],[Inicio Operación]])</f>
        <v>4</v>
      </c>
      <c r="P290" s="2">
        <f>YEAR(DitrbFlota[[#This Row],[Inicio Operación]])</f>
        <v>2023</v>
      </c>
      <c r="Q290" s="29">
        <v>95</v>
      </c>
    </row>
    <row r="291" spans="1:18">
      <c r="A291" s="7" t="s">
        <v>421</v>
      </c>
      <c r="B291" s="2" t="s">
        <v>537</v>
      </c>
      <c r="C291" s="2">
        <v>6069</v>
      </c>
      <c r="D291" s="2" t="s">
        <v>34</v>
      </c>
      <c r="E291" s="2" t="s">
        <v>13</v>
      </c>
      <c r="F291" s="2" t="s">
        <v>145</v>
      </c>
      <c r="G291" s="277" t="s">
        <v>674</v>
      </c>
      <c r="H291" s="277" t="s">
        <v>674</v>
      </c>
      <c r="I291" s="277">
        <v>45024</v>
      </c>
      <c r="J291" s="2" t="s">
        <v>830</v>
      </c>
      <c r="K291" s="2" t="s">
        <v>841</v>
      </c>
      <c r="L291" s="2" t="s">
        <v>493</v>
      </c>
      <c r="M291" s="2"/>
      <c r="N291" s="2" t="str">
        <f>DitrbFlota[[#This Row],[TIPO BUS]]&amp;"-"&amp;DitrbFlota[[#This Row],[MARCA CHASIS]]</f>
        <v>B2-MERCEDES BENZ</v>
      </c>
      <c r="O291" s="2">
        <f>MONTH(DitrbFlota[[#This Row],[Inicio Operación]])</f>
        <v>4</v>
      </c>
      <c r="P291" s="2">
        <f>YEAR(DitrbFlota[[#This Row],[Inicio Operación]])</f>
        <v>2023</v>
      </c>
      <c r="Q291" s="29">
        <v>95</v>
      </c>
    </row>
    <row r="292" spans="1:18">
      <c r="A292" s="7" t="s">
        <v>421</v>
      </c>
      <c r="B292" s="2" t="s">
        <v>668</v>
      </c>
      <c r="C292" s="2">
        <v>6070</v>
      </c>
      <c r="D292" s="2" t="s">
        <v>34</v>
      </c>
      <c r="E292" s="2" t="s">
        <v>13</v>
      </c>
      <c r="F292" s="2" t="s">
        <v>145</v>
      </c>
      <c r="G292" s="277" t="s">
        <v>674</v>
      </c>
      <c r="H292" s="277" t="s">
        <v>674</v>
      </c>
      <c r="I292" s="277">
        <v>45024</v>
      </c>
      <c r="J292" s="2" t="s">
        <v>830</v>
      </c>
      <c r="K292" s="2" t="s">
        <v>840</v>
      </c>
      <c r="L292" s="2" t="s">
        <v>674</v>
      </c>
      <c r="M292" s="2"/>
      <c r="N292" s="2" t="str">
        <f>DitrbFlota[[#This Row],[TIPO BUS]]&amp;"-"&amp;DitrbFlota[[#This Row],[MARCA CHASIS]]</f>
        <v>B2-MERCEDES BENZ</v>
      </c>
      <c r="O292" s="2">
        <f>MONTH(DitrbFlota[[#This Row],[Inicio Operación]])</f>
        <v>4</v>
      </c>
      <c r="P292" s="2">
        <f>YEAR(DitrbFlota[[#This Row],[Inicio Operación]])</f>
        <v>2023</v>
      </c>
      <c r="Q292" s="29">
        <v>95</v>
      </c>
    </row>
    <row r="293" spans="1:18">
      <c r="A293" s="7" t="s">
        <v>421</v>
      </c>
      <c r="B293" s="2" t="s">
        <v>696</v>
      </c>
      <c r="C293" s="2">
        <v>6072</v>
      </c>
      <c r="D293" s="2" t="s">
        <v>34</v>
      </c>
      <c r="E293" s="2" t="s">
        <v>13</v>
      </c>
      <c r="F293" s="2" t="s">
        <v>145</v>
      </c>
      <c r="G293" s="277" t="s">
        <v>674</v>
      </c>
      <c r="H293" s="277" t="s">
        <v>674</v>
      </c>
      <c r="I293" s="277">
        <v>45024</v>
      </c>
      <c r="J293" s="2" t="s">
        <v>830</v>
      </c>
      <c r="K293" s="2" t="s">
        <v>840</v>
      </c>
      <c r="L293" s="2" t="s">
        <v>674</v>
      </c>
      <c r="M293" s="2"/>
      <c r="N293" s="2" t="str">
        <f>DitrbFlota[[#This Row],[TIPO BUS]]&amp;"-"&amp;DitrbFlota[[#This Row],[MARCA CHASIS]]</f>
        <v>B2-MERCEDES BENZ</v>
      </c>
      <c r="O293" s="2">
        <f>MONTH(DitrbFlota[[#This Row],[Inicio Operación]])</f>
        <v>4</v>
      </c>
      <c r="P293" s="2">
        <f>YEAR(DitrbFlota[[#This Row],[Inicio Operación]])</f>
        <v>2023</v>
      </c>
      <c r="Q293" s="29">
        <v>95</v>
      </c>
    </row>
    <row r="294" spans="1:18">
      <c r="A294" s="7" t="s">
        <v>421</v>
      </c>
      <c r="B294" s="2" t="s">
        <v>697</v>
      </c>
      <c r="C294" s="2">
        <v>6073</v>
      </c>
      <c r="D294" s="2" t="s">
        <v>34</v>
      </c>
      <c r="E294" s="2" t="s">
        <v>13</v>
      </c>
      <c r="F294" s="2" t="s">
        <v>145</v>
      </c>
      <c r="G294" s="277" t="s">
        <v>674</v>
      </c>
      <c r="H294" s="277" t="s">
        <v>674</v>
      </c>
      <c r="I294" s="277">
        <v>45024</v>
      </c>
      <c r="J294" s="2" t="s">
        <v>830</v>
      </c>
      <c r="K294" s="2" t="s">
        <v>840</v>
      </c>
      <c r="L294" s="2" t="s">
        <v>674</v>
      </c>
      <c r="M294" s="2"/>
      <c r="N294" s="2" t="str">
        <f>DitrbFlota[[#This Row],[TIPO BUS]]&amp;"-"&amp;DitrbFlota[[#This Row],[MARCA CHASIS]]</f>
        <v>B2-MERCEDES BENZ</v>
      </c>
      <c r="O294" s="2">
        <f>MONTH(DitrbFlota[[#This Row],[Inicio Operación]])</f>
        <v>4</v>
      </c>
      <c r="P294" s="2">
        <f>YEAR(DitrbFlota[[#This Row],[Inicio Operación]])</f>
        <v>2023</v>
      </c>
      <c r="Q294" s="29">
        <v>95</v>
      </c>
    </row>
    <row r="295" spans="1:18">
      <c r="A295" s="7" t="s">
        <v>421</v>
      </c>
      <c r="B295" s="2" t="s">
        <v>698</v>
      </c>
      <c r="C295" s="2">
        <v>6074</v>
      </c>
      <c r="D295" s="2" t="s">
        <v>34</v>
      </c>
      <c r="E295" s="2" t="s">
        <v>13</v>
      </c>
      <c r="F295" s="2" t="s">
        <v>145</v>
      </c>
      <c r="G295" s="277" t="s">
        <v>674</v>
      </c>
      <c r="H295" s="277" t="s">
        <v>674</v>
      </c>
      <c r="I295" s="277">
        <v>45024</v>
      </c>
      <c r="J295" s="2" t="s">
        <v>830</v>
      </c>
      <c r="K295" s="2" t="s">
        <v>840</v>
      </c>
      <c r="L295" s="2" t="s">
        <v>674</v>
      </c>
      <c r="M295" s="2"/>
      <c r="N295" s="2" t="str">
        <f>DitrbFlota[[#This Row],[TIPO BUS]]&amp;"-"&amp;DitrbFlota[[#This Row],[MARCA CHASIS]]</f>
        <v>B2-MERCEDES BENZ</v>
      </c>
      <c r="O295" s="2">
        <f>MONTH(DitrbFlota[[#This Row],[Inicio Operación]])</f>
        <v>4</v>
      </c>
      <c r="P295" s="2">
        <f>YEAR(DitrbFlota[[#This Row],[Inicio Operación]])</f>
        <v>2023</v>
      </c>
      <c r="Q295" s="29">
        <v>95</v>
      </c>
    </row>
    <row r="296" spans="1:18">
      <c r="A296" s="7" t="s">
        <v>421</v>
      </c>
      <c r="B296" s="2" t="s">
        <v>699</v>
      </c>
      <c r="C296" s="2">
        <v>6075</v>
      </c>
      <c r="D296" s="2" t="s">
        <v>34</v>
      </c>
      <c r="E296" s="2" t="s">
        <v>13</v>
      </c>
      <c r="F296" s="2" t="s">
        <v>145</v>
      </c>
      <c r="G296" s="277" t="s">
        <v>674</v>
      </c>
      <c r="H296" s="277" t="s">
        <v>674</v>
      </c>
      <c r="I296" s="277">
        <v>45024</v>
      </c>
      <c r="J296" s="2" t="s">
        <v>830</v>
      </c>
      <c r="K296" s="2" t="s">
        <v>840</v>
      </c>
      <c r="L296" s="2" t="s">
        <v>674</v>
      </c>
      <c r="M296" s="2"/>
      <c r="N296" s="2" t="str">
        <f>DitrbFlota[[#This Row],[TIPO BUS]]&amp;"-"&amp;DitrbFlota[[#This Row],[MARCA CHASIS]]</f>
        <v>B2-MERCEDES BENZ</v>
      </c>
      <c r="O296" s="2">
        <f>MONTH(DitrbFlota[[#This Row],[Inicio Operación]])</f>
        <v>4</v>
      </c>
      <c r="P296" s="2">
        <f>YEAR(DitrbFlota[[#This Row],[Inicio Operación]])</f>
        <v>2023</v>
      </c>
      <c r="Q296" s="29">
        <v>95</v>
      </c>
      <c r="R296" s="351"/>
    </row>
    <row r="297" spans="1:18">
      <c r="A297" s="7" t="s">
        <v>421</v>
      </c>
      <c r="B297" s="2" t="s">
        <v>700</v>
      </c>
      <c r="C297" s="2">
        <v>6076</v>
      </c>
      <c r="D297" s="2" t="s">
        <v>34</v>
      </c>
      <c r="E297" s="2" t="s">
        <v>13</v>
      </c>
      <c r="F297" s="2" t="s">
        <v>145</v>
      </c>
      <c r="G297" s="277" t="s">
        <v>674</v>
      </c>
      <c r="H297" s="277" t="s">
        <v>674</v>
      </c>
      <c r="I297" s="277">
        <v>45024</v>
      </c>
      <c r="J297" s="2" t="s">
        <v>830</v>
      </c>
      <c r="K297" s="2" t="s">
        <v>840</v>
      </c>
      <c r="L297" s="2" t="s">
        <v>674</v>
      </c>
      <c r="M297" s="2"/>
      <c r="N297" s="2" t="str">
        <f>DitrbFlota[[#This Row],[TIPO BUS]]&amp;"-"&amp;DitrbFlota[[#This Row],[MARCA CHASIS]]</f>
        <v>B2-MERCEDES BENZ</v>
      </c>
      <c r="O297" s="2">
        <f>MONTH(DitrbFlota[[#This Row],[Inicio Operación]])</f>
        <v>4</v>
      </c>
      <c r="P297" s="2">
        <f>YEAR(DitrbFlota[[#This Row],[Inicio Operación]])</f>
        <v>2023</v>
      </c>
      <c r="Q297" s="29">
        <v>95</v>
      </c>
    </row>
    <row r="298" spans="1:18">
      <c r="A298" s="7" t="s">
        <v>421</v>
      </c>
      <c r="B298" s="2" t="s">
        <v>538</v>
      </c>
      <c r="C298" s="2">
        <v>6077</v>
      </c>
      <c r="D298" s="2" t="s">
        <v>34</v>
      </c>
      <c r="E298" s="2" t="s">
        <v>13</v>
      </c>
      <c r="F298" s="2" t="s">
        <v>145</v>
      </c>
      <c r="G298" s="277" t="s">
        <v>674</v>
      </c>
      <c r="H298" s="277" t="s">
        <v>674</v>
      </c>
      <c r="I298" s="277">
        <v>45024</v>
      </c>
      <c r="J298" s="2" t="s">
        <v>830</v>
      </c>
      <c r="K298" s="2" t="s">
        <v>840</v>
      </c>
      <c r="L298" s="2" t="s">
        <v>674</v>
      </c>
      <c r="M298" s="2"/>
      <c r="N298" s="2" t="str">
        <f>DitrbFlota[[#This Row],[TIPO BUS]]&amp;"-"&amp;DitrbFlota[[#This Row],[MARCA CHASIS]]</f>
        <v>B2-MERCEDES BENZ</v>
      </c>
      <c r="O298" s="2">
        <f>MONTH(DitrbFlota[[#This Row],[Inicio Operación]])</f>
        <v>4</v>
      </c>
      <c r="P298" s="2">
        <f>YEAR(DitrbFlota[[#This Row],[Inicio Operación]])</f>
        <v>2023</v>
      </c>
      <c r="Q298" s="29">
        <v>95</v>
      </c>
    </row>
    <row r="299" spans="1:18">
      <c r="A299" s="7" t="s">
        <v>421</v>
      </c>
      <c r="B299" s="2" t="s">
        <v>701</v>
      </c>
      <c r="C299" s="2">
        <v>6078</v>
      </c>
      <c r="D299" s="2" t="s">
        <v>34</v>
      </c>
      <c r="E299" s="2" t="s">
        <v>13</v>
      </c>
      <c r="F299" s="2" t="s">
        <v>145</v>
      </c>
      <c r="G299" s="277" t="s">
        <v>674</v>
      </c>
      <c r="H299" s="277" t="s">
        <v>674</v>
      </c>
      <c r="I299" s="277">
        <v>45024</v>
      </c>
      <c r="J299" s="2" t="s">
        <v>830</v>
      </c>
      <c r="K299" s="2" t="s">
        <v>840</v>
      </c>
      <c r="L299" s="2" t="s">
        <v>674</v>
      </c>
      <c r="M299" s="2"/>
      <c r="N299" s="2" t="str">
        <f>DitrbFlota[[#This Row],[TIPO BUS]]&amp;"-"&amp;DitrbFlota[[#This Row],[MARCA CHASIS]]</f>
        <v>B2-MERCEDES BENZ</v>
      </c>
      <c r="O299" s="2">
        <f>MONTH(DitrbFlota[[#This Row],[Inicio Operación]])</f>
        <v>4</v>
      </c>
      <c r="P299" s="2">
        <f>YEAR(DitrbFlota[[#This Row],[Inicio Operación]])</f>
        <v>2023</v>
      </c>
      <c r="Q299" s="29">
        <v>95</v>
      </c>
    </row>
    <row r="300" spans="1:18">
      <c r="A300" s="7" t="s">
        <v>421</v>
      </c>
      <c r="B300" s="2" t="s">
        <v>669</v>
      </c>
      <c r="C300" s="2">
        <v>6079</v>
      </c>
      <c r="D300" s="2" t="s">
        <v>34</v>
      </c>
      <c r="E300" s="2" t="s">
        <v>13</v>
      </c>
      <c r="F300" s="2" t="s">
        <v>145</v>
      </c>
      <c r="G300" s="277" t="s">
        <v>674</v>
      </c>
      <c r="H300" s="277" t="s">
        <v>674</v>
      </c>
      <c r="I300" s="277">
        <v>45024</v>
      </c>
      <c r="J300" s="2" t="s">
        <v>830</v>
      </c>
      <c r="K300" s="2" t="s">
        <v>840</v>
      </c>
      <c r="L300" s="2" t="s">
        <v>674</v>
      </c>
      <c r="M300" s="2"/>
      <c r="N300" s="2" t="str">
        <f>DitrbFlota[[#This Row],[TIPO BUS]]&amp;"-"&amp;DitrbFlota[[#This Row],[MARCA CHASIS]]</f>
        <v>B2-MERCEDES BENZ</v>
      </c>
      <c r="O300" s="2">
        <f>MONTH(DitrbFlota[[#This Row],[Inicio Operación]])</f>
        <v>4</v>
      </c>
      <c r="P300" s="2">
        <f>YEAR(DitrbFlota[[#This Row],[Inicio Operación]])</f>
        <v>2023</v>
      </c>
      <c r="Q300" s="29">
        <v>95</v>
      </c>
    </row>
    <row r="301" spans="1:18">
      <c r="A301" s="7" t="s">
        <v>421</v>
      </c>
      <c r="B301" s="2" t="s">
        <v>670</v>
      </c>
      <c r="C301" s="2">
        <v>6080</v>
      </c>
      <c r="D301" s="2" t="s">
        <v>34</v>
      </c>
      <c r="E301" s="2" t="s">
        <v>13</v>
      </c>
      <c r="F301" s="2" t="s">
        <v>145</v>
      </c>
      <c r="G301" s="277" t="s">
        <v>674</v>
      </c>
      <c r="H301" s="277" t="s">
        <v>674</v>
      </c>
      <c r="I301" s="277">
        <v>45024</v>
      </c>
      <c r="J301" s="2" t="s">
        <v>830</v>
      </c>
      <c r="K301" s="2" t="s">
        <v>840</v>
      </c>
      <c r="L301" s="2" t="s">
        <v>674</v>
      </c>
      <c r="M301" s="2"/>
      <c r="N301" s="2" t="str">
        <f>DitrbFlota[[#This Row],[TIPO BUS]]&amp;"-"&amp;DitrbFlota[[#This Row],[MARCA CHASIS]]</f>
        <v>B2-MERCEDES BENZ</v>
      </c>
      <c r="O301" s="2">
        <f>MONTH(DitrbFlota[[#This Row],[Inicio Operación]])</f>
        <v>4</v>
      </c>
      <c r="P301" s="2">
        <f>YEAR(DitrbFlota[[#This Row],[Inicio Operación]])</f>
        <v>2023</v>
      </c>
      <c r="Q301" s="29">
        <v>95</v>
      </c>
    </row>
    <row r="302" spans="1:18">
      <c r="A302" s="7" t="s">
        <v>421</v>
      </c>
      <c r="B302" s="2" t="s">
        <v>671</v>
      </c>
      <c r="C302" s="2">
        <v>6081</v>
      </c>
      <c r="D302" s="2" t="s">
        <v>34</v>
      </c>
      <c r="E302" s="2" t="s">
        <v>13</v>
      </c>
      <c r="F302" s="2" t="s">
        <v>145</v>
      </c>
      <c r="G302" s="277" t="s">
        <v>674</v>
      </c>
      <c r="H302" s="277" t="s">
        <v>674</v>
      </c>
      <c r="I302" s="277">
        <v>45024</v>
      </c>
      <c r="J302" s="2" t="s">
        <v>830</v>
      </c>
      <c r="K302" s="2" t="s">
        <v>841</v>
      </c>
      <c r="L302" s="2" t="s">
        <v>493</v>
      </c>
      <c r="M302" s="2"/>
      <c r="N302" s="2" t="str">
        <f>DitrbFlota[[#This Row],[TIPO BUS]]&amp;"-"&amp;DitrbFlota[[#This Row],[MARCA CHASIS]]</f>
        <v>B2-MERCEDES BENZ</v>
      </c>
      <c r="O302" s="2">
        <f>MONTH(DitrbFlota[[#This Row],[Inicio Operación]])</f>
        <v>4</v>
      </c>
      <c r="P302" s="2">
        <f>YEAR(DitrbFlota[[#This Row],[Inicio Operación]])</f>
        <v>2023</v>
      </c>
      <c r="Q302" s="29">
        <v>95</v>
      </c>
    </row>
    <row r="303" spans="1:18">
      <c r="A303" s="7" t="s">
        <v>421</v>
      </c>
      <c r="B303" s="2" t="s">
        <v>539</v>
      </c>
      <c r="C303" s="2">
        <v>6082</v>
      </c>
      <c r="D303" s="2" t="s">
        <v>34</v>
      </c>
      <c r="E303" s="2" t="s">
        <v>13</v>
      </c>
      <c r="F303" s="2" t="s">
        <v>145</v>
      </c>
      <c r="G303" s="277" t="s">
        <v>674</v>
      </c>
      <c r="H303" s="277" t="s">
        <v>674</v>
      </c>
      <c r="I303" s="277">
        <v>45024</v>
      </c>
      <c r="J303" s="2" t="s">
        <v>830</v>
      </c>
      <c r="K303" s="2" t="s">
        <v>840</v>
      </c>
      <c r="L303" s="2" t="s">
        <v>674</v>
      </c>
      <c r="M303" s="2"/>
      <c r="N303" s="2" t="str">
        <f>DitrbFlota[[#This Row],[TIPO BUS]]&amp;"-"&amp;DitrbFlota[[#This Row],[MARCA CHASIS]]</f>
        <v>B2-MERCEDES BENZ</v>
      </c>
      <c r="O303" s="2">
        <f>MONTH(DitrbFlota[[#This Row],[Inicio Operación]])</f>
        <v>4</v>
      </c>
      <c r="P303" s="2">
        <f>YEAR(DitrbFlota[[#This Row],[Inicio Operación]])</f>
        <v>2023</v>
      </c>
      <c r="Q303" s="29">
        <v>95</v>
      </c>
    </row>
    <row r="304" spans="1:18">
      <c r="A304" s="7" t="s">
        <v>421</v>
      </c>
      <c r="B304" s="2" t="s">
        <v>541</v>
      </c>
      <c r="C304" s="2">
        <v>6084</v>
      </c>
      <c r="D304" s="2" t="s">
        <v>34</v>
      </c>
      <c r="E304" s="2" t="s">
        <v>13</v>
      </c>
      <c r="F304" s="2" t="s">
        <v>145</v>
      </c>
      <c r="G304" s="277" t="s">
        <v>674</v>
      </c>
      <c r="H304" s="277" t="s">
        <v>674</v>
      </c>
      <c r="I304" s="277">
        <v>45024</v>
      </c>
      <c r="J304" s="2" t="s">
        <v>830</v>
      </c>
      <c r="K304" s="2" t="s">
        <v>840</v>
      </c>
      <c r="L304" s="2" t="s">
        <v>674</v>
      </c>
      <c r="M304" s="2"/>
      <c r="N304" s="2" t="str">
        <f>DitrbFlota[[#This Row],[TIPO BUS]]&amp;"-"&amp;DitrbFlota[[#This Row],[MARCA CHASIS]]</f>
        <v>B2-MERCEDES BENZ</v>
      </c>
      <c r="O304" s="2">
        <f>MONTH(DitrbFlota[[#This Row],[Inicio Operación]])</f>
        <v>4</v>
      </c>
      <c r="P304" s="2">
        <f>YEAR(DitrbFlota[[#This Row],[Inicio Operación]])</f>
        <v>2023</v>
      </c>
      <c r="Q304" s="29">
        <v>95</v>
      </c>
      <c r="R304" s="351"/>
    </row>
    <row r="305" spans="1:17">
      <c r="A305" s="7" t="s">
        <v>421</v>
      </c>
      <c r="B305" s="2" t="s">
        <v>672</v>
      </c>
      <c r="C305" s="2">
        <v>6085</v>
      </c>
      <c r="D305" s="2" t="s">
        <v>34</v>
      </c>
      <c r="E305" s="2" t="s">
        <v>13</v>
      </c>
      <c r="F305" s="2" t="s">
        <v>145</v>
      </c>
      <c r="G305" s="277" t="s">
        <v>674</v>
      </c>
      <c r="H305" s="277" t="s">
        <v>674</v>
      </c>
      <c r="I305" s="277">
        <v>45024</v>
      </c>
      <c r="J305" s="2" t="s">
        <v>830</v>
      </c>
      <c r="K305" s="2" t="s">
        <v>841</v>
      </c>
      <c r="L305" s="2" t="s">
        <v>493</v>
      </c>
      <c r="M305" s="2"/>
      <c r="N305" s="2" t="str">
        <f>DitrbFlota[[#This Row],[TIPO BUS]]&amp;"-"&amp;DitrbFlota[[#This Row],[MARCA CHASIS]]</f>
        <v>B2-MERCEDES BENZ</v>
      </c>
      <c r="O305" s="2">
        <f>MONTH(DitrbFlota[[#This Row],[Inicio Operación]])</f>
        <v>4</v>
      </c>
      <c r="P305" s="2">
        <f>YEAR(DitrbFlota[[#This Row],[Inicio Operación]])</f>
        <v>2023</v>
      </c>
      <c r="Q305" s="29">
        <v>95</v>
      </c>
    </row>
    <row r="306" spans="1:17">
      <c r="A306" s="7" t="s">
        <v>421</v>
      </c>
      <c r="B306" s="2" t="s">
        <v>702</v>
      </c>
      <c r="C306" s="2">
        <v>6086</v>
      </c>
      <c r="D306" s="2" t="s">
        <v>34</v>
      </c>
      <c r="E306" s="2" t="s">
        <v>13</v>
      </c>
      <c r="F306" s="2" t="s">
        <v>145</v>
      </c>
      <c r="G306" s="277" t="s">
        <v>674</v>
      </c>
      <c r="H306" s="277" t="s">
        <v>674</v>
      </c>
      <c r="I306" s="277">
        <v>45024</v>
      </c>
      <c r="J306" s="2" t="s">
        <v>830</v>
      </c>
      <c r="K306" s="2" t="s">
        <v>840</v>
      </c>
      <c r="L306" s="2" t="s">
        <v>674</v>
      </c>
      <c r="M306" s="2"/>
      <c r="N306" s="2" t="str">
        <f>DitrbFlota[[#This Row],[TIPO BUS]]&amp;"-"&amp;DitrbFlota[[#This Row],[MARCA CHASIS]]</f>
        <v>B2-MERCEDES BENZ</v>
      </c>
      <c r="O306" s="2">
        <f>MONTH(DitrbFlota[[#This Row],[Inicio Operación]])</f>
        <v>4</v>
      </c>
      <c r="P306" s="2">
        <f>YEAR(DitrbFlota[[#This Row],[Inicio Operación]])</f>
        <v>2023</v>
      </c>
      <c r="Q306" s="29">
        <v>95</v>
      </c>
    </row>
    <row r="307" spans="1:17">
      <c r="A307" s="7" t="s">
        <v>421</v>
      </c>
      <c r="B307" s="2" t="s">
        <v>703</v>
      </c>
      <c r="C307" s="2">
        <v>6087</v>
      </c>
      <c r="D307" s="2" t="s">
        <v>34</v>
      </c>
      <c r="E307" s="2" t="s">
        <v>13</v>
      </c>
      <c r="F307" s="2" t="s">
        <v>145</v>
      </c>
      <c r="G307" s="277" t="s">
        <v>674</v>
      </c>
      <c r="H307" s="277" t="s">
        <v>674</v>
      </c>
      <c r="I307" s="277">
        <v>45024</v>
      </c>
      <c r="J307" s="2" t="s">
        <v>830</v>
      </c>
      <c r="K307" s="2" t="s">
        <v>840</v>
      </c>
      <c r="L307" s="2" t="s">
        <v>674</v>
      </c>
      <c r="M307" s="2"/>
      <c r="N307" s="2" t="str">
        <f>DitrbFlota[[#This Row],[TIPO BUS]]&amp;"-"&amp;DitrbFlota[[#This Row],[MARCA CHASIS]]</f>
        <v>B2-MERCEDES BENZ</v>
      </c>
      <c r="O307" s="2">
        <f>MONTH(DitrbFlota[[#This Row],[Inicio Operación]])</f>
        <v>4</v>
      </c>
      <c r="P307" s="2">
        <f>YEAR(DitrbFlota[[#This Row],[Inicio Operación]])</f>
        <v>2023</v>
      </c>
      <c r="Q307" s="29">
        <v>95</v>
      </c>
    </row>
    <row r="308" spans="1:17">
      <c r="A308" s="7" t="s">
        <v>421</v>
      </c>
      <c r="B308" s="2" t="s">
        <v>704</v>
      </c>
      <c r="C308" s="2">
        <v>6088</v>
      </c>
      <c r="D308" s="2" t="s">
        <v>34</v>
      </c>
      <c r="E308" s="2" t="s">
        <v>13</v>
      </c>
      <c r="F308" s="2" t="s">
        <v>145</v>
      </c>
      <c r="G308" s="277" t="s">
        <v>674</v>
      </c>
      <c r="H308" s="277" t="s">
        <v>674</v>
      </c>
      <c r="I308" s="277">
        <v>45024</v>
      </c>
      <c r="J308" s="2" t="s">
        <v>830</v>
      </c>
      <c r="K308" s="2" t="s">
        <v>840</v>
      </c>
      <c r="L308" s="2" t="s">
        <v>674</v>
      </c>
      <c r="M308" s="2"/>
      <c r="N308" s="2" t="str">
        <f>DitrbFlota[[#This Row],[TIPO BUS]]&amp;"-"&amp;DitrbFlota[[#This Row],[MARCA CHASIS]]</f>
        <v>B2-MERCEDES BENZ</v>
      </c>
      <c r="O308" s="2">
        <f>MONTH(DitrbFlota[[#This Row],[Inicio Operación]])</f>
        <v>4</v>
      </c>
      <c r="P308" s="2">
        <f>YEAR(DitrbFlota[[#This Row],[Inicio Operación]])</f>
        <v>2023</v>
      </c>
      <c r="Q308" s="29">
        <v>95</v>
      </c>
    </row>
    <row r="309" spans="1:17">
      <c r="A309" s="7" t="s">
        <v>421</v>
      </c>
      <c r="B309" s="2" t="s">
        <v>542</v>
      </c>
      <c r="C309" s="2">
        <v>6089</v>
      </c>
      <c r="D309" s="2" t="s">
        <v>34</v>
      </c>
      <c r="E309" s="2" t="s">
        <v>13</v>
      </c>
      <c r="F309" s="2" t="s">
        <v>145</v>
      </c>
      <c r="G309" s="277" t="s">
        <v>674</v>
      </c>
      <c r="H309" s="277" t="s">
        <v>674</v>
      </c>
      <c r="I309" s="277">
        <v>45024</v>
      </c>
      <c r="J309" s="2" t="s">
        <v>830</v>
      </c>
      <c r="K309" s="2" t="s">
        <v>841</v>
      </c>
      <c r="L309" s="2" t="s">
        <v>493</v>
      </c>
      <c r="M309" s="2"/>
      <c r="N309" s="2" t="str">
        <f>DitrbFlota[[#This Row],[TIPO BUS]]&amp;"-"&amp;DitrbFlota[[#This Row],[MARCA CHASIS]]</f>
        <v>B2-MERCEDES BENZ</v>
      </c>
      <c r="O309" s="2">
        <f>MONTH(DitrbFlota[[#This Row],[Inicio Operación]])</f>
        <v>4</v>
      </c>
      <c r="P309" s="2">
        <f>YEAR(DitrbFlota[[#This Row],[Inicio Operación]])</f>
        <v>2023</v>
      </c>
      <c r="Q309" s="29">
        <v>95</v>
      </c>
    </row>
    <row r="310" spans="1:17">
      <c r="A310" s="7" t="s">
        <v>421</v>
      </c>
      <c r="B310" s="2" t="s">
        <v>543</v>
      </c>
      <c r="C310" s="2">
        <v>6090</v>
      </c>
      <c r="D310" s="2" t="s">
        <v>34</v>
      </c>
      <c r="E310" s="2" t="s">
        <v>13</v>
      </c>
      <c r="F310" s="2" t="s">
        <v>145</v>
      </c>
      <c r="G310" s="277" t="s">
        <v>674</v>
      </c>
      <c r="H310" s="277" t="s">
        <v>674</v>
      </c>
      <c r="I310" s="277">
        <v>45024</v>
      </c>
      <c r="J310" s="2" t="s">
        <v>830</v>
      </c>
      <c r="K310" s="2" t="s">
        <v>841</v>
      </c>
      <c r="L310" s="2" t="s">
        <v>493</v>
      </c>
      <c r="M310" s="2"/>
      <c r="N310" s="2" t="str">
        <f>DitrbFlota[[#This Row],[TIPO BUS]]&amp;"-"&amp;DitrbFlota[[#This Row],[MARCA CHASIS]]</f>
        <v>B2-MERCEDES BENZ</v>
      </c>
      <c r="O310" s="2">
        <f>MONTH(DitrbFlota[[#This Row],[Inicio Operación]])</f>
        <v>4</v>
      </c>
      <c r="P310" s="2">
        <f>YEAR(DitrbFlota[[#This Row],[Inicio Operación]])</f>
        <v>2023</v>
      </c>
      <c r="Q310" s="29">
        <v>95</v>
      </c>
    </row>
    <row r="311" spans="1:17">
      <c r="A311" s="7" t="s">
        <v>421</v>
      </c>
      <c r="B311" s="2" t="s">
        <v>705</v>
      </c>
      <c r="C311" s="2">
        <v>7000</v>
      </c>
      <c r="D311" s="2" t="s">
        <v>147</v>
      </c>
      <c r="E311" s="2" t="s">
        <v>25</v>
      </c>
      <c r="F311" s="2" t="s">
        <v>690</v>
      </c>
      <c r="G311" s="277" t="s">
        <v>674</v>
      </c>
      <c r="H311" s="277" t="s">
        <v>674</v>
      </c>
      <c r="I311" s="277">
        <v>45024</v>
      </c>
      <c r="J311" s="2" t="s">
        <v>830</v>
      </c>
      <c r="K311" s="2" t="s">
        <v>840</v>
      </c>
      <c r="L311" s="2" t="s">
        <v>674</v>
      </c>
      <c r="M311" s="2"/>
      <c r="N311" s="2" t="str">
        <f>DitrbFlota[[#This Row],[TIPO BUS]]&amp;"-"&amp;DitrbFlota[[#This Row],[MARCA CHASIS]]</f>
        <v>BE-YUTONG</v>
      </c>
      <c r="O311" s="2">
        <f>MONTH(DitrbFlota[[#This Row],[Inicio Operación]])</f>
        <v>4</v>
      </c>
      <c r="P311" s="2">
        <f>YEAR(DitrbFlota[[#This Row],[Inicio Operación]])</f>
        <v>2023</v>
      </c>
      <c r="Q311" s="29">
        <v>87</v>
      </c>
    </row>
    <row r="312" spans="1:17">
      <c r="A312" s="7" t="s">
        <v>421</v>
      </c>
      <c r="B312" s="2" t="s">
        <v>706</v>
      </c>
      <c r="C312" s="2">
        <v>7001</v>
      </c>
      <c r="D312" s="2" t="s">
        <v>147</v>
      </c>
      <c r="E312" s="2" t="s">
        <v>25</v>
      </c>
      <c r="F312" s="2" t="s">
        <v>690</v>
      </c>
      <c r="G312" s="277" t="s">
        <v>674</v>
      </c>
      <c r="H312" s="277" t="s">
        <v>674</v>
      </c>
      <c r="I312" s="277">
        <v>45024</v>
      </c>
      <c r="J312" s="2" t="s">
        <v>830</v>
      </c>
      <c r="K312" s="2" t="s">
        <v>840</v>
      </c>
      <c r="L312" s="2" t="s">
        <v>674</v>
      </c>
      <c r="M312" s="2"/>
      <c r="N312" s="2" t="str">
        <f>DitrbFlota[[#This Row],[TIPO BUS]]&amp;"-"&amp;DitrbFlota[[#This Row],[MARCA CHASIS]]</f>
        <v>BE-YUTONG</v>
      </c>
      <c r="O312" s="2">
        <f>MONTH(DitrbFlota[[#This Row],[Inicio Operación]])</f>
        <v>4</v>
      </c>
      <c r="P312" s="2">
        <f>YEAR(DitrbFlota[[#This Row],[Inicio Operación]])</f>
        <v>2023</v>
      </c>
      <c r="Q312" s="29">
        <v>87</v>
      </c>
    </row>
    <row r="313" spans="1:17">
      <c r="A313" s="7" t="s">
        <v>421</v>
      </c>
      <c r="B313" s="2" t="s">
        <v>707</v>
      </c>
      <c r="C313" s="2">
        <v>7002</v>
      </c>
      <c r="D313" s="2" t="s">
        <v>147</v>
      </c>
      <c r="E313" s="2" t="s">
        <v>13</v>
      </c>
      <c r="F313" s="2" t="s">
        <v>690</v>
      </c>
      <c r="G313" s="277" t="s">
        <v>674</v>
      </c>
      <c r="H313" s="277" t="s">
        <v>674</v>
      </c>
      <c r="I313" s="277">
        <v>45024</v>
      </c>
      <c r="J313" s="2" t="s">
        <v>830</v>
      </c>
      <c r="K313" s="2" t="s">
        <v>840</v>
      </c>
      <c r="L313" s="2" t="s">
        <v>674</v>
      </c>
      <c r="M313" s="2"/>
      <c r="N313" s="2" t="str">
        <f>DitrbFlota[[#This Row],[TIPO BUS]]&amp;"-"&amp;DitrbFlota[[#This Row],[MARCA CHASIS]]</f>
        <v>BE-YUTONG</v>
      </c>
      <c r="O313" s="2">
        <f>MONTH(DitrbFlota[[#This Row],[Inicio Operación]])</f>
        <v>4</v>
      </c>
      <c r="P313" s="2">
        <f>YEAR(DitrbFlota[[#This Row],[Inicio Operación]])</f>
        <v>2023</v>
      </c>
      <c r="Q313" s="29">
        <v>87</v>
      </c>
    </row>
    <row r="314" spans="1:17">
      <c r="A314" s="7" t="s">
        <v>421</v>
      </c>
      <c r="B314" s="2" t="s">
        <v>708</v>
      </c>
      <c r="C314" s="2">
        <v>7003</v>
      </c>
      <c r="D314" s="2" t="s">
        <v>147</v>
      </c>
      <c r="E314" s="2" t="s">
        <v>13</v>
      </c>
      <c r="F314" s="2" t="s">
        <v>690</v>
      </c>
      <c r="G314" s="277" t="s">
        <v>674</v>
      </c>
      <c r="H314" s="277" t="s">
        <v>674</v>
      </c>
      <c r="I314" s="277">
        <v>45024</v>
      </c>
      <c r="J314" s="2" t="s">
        <v>830</v>
      </c>
      <c r="K314" s="2" t="s">
        <v>840</v>
      </c>
      <c r="L314" s="2" t="s">
        <v>674</v>
      </c>
      <c r="M314" s="2"/>
      <c r="N314" s="2" t="str">
        <f>DitrbFlota[[#This Row],[TIPO BUS]]&amp;"-"&amp;DitrbFlota[[#This Row],[MARCA CHASIS]]</f>
        <v>BE-YUTONG</v>
      </c>
      <c r="O314" s="2">
        <f>MONTH(DitrbFlota[[#This Row],[Inicio Operación]])</f>
        <v>4</v>
      </c>
      <c r="P314" s="2">
        <f>YEAR(DitrbFlota[[#This Row],[Inicio Operación]])</f>
        <v>2023</v>
      </c>
      <c r="Q314" s="29">
        <v>87</v>
      </c>
    </row>
    <row r="315" spans="1:17">
      <c r="A315" s="7" t="s">
        <v>421</v>
      </c>
      <c r="B315" s="2" t="s">
        <v>709</v>
      </c>
      <c r="C315" s="2">
        <v>7004</v>
      </c>
      <c r="D315" s="2" t="s">
        <v>147</v>
      </c>
      <c r="E315" s="2" t="s">
        <v>13</v>
      </c>
      <c r="F315" s="2" t="s">
        <v>690</v>
      </c>
      <c r="G315" s="277" t="s">
        <v>674</v>
      </c>
      <c r="H315" s="277" t="s">
        <v>674</v>
      </c>
      <c r="I315" s="277">
        <v>45024</v>
      </c>
      <c r="J315" s="2" t="s">
        <v>830</v>
      </c>
      <c r="K315" s="2" t="s">
        <v>840</v>
      </c>
      <c r="L315" s="2" t="s">
        <v>674</v>
      </c>
      <c r="M315" s="2"/>
      <c r="N315" s="2" t="str">
        <f>DitrbFlota[[#This Row],[TIPO BUS]]&amp;"-"&amp;DitrbFlota[[#This Row],[MARCA CHASIS]]</f>
        <v>BE-YUTONG</v>
      </c>
      <c r="O315" s="2">
        <f>MONTH(DitrbFlota[[#This Row],[Inicio Operación]])</f>
        <v>4</v>
      </c>
      <c r="P315" s="2">
        <f>YEAR(DitrbFlota[[#This Row],[Inicio Operación]])</f>
        <v>2023</v>
      </c>
      <c r="Q315" s="29">
        <v>87</v>
      </c>
    </row>
    <row r="316" spans="1:17">
      <c r="A316" s="7" t="s">
        <v>421</v>
      </c>
      <c r="B316" s="2" t="s">
        <v>710</v>
      </c>
      <c r="C316" s="2">
        <v>7005</v>
      </c>
      <c r="D316" s="2" t="s">
        <v>147</v>
      </c>
      <c r="E316" s="2" t="s">
        <v>13</v>
      </c>
      <c r="F316" s="2" t="s">
        <v>690</v>
      </c>
      <c r="G316" s="277" t="s">
        <v>674</v>
      </c>
      <c r="H316" s="277" t="s">
        <v>674</v>
      </c>
      <c r="I316" s="277">
        <v>45024</v>
      </c>
      <c r="J316" s="2" t="s">
        <v>830</v>
      </c>
      <c r="K316" s="2" t="s">
        <v>840</v>
      </c>
      <c r="L316" s="2" t="s">
        <v>674</v>
      </c>
      <c r="M316" s="2"/>
      <c r="N316" s="2" t="str">
        <f>DitrbFlota[[#This Row],[TIPO BUS]]&amp;"-"&amp;DitrbFlota[[#This Row],[MARCA CHASIS]]</f>
        <v>BE-YUTONG</v>
      </c>
      <c r="O316" s="2">
        <f>MONTH(DitrbFlota[[#This Row],[Inicio Operación]])</f>
        <v>4</v>
      </c>
      <c r="P316" s="2">
        <f>YEAR(DitrbFlota[[#This Row],[Inicio Operación]])</f>
        <v>2023</v>
      </c>
      <c r="Q316" s="29">
        <v>87</v>
      </c>
    </row>
    <row r="317" spans="1:17">
      <c r="A317" s="7" t="s">
        <v>421</v>
      </c>
      <c r="B317" s="2" t="s">
        <v>711</v>
      </c>
      <c r="C317" s="2">
        <v>7006</v>
      </c>
      <c r="D317" s="2" t="s">
        <v>147</v>
      </c>
      <c r="E317" s="2" t="s">
        <v>13</v>
      </c>
      <c r="F317" s="2" t="s">
        <v>690</v>
      </c>
      <c r="G317" s="277" t="s">
        <v>674</v>
      </c>
      <c r="H317" s="277" t="s">
        <v>674</v>
      </c>
      <c r="I317" s="277">
        <v>45024</v>
      </c>
      <c r="J317" s="2" t="s">
        <v>830</v>
      </c>
      <c r="K317" s="2" t="s">
        <v>840</v>
      </c>
      <c r="L317" s="2" t="s">
        <v>674</v>
      </c>
      <c r="M317" s="2"/>
      <c r="N317" s="2" t="str">
        <f>DitrbFlota[[#This Row],[TIPO BUS]]&amp;"-"&amp;DitrbFlota[[#This Row],[MARCA CHASIS]]</f>
        <v>BE-YUTONG</v>
      </c>
      <c r="O317" s="2">
        <f>MONTH(DitrbFlota[[#This Row],[Inicio Operación]])</f>
        <v>4</v>
      </c>
      <c r="P317" s="2">
        <f>YEAR(DitrbFlota[[#This Row],[Inicio Operación]])</f>
        <v>2023</v>
      </c>
      <c r="Q317" s="29">
        <v>87</v>
      </c>
    </row>
    <row r="318" spans="1:17">
      <c r="A318" s="7" t="s">
        <v>421</v>
      </c>
      <c r="B318" s="2" t="s">
        <v>712</v>
      </c>
      <c r="C318" s="2">
        <v>7007</v>
      </c>
      <c r="D318" s="2" t="s">
        <v>147</v>
      </c>
      <c r="E318" s="2" t="s">
        <v>13</v>
      </c>
      <c r="F318" s="2" t="s">
        <v>690</v>
      </c>
      <c r="G318" s="277" t="s">
        <v>674</v>
      </c>
      <c r="H318" s="277" t="s">
        <v>674</v>
      </c>
      <c r="I318" s="277">
        <v>45024</v>
      </c>
      <c r="J318" s="2" t="s">
        <v>830</v>
      </c>
      <c r="K318" s="2" t="s">
        <v>840</v>
      </c>
      <c r="L318" s="2" t="s">
        <v>674</v>
      </c>
      <c r="M318" s="2"/>
      <c r="N318" s="2" t="str">
        <f>DitrbFlota[[#This Row],[TIPO BUS]]&amp;"-"&amp;DitrbFlota[[#This Row],[MARCA CHASIS]]</f>
        <v>BE-YUTONG</v>
      </c>
      <c r="O318" s="2">
        <f>MONTH(DitrbFlota[[#This Row],[Inicio Operación]])</f>
        <v>4</v>
      </c>
      <c r="P318" s="2">
        <f>YEAR(DitrbFlota[[#This Row],[Inicio Operación]])</f>
        <v>2023</v>
      </c>
      <c r="Q318" s="29">
        <v>87</v>
      </c>
    </row>
    <row r="319" spans="1:17">
      <c r="A319" s="7" t="s">
        <v>421</v>
      </c>
      <c r="B319" s="2" t="s">
        <v>713</v>
      </c>
      <c r="C319" s="2">
        <v>7008</v>
      </c>
      <c r="D319" s="2" t="s">
        <v>147</v>
      </c>
      <c r="E319" s="2" t="s">
        <v>13</v>
      </c>
      <c r="F319" s="2" t="s">
        <v>690</v>
      </c>
      <c r="G319" s="277" t="s">
        <v>674</v>
      </c>
      <c r="H319" s="277" t="s">
        <v>674</v>
      </c>
      <c r="I319" s="277">
        <v>45024</v>
      </c>
      <c r="J319" s="2" t="s">
        <v>830</v>
      </c>
      <c r="K319" s="2" t="s">
        <v>840</v>
      </c>
      <c r="L319" s="2" t="s">
        <v>674</v>
      </c>
      <c r="M319" s="2"/>
      <c r="N319" s="2" t="str">
        <f>DitrbFlota[[#This Row],[TIPO BUS]]&amp;"-"&amp;DitrbFlota[[#This Row],[MARCA CHASIS]]</f>
        <v>BE-YUTONG</v>
      </c>
      <c r="O319" s="2">
        <f>MONTH(DitrbFlota[[#This Row],[Inicio Operación]])</f>
        <v>4</v>
      </c>
      <c r="P319" s="2">
        <f>YEAR(DitrbFlota[[#This Row],[Inicio Operación]])</f>
        <v>2023</v>
      </c>
      <c r="Q319" s="29">
        <v>87</v>
      </c>
    </row>
    <row r="320" spans="1:17">
      <c r="A320" s="7" t="s">
        <v>421</v>
      </c>
      <c r="B320" s="2" t="s">
        <v>714</v>
      </c>
      <c r="C320" s="2">
        <v>7009</v>
      </c>
      <c r="D320" s="2" t="s">
        <v>147</v>
      </c>
      <c r="E320" s="2" t="s">
        <v>13</v>
      </c>
      <c r="F320" s="2" t="s">
        <v>690</v>
      </c>
      <c r="G320" s="277" t="s">
        <v>674</v>
      </c>
      <c r="H320" s="277" t="s">
        <v>674</v>
      </c>
      <c r="I320" s="277">
        <v>45024</v>
      </c>
      <c r="J320" s="2" t="s">
        <v>830</v>
      </c>
      <c r="K320" s="2" t="s">
        <v>840</v>
      </c>
      <c r="L320" s="2" t="s">
        <v>674</v>
      </c>
      <c r="M320" s="2"/>
      <c r="N320" s="2" t="str">
        <f>DitrbFlota[[#This Row],[TIPO BUS]]&amp;"-"&amp;DitrbFlota[[#This Row],[MARCA CHASIS]]</f>
        <v>BE-YUTONG</v>
      </c>
      <c r="O320" s="2">
        <f>MONTH(DitrbFlota[[#This Row],[Inicio Operación]])</f>
        <v>4</v>
      </c>
      <c r="P320" s="2">
        <f>YEAR(DitrbFlota[[#This Row],[Inicio Operación]])</f>
        <v>2023</v>
      </c>
      <c r="Q320" s="29">
        <v>87</v>
      </c>
    </row>
    <row r="321" spans="1:17">
      <c r="A321" s="7" t="s">
        <v>421</v>
      </c>
      <c r="B321" s="2" t="s">
        <v>715</v>
      </c>
      <c r="C321" s="2">
        <v>7010</v>
      </c>
      <c r="D321" s="2" t="s">
        <v>147</v>
      </c>
      <c r="E321" s="2" t="s">
        <v>13</v>
      </c>
      <c r="F321" s="2" t="s">
        <v>690</v>
      </c>
      <c r="G321" s="277" t="s">
        <v>674</v>
      </c>
      <c r="H321" s="277" t="s">
        <v>674</v>
      </c>
      <c r="I321" s="277">
        <v>45024</v>
      </c>
      <c r="J321" s="2" t="s">
        <v>830</v>
      </c>
      <c r="K321" s="2" t="s">
        <v>840</v>
      </c>
      <c r="L321" s="2" t="s">
        <v>674</v>
      </c>
      <c r="M321" s="2"/>
      <c r="N321" s="2" t="str">
        <f>DitrbFlota[[#This Row],[TIPO BUS]]&amp;"-"&amp;DitrbFlota[[#This Row],[MARCA CHASIS]]</f>
        <v>BE-YUTONG</v>
      </c>
      <c r="O321" s="2">
        <f>MONTH(DitrbFlota[[#This Row],[Inicio Operación]])</f>
        <v>4</v>
      </c>
      <c r="P321" s="2">
        <f>YEAR(DitrbFlota[[#This Row],[Inicio Operación]])</f>
        <v>2023</v>
      </c>
      <c r="Q321" s="29">
        <v>87</v>
      </c>
    </row>
    <row r="322" spans="1:17">
      <c r="A322" s="7" t="s">
        <v>421</v>
      </c>
      <c r="B322" s="2" t="s">
        <v>716</v>
      </c>
      <c r="C322" s="2">
        <v>7011</v>
      </c>
      <c r="D322" s="2" t="s">
        <v>147</v>
      </c>
      <c r="E322" s="2" t="s">
        <v>13</v>
      </c>
      <c r="F322" s="2" t="s">
        <v>690</v>
      </c>
      <c r="G322" s="277" t="s">
        <v>674</v>
      </c>
      <c r="H322" s="277" t="s">
        <v>674</v>
      </c>
      <c r="I322" s="277">
        <v>45024</v>
      </c>
      <c r="J322" s="2" t="s">
        <v>830</v>
      </c>
      <c r="K322" s="2" t="s">
        <v>840</v>
      </c>
      <c r="L322" s="2" t="s">
        <v>674</v>
      </c>
      <c r="M322" s="2"/>
      <c r="N322" s="2" t="str">
        <f>DitrbFlota[[#This Row],[TIPO BUS]]&amp;"-"&amp;DitrbFlota[[#This Row],[MARCA CHASIS]]</f>
        <v>BE-YUTONG</v>
      </c>
      <c r="O322" s="2">
        <f>MONTH(DitrbFlota[[#This Row],[Inicio Operación]])</f>
        <v>4</v>
      </c>
      <c r="P322" s="2">
        <f>YEAR(DitrbFlota[[#This Row],[Inicio Operación]])</f>
        <v>2023</v>
      </c>
      <c r="Q322" s="29">
        <v>87</v>
      </c>
    </row>
    <row r="323" spans="1:17">
      <c r="A323" s="7" t="s">
        <v>421</v>
      </c>
      <c r="B323" s="2" t="s">
        <v>717</v>
      </c>
      <c r="C323" s="2">
        <v>7012</v>
      </c>
      <c r="D323" s="2" t="s">
        <v>147</v>
      </c>
      <c r="E323" s="2" t="s">
        <v>13</v>
      </c>
      <c r="F323" s="2" t="s">
        <v>690</v>
      </c>
      <c r="G323" s="277" t="s">
        <v>674</v>
      </c>
      <c r="H323" s="277" t="s">
        <v>674</v>
      </c>
      <c r="I323" s="277">
        <v>45024</v>
      </c>
      <c r="J323" s="2" t="s">
        <v>830</v>
      </c>
      <c r="K323" s="2" t="s">
        <v>840</v>
      </c>
      <c r="L323" s="2" t="s">
        <v>674</v>
      </c>
      <c r="M323" s="2"/>
      <c r="N323" s="2" t="str">
        <f>DitrbFlota[[#This Row],[TIPO BUS]]&amp;"-"&amp;DitrbFlota[[#This Row],[MARCA CHASIS]]</f>
        <v>BE-YUTONG</v>
      </c>
      <c r="O323" s="2">
        <f>MONTH(DitrbFlota[[#This Row],[Inicio Operación]])</f>
        <v>4</v>
      </c>
      <c r="P323" s="2">
        <f>YEAR(DitrbFlota[[#This Row],[Inicio Operación]])</f>
        <v>2023</v>
      </c>
      <c r="Q323" s="29">
        <v>87</v>
      </c>
    </row>
    <row r="324" spans="1:17">
      <c r="A324" s="7" t="s">
        <v>421</v>
      </c>
      <c r="B324" s="2" t="s">
        <v>718</v>
      </c>
      <c r="C324" s="2">
        <v>7013</v>
      </c>
      <c r="D324" s="2" t="s">
        <v>147</v>
      </c>
      <c r="E324" s="2" t="s">
        <v>13</v>
      </c>
      <c r="F324" s="2" t="s">
        <v>690</v>
      </c>
      <c r="G324" s="277" t="s">
        <v>674</v>
      </c>
      <c r="H324" s="277" t="s">
        <v>674</v>
      </c>
      <c r="I324" s="277">
        <v>45024</v>
      </c>
      <c r="J324" s="2" t="s">
        <v>830</v>
      </c>
      <c r="K324" s="2" t="s">
        <v>840</v>
      </c>
      <c r="L324" s="2" t="s">
        <v>674</v>
      </c>
      <c r="M324" s="2"/>
      <c r="N324" s="2" t="str">
        <f>DitrbFlota[[#This Row],[TIPO BUS]]&amp;"-"&amp;DitrbFlota[[#This Row],[MARCA CHASIS]]</f>
        <v>BE-YUTONG</v>
      </c>
      <c r="O324" s="2">
        <f>MONTH(DitrbFlota[[#This Row],[Inicio Operación]])</f>
        <v>4</v>
      </c>
      <c r="P324" s="2">
        <f>YEAR(DitrbFlota[[#This Row],[Inicio Operación]])</f>
        <v>2023</v>
      </c>
      <c r="Q324" s="29">
        <v>87</v>
      </c>
    </row>
    <row r="325" spans="1:17">
      <c r="A325" s="7" t="s">
        <v>421</v>
      </c>
      <c r="B325" s="2" t="s">
        <v>719</v>
      </c>
      <c r="C325" s="2">
        <v>7014</v>
      </c>
      <c r="D325" s="2" t="s">
        <v>147</v>
      </c>
      <c r="E325" s="2" t="s">
        <v>13</v>
      </c>
      <c r="F325" s="2" t="s">
        <v>690</v>
      </c>
      <c r="G325" s="277" t="s">
        <v>674</v>
      </c>
      <c r="H325" s="277" t="s">
        <v>674</v>
      </c>
      <c r="I325" s="277">
        <v>45024</v>
      </c>
      <c r="J325" s="2" t="s">
        <v>830</v>
      </c>
      <c r="K325" s="2" t="s">
        <v>840</v>
      </c>
      <c r="L325" s="2" t="s">
        <v>674</v>
      </c>
      <c r="M325" s="2"/>
      <c r="N325" s="2" t="str">
        <f>DitrbFlota[[#This Row],[TIPO BUS]]&amp;"-"&amp;DitrbFlota[[#This Row],[MARCA CHASIS]]</f>
        <v>BE-YUTONG</v>
      </c>
      <c r="O325" s="2">
        <f>MONTH(DitrbFlota[[#This Row],[Inicio Operación]])</f>
        <v>4</v>
      </c>
      <c r="P325" s="2">
        <f>YEAR(DitrbFlota[[#This Row],[Inicio Operación]])</f>
        <v>2023</v>
      </c>
      <c r="Q325" s="29">
        <v>87</v>
      </c>
    </row>
    <row r="326" spans="1:17">
      <c r="A326" s="7" t="s">
        <v>421</v>
      </c>
      <c r="B326" s="2" t="s">
        <v>720</v>
      </c>
      <c r="C326" s="2">
        <v>7015</v>
      </c>
      <c r="D326" s="2" t="s">
        <v>147</v>
      </c>
      <c r="E326" s="2" t="s">
        <v>13</v>
      </c>
      <c r="F326" s="2" t="s">
        <v>690</v>
      </c>
      <c r="G326" s="277" t="s">
        <v>674</v>
      </c>
      <c r="H326" s="277" t="s">
        <v>674</v>
      </c>
      <c r="I326" s="277">
        <v>45024</v>
      </c>
      <c r="J326" s="2" t="s">
        <v>830</v>
      </c>
      <c r="K326" s="2" t="s">
        <v>840</v>
      </c>
      <c r="L326" s="2" t="s">
        <v>674</v>
      </c>
      <c r="M326" s="2"/>
      <c r="N326" s="2" t="str">
        <f>DitrbFlota[[#This Row],[TIPO BUS]]&amp;"-"&amp;DitrbFlota[[#This Row],[MARCA CHASIS]]</f>
        <v>BE-YUTONG</v>
      </c>
      <c r="O326" s="2">
        <f>MONTH(DitrbFlota[[#This Row],[Inicio Operación]])</f>
        <v>4</v>
      </c>
      <c r="P326" s="2">
        <f>YEAR(DitrbFlota[[#This Row],[Inicio Operación]])</f>
        <v>2023</v>
      </c>
      <c r="Q326" s="29">
        <v>87</v>
      </c>
    </row>
    <row r="327" spans="1:17">
      <c r="A327" s="7" t="s">
        <v>421</v>
      </c>
      <c r="B327" s="2" t="s">
        <v>721</v>
      </c>
      <c r="C327" s="2">
        <v>7016</v>
      </c>
      <c r="D327" s="2" t="s">
        <v>147</v>
      </c>
      <c r="E327" s="2" t="s">
        <v>13</v>
      </c>
      <c r="F327" s="2" t="s">
        <v>690</v>
      </c>
      <c r="G327" s="277" t="s">
        <v>674</v>
      </c>
      <c r="H327" s="277" t="s">
        <v>674</v>
      </c>
      <c r="I327" s="277">
        <v>45024</v>
      </c>
      <c r="J327" s="2" t="s">
        <v>830</v>
      </c>
      <c r="K327" s="2" t="s">
        <v>840</v>
      </c>
      <c r="L327" s="2" t="s">
        <v>674</v>
      </c>
      <c r="M327" s="2"/>
      <c r="N327" s="2" t="str">
        <f>DitrbFlota[[#This Row],[TIPO BUS]]&amp;"-"&amp;DitrbFlota[[#This Row],[MARCA CHASIS]]</f>
        <v>BE-YUTONG</v>
      </c>
      <c r="O327" s="2">
        <f>MONTH(DitrbFlota[[#This Row],[Inicio Operación]])</f>
        <v>4</v>
      </c>
      <c r="P327" s="2">
        <f>YEAR(DitrbFlota[[#This Row],[Inicio Operación]])</f>
        <v>2023</v>
      </c>
      <c r="Q327" s="29">
        <v>87</v>
      </c>
    </row>
    <row r="328" spans="1:17">
      <c r="A328" s="7" t="s">
        <v>421</v>
      </c>
      <c r="B328" s="2" t="s">
        <v>722</v>
      </c>
      <c r="C328" s="2">
        <v>7017</v>
      </c>
      <c r="D328" s="2" t="s">
        <v>147</v>
      </c>
      <c r="E328" s="2" t="s">
        <v>13</v>
      </c>
      <c r="F328" s="2" t="s">
        <v>690</v>
      </c>
      <c r="G328" s="277" t="s">
        <v>674</v>
      </c>
      <c r="H328" s="277" t="s">
        <v>674</v>
      </c>
      <c r="I328" s="277">
        <v>45024</v>
      </c>
      <c r="J328" s="2" t="s">
        <v>830</v>
      </c>
      <c r="K328" s="2" t="s">
        <v>840</v>
      </c>
      <c r="L328" s="2" t="s">
        <v>674</v>
      </c>
      <c r="M328" s="2"/>
      <c r="N328" s="2" t="str">
        <f>DitrbFlota[[#This Row],[TIPO BUS]]&amp;"-"&amp;DitrbFlota[[#This Row],[MARCA CHASIS]]</f>
        <v>BE-YUTONG</v>
      </c>
      <c r="O328" s="2">
        <f>MONTH(DitrbFlota[[#This Row],[Inicio Operación]])</f>
        <v>4</v>
      </c>
      <c r="P328" s="2">
        <f>YEAR(DitrbFlota[[#This Row],[Inicio Operación]])</f>
        <v>2023</v>
      </c>
      <c r="Q328" s="29">
        <v>87</v>
      </c>
    </row>
    <row r="329" spans="1:17">
      <c r="A329" s="7" t="s">
        <v>421</v>
      </c>
      <c r="B329" s="2" t="s">
        <v>723</v>
      </c>
      <c r="C329" s="2">
        <v>7018</v>
      </c>
      <c r="D329" s="2" t="s">
        <v>147</v>
      </c>
      <c r="E329" s="2" t="s">
        <v>13</v>
      </c>
      <c r="F329" s="2" t="s">
        <v>690</v>
      </c>
      <c r="G329" s="277" t="s">
        <v>674</v>
      </c>
      <c r="H329" s="277" t="s">
        <v>674</v>
      </c>
      <c r="I329" s="277">
        <v>45024</v>
      </c>
      <c r="J329" s="2" t="s">
        <v>830</v>
      </c>
      <c r="K329" s="2" t="s">
        <v>840</v>
      </c>
      <c r="L329" s="2" t="s">
        <v>674</v>
      </c>
      <c r="M329" s="2"/>
      <c r="N329" s="2" t="str">
        <f>DitrbFlota[[#This Row],[TIPO BUS]]&amp;"-"&amp;DitrbFlota[[#This Row],[MARCA CHASIS]]</f>
        <v>BE-YUTONG</v>
      </c>
      <c r="O329" s="2">
        <f>MONTH(DitrbFlota[[#This Row],[Inicio Operación]])</f>
        <v>4</v>
      </c>
      <c r="P329" s="2">
        <f>YEAR(DitrbFlota[[#This Row],[Inicio Operación]])</f>
        <v>2023</v>
      </c>
      <c r="Q329" s="29">
        <v>87</v>
      </c>
    </row>
    <row r="330" spans="1:17">
      <c r="A330" s="7" t="s">
        <v>421</v>
      </c>
      <c r="B330" s="2" t="s">
        <v>724</v>
      </c>
      <c r="C330" s="2">
        <v>7019</v>
      </c>
      <c r="D330" s="2" t="s">
        <v>147</v>
      </c>
      <c r="E330" s="2" t="s">
        <v>13</v>
      </c>
      <c r="F330" s="2" t="s">
        <v>690</v>
      </c>
      <c r="G330" s="277" t="s">
        <v>674</v>
      </c>
      <c r="H330" s="277" t="s">
        <v>674</v>
      </c>
      <c r="I330" s="277">
        <v>45024</v>
      </c>
      <c r="J330" s="2" t="s">
        <v>830</v>
      </c>
      <c r="K330" s="2" t="s">
        <v>840</v>
      </c>
      <c r="L330" s="2" t="s">
        <v>674</v>
      </c>
      <c r="M330" s="2"/>
      <c r="N330" s="2" t="str">
        <f>DitrbFlota[[#This Row],[TIPO BUS]]&amp;"-"&amp;DitrbFlota[[#This Row],[MARCA CHASIS]]</f>
        <v>BE-YUTONG</v>
      </c>
      <c r="O330" s="2">
        <f>MONTH(DitrbFlota[[#This Row],[Inicio Operación]])</f>
        <v>4</v>
      </c>
      <c r="P330" s="2">
        <f>YEAR(DitrbFlota[[#This Row],[Inicio Operación]])</f>
        <v>2023</v>
      </c>
      <c r="Q330" s="29">
        <v>87</v>
      </c>
    </row>
    <row r="331" spans="1:17">
      <c r="A331" s="7" t="s">
        <v>421</v>
      </c>
      <c r="B331" s="2" t="s">
        <v>725</v>
      </c>
      <c r="C331" s="2">
        <v>7020</v>
      </c>
      <c r="D331" s="2" t="s">
        <v>147</v>
      </c>
      <c r="E331" s="2" t="s">
        <v>13</v>
      </c>
      <c r="F331" s="2" t="s">
        <v>690</v>
      </c>
      <c r="G331" s="277" t="s">
        <v>674</v>
      </c>
      <c r="H331" s="277" t="s">
        <v>674</v>
      </c>
      <c r="I331" s="277">
        <v>45024</v>
      </c>
      <c r="J331" s="2" t="s">
        <v>830</v>
      </c>
      <c r="K331" s="2" t="s">
        <v>840</v>
      </c>
      <c r="L331" s="2" t="s">
        <v>674</v>
      </c>
      <c r="M331" s="2"/>
      <c r="N331" s="2" t="str">
        <f>DitrbFlota[[#This Row],[TIPO BUS]]&amp;"-"&amp;DitrbFlota[[#This Row],[MARCA CHASIS]]</f>
        <v>BE-YUTONG</v>
      </c>
      <c r="O331" s="2">
        <f>MONTH(DitrbFlota[[#This Row],[Inicio Operación]])</f>
        <v>4</v>
      </c>
      <c r="P331" s="2">
        <f>YEAR(DitrbFlota[[#This Row],[Inicio Operación]])</f>
        <v>2023</v>
      </c>
      <c r="Q331" s="29">
        <v>87</v>
      </c>
    </row>
    <row r="332" spans="1:17">
      <c r="A332" s="7" t="s">
        <v>421</v>
      </c>
      <c r="B332" s="2" t="s">
        <v>726</v>
      </c>
      <c r="C332" s="2">
        <v>7021</v>
      </c>
      <c r="D332" s="2" t="s">
        <v>147</v>
      </c>
      <c r="E332" s="2" t="s">
        <v>13</v>
      </c>
      <c r="F332" s="2" t="s">
        <v>690</v>
      </c>
      <c r="G332" s="277" t="s">
        <v>674</v>
      </c>
      <c r="H332" s="277" t="s">
        <v>674</v>
      </c>
      <c r="I332" s="277">
        <v>45024</v>
      </c>
      <c r="J332" s="2" t="s">
        <v>830</v>
      </c>
      <c r="K332" s="2" t="s">
        <v>840</v>
      </c>
      <c r="L332" s="2" t="s">
        <v>674</v>
      </c>
      <c r="M332" s="2"/>
      <c r="N332" s="2" t="str">
        <f>DitrbFlota[[#This Row],[TIPO BUS]]&amp;"-"&amp;DitrbFlota[[#This Row],[MARCA CHASIS]]</f>
        <v>BE-YUTONG</v>
      </c>
      <c r="O332" s="2">
        <f>MONTH(DitrbFlota[[#This Row],[Inicio Operación]])</f>
        <v>4</v>
      </c>
      <c r="P332" s="2">
        <f>YEAR(DitrbFlota[[#This Row],[Inicio Operación]])</f>
        <v>2023</v>
      </c>
      <c r="Q332" s="29">
        <v>87</v>
      </c>
    </row>
    <row r="333" spans="1:17">
      <c r="A333" s="7" t="s">
        <v>421</v>
      </c>
      <c r="B333" s="2" t="s">
        <v>727</v>
      </c>
      <c r="C333" s="2">
        <v>7022</v>
      </c>
      <c r="D333" s="2" t="s">
        <v>147</v>
      </c>
      <c r="E333" s="2" t="s">
        <v>13</v>
      </c>
      <c r="F333" s="2" t="s">
        <v>690</v>
      </c>
      <c r="G333" s="277" t="s">
        <v>674</v>
      </c>
      <c r="H333" s="277" t="s">
        <v>674</v>
      </c>
      <c r="I333" s="277">
        <v>45024</v>
      </c>
      <c r="J333" s="2" t="s">
        <v>830</v>
      </c>
      <c r="K333" s="2" t="s">
        <v>840</v>
      </c>
      <c r="L333" s="2" t="s">
        <v>674</v>
      </c>
      <c r="M333" s="2"/>
      <c r="N333" s="2" t="str">
        <f>DitrbFlota[[#This Row],[TIPO BUS]]&amp;"-"&amp;DitrbFlota[[#This Row],[MARCA CHASIS]]</f>
        <v>BE-YUTONG</v>
      </c>
      <c r="O333" s="2">
        <f>MONTH(DitrbFlota[[#This Row],[Inicio Operación]])</f>
        <v>4</v>
      </c>
      <c r="P333" s="2">
        <f>YEAR(DitrbFlota[[#This Row],[Inicio Operación]])</f>
        <v>2023</v>
      </c>
      <c r="Q333" s="29">
        <v>87</v>
      </c>
    </row>
    <row r="334" spans="1:17">
      <c r="A334" s="7" t="s">
        <v>421</v>
      </c>
      <c r="B334" s="2" t="s">
        <v>728</v>
      </c>
      <c r="C334" s="2">
        <v>7023</v>
      </c>
      <c r="D334" s="2" t="s">
        <v>147</v>
      </c>
      <c r="E334" s="2" t="s">
        <v>13</v>
      </c>
      <c r="F334" s="2" t="s">
        <v>690</v>
      </c>
      <c r="G334" s="277" t="s">
        <v>674</v>
      </c>
      <c r="H334" s="277" t="s">
        <v>674</v>
      </c>
      <c r="I334" s="277">
        <v>45024</v>
      </c>
      <c r="J334" s="2" t="s">
        <v>830</v>
      </c>
      <c r="K334" s="2" t="s">
        <v>840</v>
      </c>
      <c r="L334" s="2" t="s">
        <v>674</v>
      </c>
      <c r="M334" s="2"/>
      <c r="N334" s="2" t="str">
        <f>DitrbFlota[[#This Row],[TIPO BUS]]&amp;"-"&amp;DitrbFlota[[#This Row],[MARCA CHASIS]]</f>
        <v>BE-YUTONG</v>
      </c>
      <c r="O334" s="2">
        <f>MONTH(DitrbFlota[[#This Row],[Inicio Operación]])</f>
        <v>4</v>
      </c>
      <c r="P334" s="2">
        <f>YEAR(DitrbFlota[[#This Row],[Inicio Operación]])</f>
        <v>2023</v>
      </c>
      <c r="Q334" s="29">
        <v>87</v>
      </c>
    </row>
    <row r="335" spans="1:17">
      <c r="A335" s="7" t="s">
        <v>421</v>
      </c>
      <c r="B335" s="2" t="s">
        <v>729</v>
      </c>
      <c r="C335" s="2">
        <v>7024</v>
      </c>
      <c r="D335" s="2" t="s">
        <v>147</v>
      </c>
      <c r="E335" s="2" t="s">
        <v>13</v>
      </c>
      <c r="F335" s="2" t="s">
        <v>690</v>
      </c>
      <c r="G335" s="277" t="s">
        <v>674</v>
      </c>
      <c r="H335" s="277" t="s">
        <v>674</v>
      </c>
      <c r="I335" s="277">
        <v>45024</v>
      </c>
      <c r="J335" s="2" t="s">
        <v>830</v>
      </c>
      <c r="K335" s="2" t="s">
        <v>840</v>
      </c>
      <c r="L335" s="2" t="s">
        <v>674</v>
      </c>
      <c r="M335" s="2"/>
      <c r="N335" s="2" t="str">
        <f>DitrbFlota[[#This Row],[TIPO BUS]]&amp;"-"&amp;DitrbFlota[[#This Row],[MARCA CHASIS]]</f>
        <v>BE-YUTONG</v>
      </c>
      <c r="O335" s="2">
        <f>MONTH(DitrbFlota[[#This Row],[Inicio Operación]])</f>
        <v>4</v>
      </c>
      <c r="P335" s="2">
        <f>YEAR(DitrbFlota[[#This Row],[Inicio Operación]])</f>
        <v>2023</v>
      </c>
      <c r="Q335" s="29">
        <v>87</v>
      </c>
    </row>
    <row r="336" spans="1:17">
      <c r="A336" s="7" t="s">
        <v>421</v>
      </c>
      <c r="B336" s="2" t="s">
        <v>730</v>
      </c>
      <c r="C336" s="2">
        <v>7025</v>
      </c>
      <c r="D336" s="2" t="s">
        <v>147</v>
      </c>
      <c r="E336" s="2" t="s">
        <v>25</v>
      </c>
      <c r="F336" s="2" t="s">
        <v>149</v>
      </c>
      <c r="G336" s="277" t="s">
        <v>674</v>
      </c>
      <c r="H336" s="277" t="s">
        <v>674</v>
      </c>
      <c r="I336" s="277">
        <v>45003</v>
      </c>
      <c r="J336" s="2" t="s">
        <v>1341</v>
      </c>
      <c r="K336" s="2" t="s">
        <v>840</v>
      </c>
      <c r="L336" s="2" t="s">
        <v>674</v>
      </c>
      <c r="M336" s="2"/>
      <c r="N336" s="2" t="str">
        <f>DitrbFlota[[#This Row],[TIPO BUS]]&amp;"-"&amp;DitrbFlota[[#This Row],[MARCA CHASIS]]</f>
        <v>BE-FOTON</v>
      </c>
      <c r="O336" s="2">
        <f>MONTH(DitrbFlota[[#This Row],[Inicio Operación]])</f>
        <v>3</v>
      </c>
      <c r="P336" s="2">
        <f>YEAR(DitrbFlota[[#This Row],[Inicio Operación]])</f>
        <v>2023</v>
      </c>
      <c r="Q336" s="29">
        <v>90</v>
      </c>
    </row>
    <row r="337" spans="1:17">
      <c r="A337" s="7" t="s">
        <v>421</v>
      </c>
      <c r="B337" s="2" t="s">
        <v>731</v>
      </c>
      <c r="C337" s="2">
        <v>7028</v>
      </c>
      <c r="D337" s="2" t="s">
        <v>147</v>
      </c>
      <c r="E337" s="2" t="s">
        <v>25</v>
      </c>
      <c r="F337" s="2" t="s">
        <v>149</v>
      </c>
      <c r="G337" s="277" t="s">
        <v>674</v>
      </c>
      <c r="H337" s="277" t="s">
        <v>674</v>
      </c>
      <c r="I337" s="277">
        <v>45003</v>
      </c>
      <c r="J337" s="2" t="s">
        <v>1341</v>
      </c>
      <c r="K337" s="2" t="s">
        <v>840</v>
      </c>
      <c r="L337" s="2" t="s">
        <v>674</v>
      </c>
      <c r="M337" s="2"/>
      <c r="N337" s="2" t="str">
        <f>DitrbFlota[[#This Row],[TIPO BUS]]&amp;"-"&amp;DitrbFlota[[#This Row],[MARCA CHASIS]]</f>
        <v>BE-FOTON</v>
      </c>
      <c r="O337" s="2">
        <f>MONTH(DitrbFlota[[#This Row],[Inicio Operación]])</f>
        <v>3</v>
      </c>
      <c r="P337" s="2">
        <f>YEAR(DitrbFlota[[#This Row],[Inicio Operación]])</f>
        <v>2023</v>
      </c>
      <c r="Q337" s="29">
        <v>90</v>
      </c>
    </row>
    <row r="338" spans="1:17">
      <c r="A338" s="7" t="s">
        <v>421</v>
      </c>
      <c r="B338" s="2" t="s">
        <v>583</v>
      </c>
      <c r="C338" s="2">
        <v>7030</v>
      </c>
      <c r="D338" s="2" t="s">
        <v>147</v>
      </c>
      <c r="E338" s="2" t="s">
        <v>13</v>
      </c>
      <c r="F338" s="2" t="s">
        <v>149</v>
      </c>
      <c r="G338" s="277" t="s">
        <v>674</v>
      </c>
      <c r="H338" s="277" t="s">
        <v>674</v>
      </c>
      <c r="I338" s="277">
        <v>45003</v>
      </c>
      <c r="J338" s="2" t="s">
        <v>1341</v>
      </c>
      <c r="K338" s="2" t="s">
        <v>840</v>
      </c>
      <c r="L338" s="2" t="s">
        <v>674</v>
      </c>
      <c r="M338" s="2"/>
      <c r="N338" s="2" t="str">
        <f>DitrbFlota[[#This Row],[TIPO BUS]]&amp;"-"&amp;DitrbFlota[[#This Row],[MARCA CHASIS]]</f>
        <v>BE-FOTON</v>
      </c>
      <c r="O338" s="2">
        <f>MONTH(DitrbFlota[[#This Row],[Inicio Operación]])</f>
        <v>3</v>
      </c>
      <c r="P338" s="2">
        <f>YEAR(DitrbFlota[[#This Row],[Inicio Operación]])</f>
        <v>2023</v>
      </c>
      <c r="Q338" s="29">
        <v>90</v>
      </c>
    </row>
    <row r="339" spans="1:17">
      <c r="A339" s="7" t="s">
        <v>421</v>
      </c>
      <c r="B339" s="2" t="s">
        <v>812</v>
      </c>
      <c r="C339" s="2">
        <v>7031</v>
      </c>
      <c r="D339" s="2" t="s">
        <v>147</v>
      </c>
      <c r="E339" s="2" t="s">
        <v>13</v>
      </c>
      <c r="F339" s="2" t="s">
        <v>149</v>
      </c>
      <c r="G339" s="277" t="s">
        <v>674</v>
      </c>
      <c r="H339" s="277" t="s">
        <v>674</v>
      </c>
      <c r="I339" s="277">
        <v>45003</v>
      </c>
      <c r="J339" s="2" t="s">
        <v>1341</v>
      </c>
      <c r="K339" s="2" t="s">
        <v>840</v>
      </c>
      <c r="L339" s="2" t="s">
        <v>674</v>
      </c>
      <c r="M339" s="2"/>
      <c r="N339" s="2" t="str">
        <f>DitrbFlota[[#This Row],[TIPO BUS]]&amp;"-"&amp;DitrbFlota[[#This Row],[MARCA CHASIS]]</f>
        <v>BE-FOTON</v>
      </c>
      <c r="O339" s="2">
        <f>MONTH(DitrbFlota[[#This Row],[Inicio Operación]])</f>
        <v>3</v>
      </c>
      <c r="P339" s="2">
        <f>YEAR(DitrbFlota[[#This Row],[Inicio Operación]])</f>
        <v>2023</v>
      </c>
      <c r="Q339" s="29">
        <v>90</v>
      </c>
    </row>
    <row r="340" spans="1:17">
      <c r="A340" s="7" t="s">
        <v>421</v>
      </c>
      <c r="B340" s="2" t="s">
        <v>732</v>
      </c>
      <c r="C340" s="2">
        <v>7040</v>
      </c>
      <c r="D340" s="2" t="s">
        <v>147</v>
      </c>
      <c r="E340" s="2" t="s">
        <v>25</v>
      </c>
      <c r="F340" s="2" t="s">
        <v>149</v>
      </c>
      <c r="G340" s="277" t="s">
        <v>674</v>
      </c>
      <c r="H340" s="277" t="s">
        <v>674</v>
      </c>
      <c r="I340" s="277">
        <v>45003</v>
      </c>
      <c r="J340" s="2" t="s">
        <v>1341</v>
      </c>
      <c r="K340" s="2" t="s">
        <v>840</v>
      </c>
      <c r="L340" s="2" t="s">
        <v>674</v>
      </c>
      <c r="M340" s="2"/>
      <c r="N340" s="2" t="str">
        <f>DitrbFlota[[#This Row],[TIPO BUS]]&amp;"-"&amp;DitrbFlota[[#This Row],[MARCA CHASIS]]</f>
        <v>BE-FOTON</v>
      </c>
      <c r="O340" s="2">
        <f>MONTH(DitrbFlota[[#This Row],[Inicio Operación]])</f>
        <v>3</v>
      </c>
      <c r="P340" s="2">
        <f>YEAR(DitrbFlota[[#This Row],[Inicio Operación]])</f>
        <v>2023</v>
      </c>
      <c r="Q340" s="29">
        <v>90</v>
      </c>
    </row>
    <row r="341" spans="1:17">
      <c r="A341" s="7" t="s">
        <v>421</v>
      </c>
      <c r="B341" s="2" t="s">
        <v>592</v>
      </c>
      <c r="C341" s="2">
        <v>7042</v>
      </c>
      <c r="D341" s="2" t="s">
        <v>147</v>
      </c>
      <c r="E341" s="2" t="s">
        <v>13</v>
      </c>
      <c r="F341" s="2" t="s">
        <v>149</v>
      </c>
      <c r="G341" s="277" t="s">
        <v>674</v>
      </c>
      <c r="H341" s="277" t="s">
        <v>674</v>
      </c>
      <c r="I341" s="277">
        <v>45003</v>
      </c>
      <c r="J341" s="2" t="s">
        <v>1341</v>
      </c>
      <c r="K341" s="2" t="s">
        <v>840</v>
      </c>
      <c r="L341" s="2" t="s">
        <v>674</v>
      </c>
      <c r="M341" s="2"/>
      <c r="N341" s="2" t="str">
        <f>DitrbFlota[[#This Row],[TIPO BUS]]&amp;"-"&amp;DitrbFlota[[#This Row],[MARCA CHASIS]]</f>
        <v>BE-FOTON</v>
      </c>
      <c r="O341" s="2">
        <f>MONTH(DitrbFlota[[#This Row],[Inicio Operación]])</f>
        <v>3</v>
      </c>
      <c r="P341" s="2">
        <f>YEAR(DitrbFlota[[#This Row],[Inicio Operación]])</f>
        <v>2023</v>
      </c>
      <c r="Q341" s="29">
        <v>90</v>
      </c>
    </row>
    <row r="342" spans="1:17">
      <c r="A342" s="7" t="s">
        <v>421</v>
      </c>
      <c r="B342" s="2" t="s">
        <v>596</v>
      </c>
      <c r="C342" s="2">
        <v>7048</v>
      </c>
      <c r="D342" s="2" t="s">
        <v>147</v>
      </c>
      <c r="E342" s="2" t="s">
        <v>13</v>
      </c>
      <c r="F342" s="2" t="s">
        <v>149</v>
      </c>
      <c r="G342" s="277" t="s">
        <v>674</v>
      </c>
      <c r="H342" s="277" t="s">
        <v>674</v>
      </c>
      <c r="I342" s="277">
        <v>45003</v>
      </c>
      <c r="J342" s="2" t="s">
        <v>1341</v>
      </c>
      <c r="K342" s="2" t="s">
        <v>840</v>
      </c>
      <c r="L342" s="2" t="s">
        <v>674</v>
      </c>
      <c r="M342" s="2"/>
      <c r="N342" s="2" t="str">
        <f>DitrbFlota[[#This Row],[TIPO BUS]]&amp;"-"&amp;DitrbFlota[[#This Row],[MARCA CHASIS]]</f>
        <v>BE-FOTON</v>
      </c>
      <c r="O342" s="2">
        <f>MONTH(DitrbFlota[[#This Row],[Inicio Operación]])</f>
        <v>3</v>
      </c>
      <c r="P342" s="2">
        <f>YEAR(DitrbFlota[[#This Row],[Inicio Operación]])</f>
        <v>2023</v>
      </c>
      <c r="Q342" s="29">
        <v>90</v>
      </c>
    </row>
    <row r="343" spans="1:17">
      <c r="A343" s="7" t="s">
        <v>421</v>
      </c>
      <c r="B343" s="2" t="s">
        <v>599</v>
      </c>
      <c r="C343" s="2">
        <v>7051</v>
      </c>
      <c r="D343" s="2" t="s">
        <v>147</v>
      </c>
      <c r="E343" s="2" t="s">
        <v>13</v>
      </c>
      <c r="F343" s="2" t="s">
        <v>149</v>
      </c>
      <c r="G343" s="277" t="s">
        <v>674</v>
      </c>
      <c r="H343" s="277" t="s">
        <v>674</v>
      </c>
      <c r="I343" s="277">
        <v>45003</v>
      </c>
      <c r="J343" s="2" t="s">
        <v>1341</v>
      </c>
      <c r="K343" s="2" t="s">
        <v>840</v>
      </c>
      <c r="L343" s="2" t="s">
        <v>674</v>
      </c>
      <c r="M343" s="2"/>
      <c r="N343" s="2" t="str">
        <f>DitrbFlota[[#This Row],[TIPO BUS]]&amp;"-"&amp;DitrbFlota[[#This Row],[MARCA CHASIS]]</f>
        <v>BE-FOTON</v>
      </c>
      <c r="O343" s="2">
        <f>MONTH(DitrbFlota[[#This Row],[Inicio Operación]])</f>
        <v>3</v>
      </c>
      <c r="P343" s="2">
        <f>YEAR(DitrbFlota[[#This Row],[Inicio Operación]])</f>
        <v>2023</v>
      </c>
      <c r="Q343" s="29">
        <v>90</v>
      </c>
    </row>
    <row r="344" spans="1:17">
      <c r="A344" s="7" t="s">
        <v>421</v>
      </c>
      <c r="B344" s="2" t="s">
        <v>816</v>
      </c>
      <c r="C344" s="2">
        <v>7059</v>
      </c>
      <c r="D344" s="2" t="s">
        <v>147</v>
      </c>
      <c r="E344" s="2" t="s">
        <v>13</v>
      </c>
      <c r="F344" s="2" t="s">
        <v>149</v>
      </c>
      <c r="G344" s="277" t="s">
        <v>674</v>
      </c>
      <c r="H344" s="277" t="s">
        <v>674</v>
      </c>
      <c r="I344" s="277">
        <v>45003</v>
      </c>
      <c r="J344" s="2" t="s">
        <v>1341</v>
      </c>
      <c r="K344" s="2" t="s">
        <v>840</v>
      </c>
      <c r="L344" s="2" t="s">
        <v>674</v>
      </c>
      <c r="M344" s="2"/>
      <c r="N344" s="2" t="str">
        <f>DitrbFlota[[#This Row],[TIPO BUS]]&amp;"-"&amp;DitrbFlota[[#This Row],[MARCA CHASIS]]</f>
        <v>BE-FOTON</v>
      </c>
      <c r="O344" s="2">
        <f>MONTH(DitrbFlota[[#This Row],[Inicio Operación]])</f>
        <v>3</v>
      </c>
      <c r="P344" s="2">
        <f>YEAR(DitrbFlota[[#This Row],[Inicio Operación]])</f>
        <v>2023</v>
      </c>
      <c r="Q344" s="29">
        <v>90</v>
      </c>
    </row>
    <row r="345" spans="1:17">
      <c r="A345" s="7" t="s">
        <v>421</v>
      </c>
      <c r="B345" s="2" t="s">
        <v>609</v>
      </c>
      <c r="C345" s="2">
        <v>7062</v>
      </c>
      <c r="D345" s="2" t="s">
        <v>147</v>
      </c>
      <c r="E345" s="2" t="s">
        <v>13</v>
      </c>
      <c r="F345" s="2" t="s">
        <v>149</v>
      </c>
      <c r="G345" s="277" t="s">
        <v>674</v>
      </c>
      <c r="H345" s="277" t="s">
        <v>674</v>
      </c>
      <c r="I345" s="277">
        <v>45003</v>
      </c>
      <c r="J345" s="2" t="s">
        <v>1341</v>
      </c>
      <c r="K345" s="2" t="s">
        <v>840</v>
      </c>
      <c r="L345" s="2" t="s">
        <v>674</v>
      </c>
      <c r="M345" s="2"/>
      <c r="N345" s="2" t="str">
        <f>DitrbFlota[[#This Row],[TIPO BUS]]&amp;"-"&amp;DitrbFlota[[#This Row],[MARCA CHASIS]]</f>
        <v>BE-FOTON</v>
      </c>
      <c r="O345" s="2">
        <f>MONTH(DitrbFlota[[#This Row],[Inicio Operación]])</f>
        <v>3</v>
      </c>
      <c r="P345" s="2">
        <f>YEAR(DitrbFlota[[#This Row],[Inicio Operación]])</f>
        <v>2023</v>
      </c>
      <c r="Q345" s="29">
        <v>90</v>
      </c>
    </row>
    <row r="346" spans="1:17" hidden="1">
      <c r="A346" s="7" t="s">
        <v>421</v>
      </c>
      <c r="B346" s="2" t="s">
        <v>613</v>
      </c>
      <c r="C346" s="2">
        <v>7069</v>
      </c>
      <c r="D346" s="2" t="s">
        <v>147</v>
      </c>
      <c r="E346" s="2" t="s">
        <v>13</v>
      </c>
      <c r="F346" s="2" t="s">
        <v>149</v>
      </c>
      <c r="G346" s="277" t="s">
        <v>493</v>
      </c>
      <c r="H346" s="277" t="s">
        <v>493</v>
      </c>
      <c r="I346" s="277">
        <v>45003</v>
      </c>
      <c r="J346" s="2" t="s">
        <v>1341</v>
      </c>
      <c r="K346" s="2" t="s">
        <v>841</v>
      </c>
      <c r="L346" s="2" t="s">
        <v>493</v>
      </c>
      <c r="M346" s="2"/>
      <c r="N346" s="2" t="str">
        <f>DitrbFlota[[#This Row],[TIPO BUS]]&amp;"-"&amp;DitrbFlota[[#This Row],[MARCA CHASIS]]</f>
        <v>BE-FOTON</v>
      </c>
      <c r="O346" s="2">
        <f>MONTH(DitrbFlota[[#This Row],[Inicio Operación]])</f>
        <v>3</v>
      </c>
      <c r="P346" s="2">
        <f>YEAR(DitrbFlota[[#This Row],[Inicio Operación]])</f>
        <v>2023</v>
      </c>
      <c r="Q346" s="29">
        <v>90</v>
      </c>
    </row>
    <row r="347" spans="1:17">
      <c r="A347" s="7" t="s">
        <v>421</v>
      </c>
      <c r="B347" s="2" t="s">
        <v>818</v>
      </c>
      <c r="C347" s="2">
        <v>7066</v>
      </c>
      <c r="D347" s="2" t="s">
        <v>147</v>
      </c>
      <c r="E347" s="2" t="s">
        <v>13</v>
      </c>
      <c r="F347" s="2" t="s">
        <v>149</v>
      </c>
      <c r="G347" s="277" t="s">
        <v>674</v>
      </c>
      <c r="H347" s="277" t="s">
        <v>674</v>
      </c>
      <c r="I347" s="277">
        <v>45003</v>
      </c>
      <c r="J347" s="2" t="s">
        <v>1341</v>
      </c>
      <c r="K347" s="2" t="s">
        <v>840</v>
      </c>
      <c r="L347" s="2" t="s">
        <v>674</v>
      </c>
      <c r="M347" s="2"/>
      <c r="N347" s="2" t="str">
        <f>DitrbFlota[[#This Row],[TIPO BUS]]&amp;"-"&amp;DitrbFlota[[#This Row],[MARCA CHASIS]]</f>
        <v>BE-FOTON</v>
      </c>
      <c r="O347" s="2">
        <f>MONTH(DitrbFlota[[#This Row],[Inicio Operación]])</f>
        <v>3</v>
      </c>
      <c r="P347" s="2">
        <f>YEAR(DitrbFlota[[#This Row],[Inicio Operación]])</f>
        <v>2023</v>
      </c>
      <c r="Q347" s="29">
        <v>90</v>
      </c>
    </row>
    <row r="348" spans="1:17">
      <c r="A348" s="7" t="s">
        <v>421</v>
      </c>
      <c r="B348" s="2" t="s">
        <v>819</v>
      </c>
      <c r="C348" s="2">
        <v>7068</v>
      </c>
      <c r="D348" s="2" t="s">
        <v>147</v>
      </c>
      <c r="E348" s="2" t="s">
        <v>13</v>
      </c>
      <c r="F348" s="2" t="s">
        <v>149</v>
      </c>
      <c r="G348" s="277" t="s">
        <v>674</v>
      </c>
      <c r="H348" s="277" t="s">
        <v>674</v>
      </c>
      <c r="I348" s="277">
        <v>45003</v>
      </c>
      <c r="J348" s="2" t="s">
        <v>1341</v>
      </c>
      <c r="K348" s="2" t="s">
        <v>840</v>
      </c>
      <c r="L348" s="2" t="s">
        <v>674</v>
      </c>
      <c r="M348" s="2"/>
      <c r="N348" s="2" t="str">
        <f>DitrbFlota[[#This Row],[TIPO BUS]]&amp;"-"&amp;DitrbFlota[[#This Row],[MARCA CHASIS]]</f>
        <v>BE-FOTON</v>
      </c>
      <c r="O348" s="2">
        <f>MONTH(DitrbFlota[[#This Row],[Inicio Operación]])</f>
        <v>3</v>
      </c>
      <c r="P348" s="2">
        <f>YEAR(DitrbFlota[[#This Row],[Inicio Operación]])</f>
        <v>2023</v>
      </c>
      <c r="Q348" s="29">
        <v>90</v>
      </c>
    </row>
    <row r="349" spans="1:17">
      <c r="A349" s="7" t="s">
        <v>421</v>
      </c>
      <c r="B349" s="2" t="s">
        <v>733</v>
      </c>
      <c r="C349" s="2">
        <v>7071</v>
      </c>
      <c r="D349" s="2" t="s">
        <v>147</v>
      </c>
      <c r="E349" s="2" t="s">
        <v>13</v>
      </c>
      <c r="F349" s="2" t="s">
        <v>149</v>
      </c>
      <c r="G349" s="277" t="s">
        <v>674</v>
      </c>
      <c r="H349" s="277" t="s">
        <v>674</v>
      </c>
      <c r="I349" s="277">
        <v>45003</v>
      </c>
      <c r="J349" s="2" t="s">
        <v>1341</v>
      </c>
      <c r="K349" s="2" t="s">
        <v>840</v>
      </c>
      <c r="L349" s="2" t="s">
        <v>674</v>
      </c>
      <c r="M349" s="2"/>
      <c r="N349" s="2" t="str">
        <f>DitrbFlota[[#This Row],[TIPO BUS]]&amp;"-"&amp;DitrbFlota[[#This Row],[MARCA CHASIS]]</f>
        <v>BE-FOTON</v>
      </c>
      <c r="O349" s="2">
        <f>MONTH(DitrbFlota[[#This Row],[Inicio Operación]])</f>
        <v>3</v>
      </c>
      <c r="P349" s="2">
        <f>YEAR(DitrbFlota[[#This Row],[Inicio Operación]])</f>
        <v>2023</v>
      </c>
      <c r="Q349" s="29">
        <v>90</v>
      </c>
    </row>
    <row r="350" spans="1:17">
      <c r="A350" s="7" t="s">
        <v>421</v>
      </c>
      <c r="B350" s="2" t="s">
        <v>620</v>
      </c>
      <c r="C350" s="2">
        <v>7077</v>
      </c>
      <c r="D350" s="2" t="s">
        <v>147</v>
      </c>
      <c r="E350" s="2" t="s">
        <v>13</v>
      </c>
      <c r="F350" s="2" t="s">
        <v>149</v>
      </c>
      <c r="G350" s="277" t="s">
        <v>674</v>
      </c>
      <c r="H350" s="277" t="s">
        <v>674</v>
      </c>
      <c r="I350" s="277">
        <v>45003</v>
      </c>
      <c r="J350" s="2" t="s">
        <v>1341</v>
      </c>
      <c r="K350" s="2" t="s">
        <v>840</v>
      </c>
      <c r="L350" s="2" t="s">
        <v>674</v>
      </c>
      <c r="M350" s="2"/>
      <c r="N350" s="2" t="str">
        <f>DitrbFlota[[#This Row],[TIPO BUS]]&amp;"-"&amp;DitrbFlota[[#This Row],[MARCA CHASIS]]</f>
        <v>BE-FOTON</v>
      </c>
      <c r="O350" s="2">
        <f>MONTH(DitrbFlota[[#This Row],[Inicio Operación]])</f>
        <v>3</v>
      </c>
      <c r="P350" s="2">
        <f>YEAR(DitrbFlota[[#This Row],[Inicio Operación]])</f>
        <v>2023</v>
      </c>
      <c r="Q350" s="29">
        <v>90</v>
      </c>
    </row>
    <row r="351" spans="1:17">
      <c r="A351" s="7" t="s">
        <v>421</v>
      </c>
      <c r="B351" s="2" t="s">
        <v>623</v>
      </c>
      <c r="C351" s="2">
        <v>7080</v>
      </c>
      <c r="D351" s="2" t="s">
        <v>147</v>
      </c>
      <c r="E351" s="2" t="s">
        <v>13</v>
      </c>
      <c r="F351" s="2" t="s">
        <v>149</v>
      </c>
      <c r="G351" s="277" t="s">
        <v>674</v>
      </c>
      <c r="H351" s="277" t="s">
        <v>674</v>
      </c>
      <c r="I351" s="277">
        <v>45003</v>
      </c>
      <c r="J351" s="2" t="s">
        <v>1341</v>
      </c>
      <c r="K351" s="2" t="s">
        <v>840</v>
      </c>
      <c r="L351" s="2" t="s">
        <v>674</v>
      </c>
      <c r="M351" s="2"/>
      <c r="N351" s="2" t="str">
        <f>DitrbFlota[[#This Row],[TIPO BUS]]&amp;"-"&amp;DitrbFlota[[#This Row],[MARCA CHASIS]]</f>
        <v>BE-FOTON</v>
      </c>
      <c r="O351" s="2">
        <f>MONTH(DitrbFlota[[#This Row],[Inicio Operación]])</f>
        <v>3</v>
      </c>
      <c r="P351" s="2">
        <f>YEAR(DitrbFlota[[#This Row],[Inicio Operación]])</f>
        <v>2023</v>
      </c>
      <c r="Q351" s="29">
        <v>90</v>
      </c>
    </row>
    <row r="352" spans="1:17">
      <c r="A352" s="7" t="s">
        <v>421</v>
      </c>
      <c r="B352" s="2" t="s">
        <v>625</v>
      </c>
      <c r="C352" s="2">
        <v>7082</v>
      </c>
      <c r="D352" s="2" t="s">
        <v>147</v>
      </c>
      <c r="E352" s="2" t="s">
        <v>13</v>
      </c>
      <c r="F352" s="2" t="s">
        <v>149</v>
      </c>
      <c r="G352" s="277" t="s">
        <v>674</v>
      </c>
      <c r="H352" s="277" t="s">
        <v>674</v>
      </c>
      <c r="I352" s="277">
        <v>45003</v>
      </c>
      <c r="J352" s="2" t="s">
        <v>1341</v>
      </c>
      <c r="K352" s="2" t="s">
        <v>840</v>
      </c>
      <c r="L352" s="2" t="s">
        <v>674</v>
      </c>
      <c r="M352" s="2"/>
      <c r="N352" s="2" t="str">
        <f>DitrbFlota[[#This Row],[TIPO BUS]]&amp;"-"&amp;DitrbFlota[[#This Row],[MARCA CHASIS]]</f>
        <v>BE-FOTON</v>
      </c>
      <c r="O352" s="2">
        <f>MONTH(DitrbFlota[[#This Row],[Inicio Operación]])</f>
        <v>3</v>
      </c>
      <c r="P352" s="2">
        <f>YEAR(DitrbFlota[[#This Row],[Inicio Operación]])</f>
        <v>2023</v>
      </c>
      <c r="Q352" s="29">
        <v>90</v>
      </c>
    </row>
    <row r="353" spans="1:17">
      <c r="A353" s="7" t="s">
        <v>421</v>
      </c>
      <c r="B353" s="2" t="s">
        <v>627</v>
      </c>
      <c r="C353" s="2">
        <v>7084</v>
      </c>
      <c r="D353" s="2" t="s">
        <v>147</v>
      </c>
      <c r="E353" s="2" t="s">
        <v>13</v>
      </c>
      <c r="F353" s="2" t="s">
        <v>149</v>
      </c>
      <c r="G353" s="277" t="s">
        <v>674</v>
      </c>
      <c r="H353" s="277" t="s">
        <v>674</v>
      </c>
      <c r="I353" s="277">
        <v>45003</v>
      </c>
      <c r="J353" s="2" t="s">
        <v>1341</v>
      </c>
      <c r="K353" s="2" t="s">
        <v>840</v>
      </c>
      <c r="L353" s="2" t="s">
        <v>674</v>
      </c>
      <c r="M353" s="2"/>
      <c r="N353" s="2" t="str">
        <f>DitrbFlota[[#This Row],[TIPO BUS]]&amp;"-"&amp;DitrbFlota[[#This Row],[MARCA CHASIS]]</f>
        <v>BE-FOTON</v>
      </c>
      <c r="O353" s="2">
        <f>MONTH(DitrbFlota[[#This Row],[Inicio Operación]])</f>
        <v>3</v>
      </c>
      <c r="P353" s="2">
        <f>YEAR(DitrbFlota[[#This Row],[Inicio Operación]])</f>
        <v>2023</v>
      </c>
      <c r="Q353" s="29">
        <v>90</v>
      </c>
    </row>
    <row r="354" spans="1:17">
      <c r="A354" s="7" t="s">
        <v>421</v>
      </c>
      <c r="B354" s="2" t="s">
        <v>820</v>
      </c>
      <c r="C354" s="2">
        <v>7086</v>
      </c>
      <c r="D354" s="2" t="s">
        <v>147</v>
      </c>
      <c r="E354" s="2" t="s">
        <v>13</v>
      </c>
      <c r="F354" s="2" t="s">
        <v>149</v>
      </c>
      <c r="G354" s="277" t="s">
        <v>674</v>
      </c>
      <c r="H354" s="277" t="s">
        <v>674</v>
      </c>
      <c r="I354" s="277">
        <v>45003</v>
      </c>
      <c r="J354" s="2" t="s">
        <v>1341</v>
      </c>
      <c r="K354" s="2" t="s">
        <v>840</v>
      </c>
      <c r="L354" s="2" t="s">
        <v>674</v>
      </c>
      <c r="M354" s="2"/>
      <c r="N354" s="2" t="str">
        <f>DitrbFlota[[#This Row],[TIPO BUS]]&amp;"-"&amp;DitrbFlota[[#This Row],[MARCA CHASIS]]</f>
        <v>BE-FOTON</v>
      </c>
      <c r="O354" s="2">
        <f>MONTH(DitrbFlota[[#This Row],[Inicio Operación]])</f>
        <v>3</v>
      </c>
      <c r="P354" s="2">
        <f>YEAR(DitrbFlota[[#This Row],[Inicio Operación]])</f>
        <v>2023</v>
      </c>
      <c r="Q354" s="29">
        <v>90</v>
      </c>
    </row>
    <row r="355" spans="1:17">
      <c r="A355" s="7" t="s">
        <v>421</v>
      </c>
      <c r="B355" s="2" t="s">
        <v>630</v>
      </c>
      <c r="C355" s="2">
        <v>7088</v>
      </c>
      <c r="D355" s="2" t="s">
        <v>147</v>
      </c>
      <c r="E355" s="2" t="s">
        <v>13</v>
      </c>
      <c r="F355" s="2" t="s">
        <v>149</v>
      </c>
      <c r="G355" s="277" t="s">
        <v>674</v>
      </c>
      <c r="H355" s="277" t="s">
        <v>674</v>
      </c>
      <c r="I355" s="277">
        <v>45003</v>
      </c>
      <c r="J355" s="2" t="s">
        <v>1341</v>
      </c>
      <c r="K355" s="2" t="s">
        <v>840</v>
      </c>
      <c r="L355" s="2" t="s">
        <v>674</v>
      </c>
      <c r="M355" s="2"/>
      <c r="N355" s="2" t="str">
        <f>DitrbFlota[[#This Row],[TIPO BUS]]&amp;"-"&amp;DitrbFlota[[#This Row],[MARCA CHASIS]]</f>
        <v>BE-FOTON</v>
      </c>
      <c r="O355" s="2">
        <f>MONTH(DitrbFlota[[#This Row],[Inicio Operación]])</f>
        <v>3</v>
      </c>
      <c r="P355" s="2">
        <f>YEAR(DitrbFlota[[#This Row],[Inicio Operación]])</f>
        <v>2023</v>
      </c>
      <c r="Q355" s="29">
        <v>90</v>
      </c>
    </row>
    <row r="356" spans="1:17">
      <c r="A356" s="7" t="s">
        <v>421</v>
      </c>
      <c r="B356" s="2" t="s">
        <v>821</v>
      </c>
      <c r="C356" s="2">
        <v>7089</v>
      </c>
      <c r="D356" s="2" t="s">
        <v>147</v>
      </c>
      <c r="E356" s="2" t="s">
        <v>13</v>
      </c>
      <c r="F356" s="2" t="s">
        <v>149</v>
      </c>
      <c r="G356" s="277" t="s">
        <v>674</v>
      </c>
      <c r="H356" s="277" t="s">
        <v>674</v>
      </c>
      <c r="I356" s="277">
        <v>45003</v>
      </c>
      <c r="J356" s="2" t="s">
        <v>1341</v>
      </c>
      <c r="K356" s="2" t="s">
        <v>840</v>
      </c>
      <c r="L356" s="2" t="s">
        <v>674</v>
      </c>
      <c r="M356" s="2"/>
      <c r="N356" s="2" t="str">
        <f>DitrbFlota[[#This Row],[TIPO BUS]]&amp;"-"&amp;DitrbFlota[[#This Row],[MARCA CHASIS]]</f>
        <v>BE-FOTON</v>
      </c>
      <c r="O356" s="2">
        <f>MONTH(DitrbFlota[[#This Row],[Inicio Operación]])</f>
        <v>3</v>
      </c>
      <c r="P356" s="2">
        <f>YEAR(DitrbFlota[[#This Row],[Inicio Operación]])</f>
        <v>2023</v>
      </c>
      <c r="Q356" s="29">
        <v>90</v>
      </c>
    </row>
    <row r="357" spans="1:17">
      <c r="A357" s="7" t="s">
        <v>421</v>
      </c>
      <c r="B357" s="2" t="s">
        <v>631</v>
      </c>
      <c r="C357" s="2">
        <v>7090</v>
      </c>
      <c r="D357" s="2" t="s">
        <v>147</v>
      </c>
      <c r="E357" s="2" t="s">
        <v>13</v>
      </c>
      <c r="F357" s="2" t="s">
        <v>149</v>
      </c>
      <c r="G357" s="277" t="s">
        <v>493</v>
      </c>
      <c r="H357" s="277" t="s">
        <v>493</v>
      </c>
      <c r="I357" s="277">
        <v>45003</v>
      </c>
      <c r="J357" s="2" t="s">
        <v>1341</v>
      </c>
      <c r="K357" s="2" t="s">
        <v>841</v>
      </c>
      <c r="L357" s="2" t="s">
        <v>493</v>
      </c>
      <c r="M357" s="2"/>
      <c r="N357" s="2" t="str">
        <f>DitrbFlota[[#This Row],[TIPO BUS]]&amp;"-"&amp;DitrbFlota[[#This Row],[MARCA CHASIS]]</f>
        <v>BE-FOTON</v>
      </c>
      <c r="O357" s="2">
        <f>MONTH(DitrbFlota[[#This Row],[Inicio Operación]])</f>
        <v>3</v>
      </c>
      <c r="P357" s="2">
        <f>YEAR(DitrbFlota[[#This Row],[Inicio Operación]])</f>
        <v>2023</v>
      </c>
      <c r="Q357" s="29">
        <v>90</v>
      </c>
    </row>
    <row r="358" spans="1:17">
      <c r="A358" s="7" t="s">
        <v>421</v>
      </c>
      <c r="B358" s="2" t="s">
        <v>633</v>
      </c>
      <c r="C358" s="2">
        <v>7092</v>
      </c>
      <c r="D358" s="2" t="s">
        <v>147</v>
      </c>
      <c r="E358" s="2" t="s">
        <v>13</v>
      </c>
      <c r="F358" s="2" t="s">
        <v>149</v>
      </c>
      <c r="G358" s="277" t="s">
        <v>674</v>
      </c>
      <c r="H358" s="277" t="s">
        <v>674</v>
      </c>
      <c r="I358" s="277">
        <v>45003</v>
      </c>
      <c r="J358" s="2" t="s">
        <v>1341</v>
      </c>
      <c r="K358" s="2" t="s">
        <v>840</v>
      </c>
      <c r="L358" s="2" t="s">
        <v>1412</v>
      </c>
      <c r="M358" s="2"/>
      <c r="N358" s="2" t="str">
        <f>DitrbFlota[[#This Row],[TIPO BUS]]&amp;"-"&amp;DitrbFlota[[#This Row],[MARCA CHASIS]]</f>
        <v>BE-FOTON</v>
      </c>
      <c r="O358" s="2">
        <f>MONTH(DitrbFlota[[#This Row],[Inicio Operación]])</f>
        <v>3</v>
      </c>
      <c r="P358" s="2">
        <f>YEAR(DitrbFlota[[#This Row],[Inicio Operación]])</f>
        <v>2023</v>
      </c>
      <c r="Q358" s="29">
        <v>90</v>
      </c>
    </row>
    <row r="359" spans="1:17">
      <c r="A359" s="7" t="s">
        <v>421</v>
      </c>
      <c r="B359" s="2" t="s">
        <v>734</v>
      </c>
      <c r="C359" s="2">
        <v>7094</v>
      </c>
      <c r="D359" s="2" t="s">
        <v>147</v>
      </c>
      <c r="E359" s="2" t="s">
        <v>13</v>
      </c>
      <c r="F359" s="2" t="s">
        <v>149</v>
      </c>
      <c r="G359" s="277" t="s">
        <v>674</v>
      </c>
      <c r="H359" s="277" t="s">
        <v>674</v>
      </c>
      <c r="I359" s="277">
        <v>45003</v>
      </c>
      <c r="J359" s="2" t="s">
        <v>1341</v>
      </c>
      <c r="K359" s="2" t="s">
        <v>840</v>
      </c>
      <c r="L359" s="2" t="s">
        <v>674</v>
      </c>
      <c r="M359" s="2"/>
      <c r="N359" s="2" t="str">
        <f>DitrbFlota[[#This Row],[TIPO BUS]]&amp;"-"&amp;DitrbFlota[[#This Row],[MARCA CHASIS]]</f>
        <v>BE-FOTON</v>
      </c>
      <c r="O359" s="2">
        <f>MONTH(DitrbFlota[[#This Row],[Inicio Operación]])</f>
        <v>3</v>
      </c>
      <c r="P359" s="2">
        <f>YEAR(DitrbFlota[[#This Row],[Inicio Operación]])</f>
        <v>2023</v>
      </c>
      <c r="Q359" s="29">
        <v>90</v>
      </c>
    </row>
    <row r="360" spans="1:17">
      <c r="A360" s="7" t="s">
        <v>421</v>
      </c>
      <c r="B360" s="2" t="s">
        <v>735</v>
      </c>
      <c r="C360" s="2">
        <v>7108</v>
      </c>
      <c r="D360" s="2" t="s">
        <v>147</v>
      </c>
      <c r="E360" s="2" t="s">
        <v>13</v>
      </c>
      <c r="F360" s="2" t="s">
        <v>149</v>
      </c>
      <c r="G360" s="277" t="s">
        <v>674</v>
      </c>
      <c r="H360" s="277" t="s">
        <v>674</v>
      </c>
      <c r="I360" s="277">
        <v>45003</v>
      </c>
      <c r="J360" s="2" t="s">
        <v>1341</v>
      </c>
      <c r="K360" s="2" t="s">
        <v>840</v>
      </c>
      <c r="L360" s="2" t="s">
        <v>674</v>
      </c>
      <c r="M360" s="2"/>
      <c r="N360" s="2" t="str">
        <f>DitrbFlota[[#This Row],[TIPO BUS]]&amp;"-"&amp;DitrbFlota[[#This Row],[MARCA CHASIS]]</f>
        <v>BE-FOTON</v>
      </c>
      <c r="O360" s="2">
        <f>MONTH(DitrbFlota[[#This Row],[Inicio Operación]])</f>
        <v>3</v>
      </c>
      <c r="P360" s="2">
        <f>YEAR(DitrbFlota[[#This Row],[Inicio Operación]])</f>
        <v>2023</v>
      </c>
      <c r="Q360" s="29">
        <v>90</v>
      </c>
    </row>
    <row r="361" spans="1:17">
      <c r="A361" s="7" t="s">
        <v>421</v>
      </c>
      <c r="B361" s="2" t="s">
        <v>736</v>
      </c>
      <c r="C361" s="2">
        <v>7121</v>
      </c>
      <c r="D361" s="2" t="s">
        <v>147</v>
      </c>
      <c r="E361" s="2" t="s">
        <v>25</v>
      </c>
      <c r="F361" s="2" t="s">
        <v>149</v>
      </c>
      <c r="G361" s="277" t="s">
        <v>674</v>
      </c>
      <c r="H361" s="277" t="s">
        <v>674</v>
      </c>
      <c r="I361" s="277">
        <v>45024</v>
      </c>
      <c r="J361" s="2" t="s">
        <v>1341</v>
      </c>
      <c r="K361" s="2" t="s">
        <v>840</v>
      </c>
      <c r="L361" s="2" t="s">
        <v>674</v>
      </c>
      <c r="M361" s="2"/>
      <c r="N361" s="2" t="str">
        <f>DitrbFlota[[#This Row],[TIPO BUS]]&amp;"-"&amp;DitrbFlota[[#This Row],[MARCA CHASIS]]</f>
        <v>BE-FOTON</v>
      </c>
      <c r="O361" s="2">
        <f>MONTH(DitrbFlota[[#This Row],[Inicio Operación]])</f>
        <v>4</v>
      </c>
      <c r="P361" s="2">
        <f>YEAR(DitrbFlota[[#This Row],[Inicio Operación]])</f>
        <v>2023</v>
      </c>
      <c r="Q361" s="29">
        <v>90</v>
      </c>
    </row>
    <row r="362" spans="1:17">
      <c r="A362" s="7" t="s">
        <v>421</v>
      </c>
      <c r="B362" s="2" t="s">
        <v>737</v>
      </c>
      <c r="C362" s="2">
        <v>7122</v>
      </c>
      <c r="D362" s="2" t="s">
        <v>147</v>
      </c>
      <c r="E362" s="2" t="s">
        <v>25</v>
      </c>
      <c r="F362" s="2" t="s">
        <v>149</v>
      </c>
      <c r="G362" s="277" t="s">
        <v>674</v>
      </c>
      <c r="H362" s="277" t="s">
        <v>674</v>
      </c>
      <c r="I362" s="277">
        <v>45024</v>
      </c>
      <c r="J362" s="2" t="s">
        <v>1341</v>
      </c>
      <c r="K362" s="2" t="s">
        <v>840</v>
      </c>
      <c r="L362" s="2" t="s">
        <v>674</v>
      </c>
      <c r="M362" s="2"/>
      <c r="N362" s="2" t="str">
        <f>DitrbFlota[[#This Row],[TIPO BUS]]&amp;"-"&amp;DitrbFlota[[#This Row],[MARCA CHASIS]]</f>
        <v>BE-FOTON</v>
      </c>
      <c r="O362" s="2">
        <f>MONTH(DitrbFlota[[#This Row],[Inicio Operación]])</f>
        <v>4</v>
      </c>
      <c r="P362" s="2">
        <f>YEAR(DitrbFlota[[#This Row],[Inicio Operación]])</f>
        <v>2023</v>
      </c>
      <c r="Q362" s="29">
        <v>90</v>
      </c>
    </row>
    <row r="363" spans="1:17">
      <c r="A363" s="7" t="s">
        <v>421</v>
      </c>
      <c r="B363" s="2" t="s">
        <v>738</v>
      </c>
      <c r="C363" s="2">
        <v>7123</v>
      </c>
      <c r="D363" s="2" t="s">
        <v>147</v>
      </c>
      <c r="E363" s="2" t="s">
        <v>25</v>
      </c>
      <c r="F363" s="2" t="s">
        <v>149</v>
      </c>
      <c r="G363" s="277" t="s">
        <v>674</v>
      </c>
      <c r="H363" s="277" t="s">
        <v>674</v>
      </c>
      <c r="I363" s="277">
        <v>45024</v>
      </c>
      <c r="J363" s="2" t="s">
        <v>1341</v>
      </c>
      <c r="K363" s="2" t="s">
        <v>840</v>
      </c>
      <c r="L363" s="2" t="s">
        <v>674</v>
      </c>
      <c r="M363" s="2"/>
      <c r="N363" s="2" t="str">
        <f>DitrbFlota[[#This Row],[TIPO BUS]]&amp;"-"&amp;DitrbFlota[[#This Row],[MARCA CHASIS]]</f>
        <v>BE-FOTON</v>
      </c>
      <c r="O363" s="2">
        <f>MONTH(DitrbFlota[[#This Row],[Inicio Operación]])</f>
        <v>4</v>
      </c>
      <c r="P363" s="2">
        <f>YEAR(DitrbFlota[[#This Row],[Inicio Operación]])</f>
        <v>2023</v>
      </c>
      <c r="Q363" s="29">
        <v>90</v>
      </c>
    </row>
    <row r="364" spans="1:17">
      <c r="A364" s="7" t="s">
        <v>421</v>
      </c>
      <c r="B364" s="2" t="s">
        <v>739</v>
      </c>
      <c r="C364" s="2">
        <v>7124</v>
      </c>
      <c r="D364" s="2" t="s">
        <v>147</v>
      </c>
      <c r="E364" s="2" t="s">
        <v>25</v>
      </c>
      <c r="F364" s="2" t="s">
        <v>149</v>
      </c>
      <c r="G364" s="277" t="s">
        <v>674</v>
      </c>
      <c r="H364" s="277" t="s">
        <v>674</v>
      </c>
      <c r="I364" s="277">
        <v>45024</v>
      </c>
      <c r="J364" s="2" t="s">
        <v>1341</v>
      </c>
      <c r="K364" s="2" t="s">
        <v>840</v>
      </c>
      <c r="L364" s="2" t="s">
        <v>674</v>
      </c>
      <c r="M364" s="2"/>
      <c r="N364" s="2" t="str">
        <f>DitrbFlota[[#This Row],[TIPO BUS]]&amp;"-"&amp;DitrbFlota[[#This Row],[MARCA CHASIS]]</f>
        <v>BE-FOTON</v>
      </c>
      <c r="O364" s="2">
        <f>MONTH(DitrbFlota[[#This Row],[Inicio Operación]])</f>
        <v>4</v>
      </c>
      <c r="P364" s="2">
        <f>YEAR(DitrbFlota[[#This Row],[Inicio Operación]])</f>
        <v>2023</v>
      </c>
      <c r="Q364" s="29">
        <v>90</v>
      </c>
    </row>
    <row r="365" spans="1:17">
      <c r="A365" s="7" t="s">
        <v>421</v>
      </c>
      <c r="B365" s="2" t="s">
        <v>740</v>
      </c>
      <c r="C365" s="2">
        <v>7125</v>
      </c>
      <c r="D365" s="2" t="s">
        <v>147</v>
      </c>
      <c r="E365" s="2" t="s">
        <v>25</v>
      </c>
      <c r="F365" s="2" t="s">
        <v>149</v>
      </c>
      <c r="G365" s="277" t="s">
        <v>674</v>
      </c>
      <c r="H365" s="277" t="s">
        <v>674</v>
      </c>
      <c r="I365" s="277">
        <v>45024</v>
      </c>
      <c r="J365" s="2" t="s">
        <v>1341</v>
      </c>
      <c r="K365" s="2" t="s">
        <v>840</v>
      </c>
      <c r="L365" s="2" t="s">
        <v>674</v>
      </c>
      <c r="M365" s="2"/>
      <c r="N365" s="2" t="str">
        <f>DitrbFlota[[#This Row],[TIPO BUS]]&amp;"-"&amp;DitrbFlota[[#This Row],[MARCA CHASIS]]</f>
        <v>BE-FOTON</v>
      </c>
      <c r="O365" s="2">
        <f>MONTH(DitrbFlota[[#This Row],[Inicio Operación]])</f>
        <v>4</v>
      </c>
      <c r="P365" s="2">
        <f>YEAR(DitrbFlota[[#This Row],[Inicio Operación]])</f>
        <v>2023</v>
      </c>
      <c r="Q365" s="29">
        <v>90</v>
      </c>
    </row>
    <row r="366" spans="1:17">
      <c r="A366" s="7" t="s">
        <v>421</v>
      </c>
      <c r="B366" s="2" t="s">
        <v>741</v>
      </c>
      <c r="C366" s="2">
        <v>7126</v>
      </c>
      <c r="D366" s="2" t="s">
        <v>147</v>
      </c>
      <c r="E366" s="2" t="s">
        <v>13</v>
      </c>
      <c r="F366" s="2" t="s">
        <v>149</v>
      </c>
      <c r="G366" s="277" t="s">
        <v>674</v>
      </c>
      <c r="H366" s="277" t="s">
        <v>674</v>
      </c>
      <c r="I366" s="277">
        <v>45024</v>
      </c>
      <c r="J366" s="2" t="s">
        <v>1341</v>
      </c>
      <c r="K366" s="2" t="s">
        <v>840</v>
      </c>
      <c r="L366" s="2" t="s">
        <v>674</v>
      </c>
      <c r="M366" s="2"/>
      <c r="N366" s="2" t="str">
        <f>DitrbFlota[[#This Row],[TIPO BUS]]&amp;"-"&amp;DitrbFlota[[#This Row],[MARCA CHASIS]]</f>
        <v>BE-FOTON</v>
      </c>
      <c r="O366" s="2">
        <f>MONTH(DitrbFlota[[#This Row],[Inicio Operación]])</f>
        <v>4</v>
      </c>
      <c r="P366" s="2">
        <f>YEAR(DitrbFlota[[#This Row],[Inicio Operación]])</f>
        <v>2023</v>
      </c>
      <c r="Q366" s="29">
        <v>90</v>
      </c>
    </row>
    <row r="367" spans="1:17">
      <c r="A367" s="7" t="s">
        <v>421</v>
      </c>
      <c r="B367" s="2" t="s">
        <v>742</v>
      </c>
      <c r="C367" s="2">
        <v>7127</v>
      </c>
      <c r="D367" s="2" t="s">
        <v>147</v>
      </c>
      <c r="E367" s="2" t="s">
        <v>13</v>
      </c>
      <c r="F367" s="2" t="s">
        <v>149</v>
      </c>
      <c r="G367" s="277" t="s">
        <v>674</v>
      </c>
      <c r="H367" s="277" t="s">
        <v>674</v>
      </c>
      <c r="I367" s="277">
        <v>45024</v>
      </c>
      <c r="J367" s="2" t="s">
        <v>1341</v>
      </c>
      <c r="K367" s="2" t="s">
        <v>840</v>
      </c>
      <c r="L367" s="2" t="s">
        <v>674</v>
      </c>
      <c r="M367" s="2"/>
      <c r="N367" s="2" t="str">
        <f>DitrbFlota[[#This Row],[TIPO BUS]]&amp;"-"&amp;DitrbFlota[[#This Row],[MARCA CHASIS]]</f>
        <v>BE-FOTON</v>
      </c>
      <c r="O367" s="2">
        <f>MONTH(DitrbFlota[[#This Row],[Inicio Operación]])</f>
        <v>4</v>
      </c>
      <c r="P367" s="2">
        <f>YEAR(DitrbFlota[[#This Row],[Inicio Operación]])</f>
        <v>2023</v>
      </c>
      <c r="Q367" s="29">
        <v>90</v>
      </c>
    </row>
    <row r="368" spans="1:17">
      <c r="A368" s="7" t="s">
        <v>421</v>
      </c>
      <c r="B368" s="2" t="s">
        <v>743</v>
      </c>
      <c r="C368" s="2">
        <v>7128</v>
      </c>
      <c r="D368" s="2" t="s">
        <v>147</v>
      </c>
      <c r="E368" s="2" t="s">
        <v>13</v>
      </c>
      <c r="F368" s="2" t="s">
        <v>149</v>
      </c>
      <c r="G368" s="277" t="s">
        <v>674</v>
      </c>
      <c r="H368" s="277" t="s">
        <v>674</v>
      </c>
      <c r="I368" s="277">
        <v>45024</v>
      </c>
      <c r="J368" s="2" t="s">
        <v>1341</v>
      </c>
      <c r="K368" s="2" t="s">
        <v>840</v>
      </c>
      <c r="L368" s="2" t="s">
        <v>674</v>
      </c>
      <c r="M368" s="2"/>
      <c r="N368" s="2" t="str">
        <f>DitrbFlota[[#This Row],[TIPO BUS]]&amp;"-"&amp;DitrbFlota[[#This Row],[MARCA CHASIS]]</f>
        <v>BE-FOTON</v>
      </c>
      <c r="O368" s="2">
        <f>MONTH(DitrbFlota[[#This Row],[Inicio Operación]])</f>
        <v>4</v>
      </c>
      <c r="P368" s="2">
        <f>YEAR(DitrbFlota[[#This Row],[Inicio Operación]])</f>
        <v>2023</v>
      </c>
      <c r="Q368" s="29">
        <v>90</v>
      </c>
    </row>
    <row r="369" spans="1:17">
      <c r="A369" s="7" t="s">
        <v>421</v>
      </c>
      <c r="B369" s="2" t="s">
        <v>744</v>
      </c>
      <c r="C369" s="2">
        <v>7129</v>
      </c>
      <c r="D369" s="2" t="s">
        <v>147</v>
      </c>
      <c r="E369" s="2" t="s">
        <v>13</v>
      </c>
      <c r="F369" s="2" t="s">
        <v>149</v>
      </c>
      <c r="G369" s="277" t="s">
        <v>674</v>
      </c>
      <c r="H369" s="277" t="s">
        <v>674</v>
      </c>
      <c r="I369" s="277">
        <v>45024</v>
      </c>
      <c r="J369" s="2" t="s">
        <v>1341</v>
      </c>
      <c r="K369" s="2" t="s">
        <v>840</v>
      </c>
      <c r="L369" s="2" t="s">
        <v>674</v>
      </c>
      <c r="M369" s="2"/>
      <c r="N369" s="2" t="str">
        <f>DitrbFlota[[#This Row],[TIPO BUS]]&amp;"-"&amp;DitrbFlota[[#This Row],[MARCA CHASIS]]</f>
        <v>BE-FOTON</v>
      </c>
      <c r="O369" s="2">
        <f>MONTH(DitrbFlota[[#This Row],[Inicio Operación]])</f>
        <v>4</v>
      </c>
      <c r="P369" s="2">
        <f>YEAR(DitrbFlota[[#This Row],[Inicio Operación]])</f>
        <v>2023</v>
      </c>
      <c r="Q369" s="29">
        <v>90</v>
      </c>
    </row>
    <row r="370" spans="1:17">
      <c r="A370" s="7" t="s">
        <v>421</v>
      </c>
      <c r="B370" s="2" t="s">
        <v>745</v>
      </c>
      <c r="C370" s="2">
        <v>7130</v>
      </c>
      <c r="D370" s="2" t="s">
        <v>147</v>
      </c>
      <c r="E370" s="2" t="s">
        <v>13</v>
      </c>
      <c r="F370" s="2" t="s">
        <v>149</v>
      </c>
      <c r="G370" s="277" t="s">
        <v>674</v>
      </c>
      <c r="H370" s="277" t="s">
        <v>674</v>
      </c>
      <c r="I370" s="277">
        <v>45024</v>
      </c>
      <c r="J370" s="2" t="s">
        <v>1341</v>
      </c>
      <c r="K370" s="2" t="s">
        <v>840</v>
      </c>
      <c r="L370" s="2" t="s">
        <v>674</v>
      </c>
      <c r="M370" s="2"/>
      <c r="N370" s="2" t="str">
        <f>DitrbFlota[[#This Row],[TIPO BUS]]&amp;"-"&amp;DitrbFlota[[#This Row],[MARCA CHASIS]]</f>
        <v>BE-FOTON</v>
      </c>
      <c r="O370" s="2">
        <f>MONTH(DitrbFlota[[#This Row],[Inicio Operación]])</f>
        <v>4</v>
      </c>
      <c r="P370" s="2">
        <f>YEAR(DitrbFlota[[#This Row],[Inicio Operación]])</f>
        <v>2023</v>
      </c>
      <c r="Q370" s="29">
        <v>90</v>
      </c>
    </row>
    <row r="371" spans="1:17">
      <c r="A371" s="7" t="s">
        <v>421</v>
      </c>
      <c r="B371" s="2" t="s">
        <v>746</v>
      </c>
      <c r="C371" s="2">
        <v>7131</v>
      </c>
      <c r="D371" s="2" t="s">
        <v>147</v>
      </c>
      <c r="E371" s="2" t="s">
        <v>13</v>
      </c>
      <c r="F371" s="2" t="s">
        <v>149</v>
      </c>
      <c r="G371" s="277" t="s">
        <v>674</v>
      </c>
      <c r="H371" s="277" t="s">
        <v>674</v>
      </c>
      <c r="I371" s="277">
        <v>45024</v>
      </c>
      <c r="J371" s="2" t="s">
        <v>1341</v>
      </c>
      <c r="K371" s="2" t="s">
        <v>840</v>
      </c>
      <c r="L371" s="2" t="s">
        <v>674</v>
      </c>
      <c r="M371" s="2"/>
      <c r="N371" s="2" t="str">
        <f>DitrbFlota[[#This Row],[TIPO BUS]]&amp;"-"&amp;DitrbFlota[[#This Row],[MARCA CHASIS]]</f>
        <v>BE-FOTON</v>
      </c>
      <c r="O371" s="2">
        <f>MONTH(DitrbFlota[[#This Row],[Inicio Operación]])</f>
        <v>4</v>
      </c>
      <c r="P371" s="2">
        <f>YEAR(DitrbFlota[[#This Row],[Inicio Operación]])</f>
        <v>2023</v>
      </c>
      <c r="Q371" s="29">
        <v>90</v>
      </c>
    </row>
    <row r="372" spans="1:17">
      <c r="A372" s="7" t="s">
        <v>421</v>
      </c>
      <c r="B372" s="2" t="s">
        <v>747</v>
      </c>
      <c r="C372" s="2">
        <v>7132</v>
      </c>
      <c r="D372" s="2" t="s">
        <v>147</v>
      </c>
      <c r="E372" s="2" t="s">
        <v>13</v>
      </c>
      <c r="F372" s="2" t="s">
        <v>149</v>
      </c>
      <c r="G372" s="277" t="s">
        <v>674</v>
      </c>
      <c r="H372" s="277" t="s">
        <v>674</v>
      </c>
      <c r="I372" s="277">
        <v>45024</v>
      </c>
      <c r="J372" s="2" t="s">
        <v>1341</v>
      </c>
      <c r="K372" s="2" t="s">
        <v>840</v>
      </c>
      <c r="L372" s="2" t="s">
        <v>674</v>
      </c>
      <c r="M372" s="2"/>
      <c r="N372" s="2" t="str">
        <f>DitrbFlota[[#This Row],[TIPO BUS]]&amp;"-"&amp;DitrbFlota[[#This Row],[MARCA CHASIS]]</f>
        <v>BE-FOTON</v>
      </c>
      <c r="O372" s="2">
        <f>MONTH(DitrbFlota[[#This Row],[Inicio Operación]])</f>
        <v>4</v>
      </c>
      <c r="P372" s="2">
        <f>YEAR(DitrbFlota[[#This Row],[Inicio Operación]])</f>
        <v>2023</v>
      </c>
      <c r="Q372" s="29">
        <v>90</v>
      </c>
    </row>
    <row r="373" spans="1:17">
      <c r="A373" s="7" t="s">
        <v>421</v>
      </c>
      <c r="B373" s="2" t="s">
        <v>748</v>
      </c>
      <c r="C373" s="2">
        <v>7133</v>
      </c>
      <c r="D373" s="2" t="s">
        <v>147</v>
      </c>
      <c r="E373" s="2" t="s">
        <v>13</v>
      </c>
      <c r="F373" s="2" t="s">
        <v>149</v>
      </c>
      <c r="G373" s="277" t="s">
        <v>674</v>
      </c>
      <c r="H373" s="277" t="s">
        <v>674</v>
      </c>
      <c r="I373" s="277">
        <v>45024</v>
      </c>
      <c r="J373" s="2" t="s">
        <v>1341</v>
      </c>
      <c r="K373" s="2" t="s">
        <v>840</v>
      </c>
      <c r="L373" s="2" t="s">
        <v>674</v>
      </c>
      <c r="M373" s="2"/>
      <c r="N373" s="2" t="str">
        <f>DitrbFlota[[#This Row],[TIPO BUS]]&amp;"-"&amp;DitrbFlota[[#This Row],[MARCA CHASIS]]</f>
        <v>BE-FOTON</v>
      </c>
      <c r="O373" s="2">
        <f>MONTH(DitrbFlota[[#This Row],[Inicio Operación]])</f>
        <v>4</v>
      </c>
      <c r="P373" s="2">
        <f>YEAR(DitrbFlota[[#This Row],[Inicio Operación]])</f>
        <v>2023</v>
      </c>
      <c r="Q373" s="29">
        <v>90</v>
      </c>
    </row>
    <row r="374" spans="1:17">
      <c r="A374" s="7" t="s">
        <v>421</v>
      </c>
      <c r="B374" s="2" t="s">
        <v>749</v>
      </c>
      <c r="C374" s="2">
        <v>7134</v>
      </c>
      <c r="D374" s="2" t="s">
        <v>147</v>
      </c>
      <c r="E374" s="2" t="s">
        <v>13</v>
      </c>
      <c r="F374" s="2" t="s">
        <v>149</v>
      </c>
      <c r="G374" s="277" t="s">
        <v>674</v>
      </c>
      <c r="H374" s="277" t="s">
        <v>674</v>
      </c>
      <c r="I374" s="277">
        <v>45024</v>
      </c>
      <c r="J374" s="2" t="s">
        <v>1341</v>
      </c>
      <c r="K374" s="2" t="s">
        <v>840</v>
      </c>
      <c r="L374" s="2" t="s">
        <v>674</v>
      </c>
      <c r="M374" s="2"/>
      <c r="N374" s="2" t="str">
        <f>DitrbFlota[[#This Row],[TIPO BUS]]&amp;"-"&amp;DitrbFlota[[#This Row],[MARCA CHASIS]]</f>
        <v>BE-FOTON</v>
      </c>
      <c r="O374" s="2">
        <f>MONTH(DitrbFlota[[#This Row],[Inicio Operación]])</f>
        <v>4</v>
      </c>
      <c r="P374" s="2">
        <f>YEAR(DitrbFlota[[#This Row],[Inicio Operación]])</f>
        <v>2023</v>
      </c>
      <c r="Q374" s="29">
        <v>90</v>
      </c>
    </row>
    <row r="375" spans="1:17">
      <c r="A375" s="7" t="s">
        <v>421</v>
      </c>
      <c r="B375" s="2" t="s">
        <v>750</v>
      </c>
      <c r="C375" s="2">
        <v>7135</v>
      </c>
      <c r="D375" s="2" t="s">
        <v>147</v>
      </c>
      <c r="E375" s="2" t="s">
        <v>13</v>
      </c>
      <c r="F375" s="2" t="s">
        <v>149</v>
      </c>
      <c r="G375" s="277" t="s">
        <v>674</v>
      </c>
      <c r="H375" s="277" t="s">
        <v>674</v>
      </c>
      <c r="I375" s="277">
        <v>45024</v>
      </c>
      <c r="J375" s="2" t="s">
        <v>1341</v>
      </c>
      <c r="K375" s="2" t="s">
        <v>840</v>
      </c>
      <c r="L375" s="2" t="s">
        <v>674</v>
      </c>
      <c r="M375" s="2"/>
      <c r="N375" s="2" t="str">
        <f>DitrbFlota[[#This Row],[TIPO BUS]]&amp;"-"&amp;DitrbFlota[[#This Row],[MARCA CHASIS]]</f>
        <v>BE-FOTON</v>
      </c>
      <c r="O375" s="2">
        <f>MONTH(DitrbFlota[[#This Row],[Inicio Operación]])</f>
        <v>4</v>
      </c>
      <c r="P375" s="2">
        <f>YEAR(DitrbFlota[[#This Row],[Inicio Operación]])</f>
        <v>2023</v>
      </c>
      <c r="Q375" s="29">
        <v>90</v>
      </c>
    </row>
    <row r="376" spans="1:17">
      <c r="A376" s="7" t="s">
        <v>421</v>
      </c>
      <c r="B376" s="2" t="s">
        <v>751</v>
      </c>
      <c r="C376" s="2">
        <v>7136</v>
      </c>
      <c r="D376" s="2" t="s">
        <v>147</v>
      </c>
      <c r="E376" s="2" t="s">
        <v>13</v>
      </c>
      <c r="F376" s="2" t="s">
        <v>149</v>
      </c>
      <c r="G376" s="277" t="s">
        <v>674</v>
      </c>
      <c r="H376" s="277" t="s">
        <v>674</v>
      </c>
      <c r="I376" s="277">
        <v>45024</v>
      </c>
      <c r="J376" s="2" t="s">
        <v>1341</v>
      </c>
      <c r="K376" s="2" t="s">
        <v>840</v>
      </c>
      <c r="L376" s="2" t="s">
        <v>674</v>
      </c>
      <c r="M376" s="2"/>
      <c r="N376" s="2" t="str">
        <f>DitrbFlota[[#This Row],[TIPO BUS]]&amp;"-"&amp;DitrbFlota[[#This Row],[MARCA CHASIS]]</f>
        <v>BE-FOTON</v>
      </c>
      <c r="O376" s="2">
        <f>MONTH(DitrbFlota[[#This Row],[Inicio Operación]])</f>
        <v>4</v>
      </c>
      <c r="P376" s="2">
        <f>YEAR(DitrbFlota[[#This Row],[Inicio Operación]])</f>
        <v>2023</v>
      </c>
      <c r="Q376" s="29">
        <v>90</v>
      </c>
    </row>
    <row r="377" spans="1:17">
      <c r="A377" s="7" t="s">
        <v>421</v>
      </c>
      <c r="B377" s="2" t="s">
        <v>752</v>
      </c>
      <c r="C377" s="2">
        <v>7137</v>
      </c>
      <c r="D377" s="2" t="s">
        <v>147</v>
      </c>
      <c r="E377" s="2" t="s">
        <v>13</v>
      </c>
      <c r="F377" s="2" t="s">
        <v>149</v>
      </c>
      <c r="G377" s="277" t="s">
        <v>674</v>
      </c>
      <c r="H377" s="277" t="s">
        <v>674</v>
      </c>
      <c r="I377" s="277">
        <v>45024</v>
      </c>
      <c r="J377" s="2" t="s">
        <v>1341</v>
      </c>
      <c r="K377" s="2" t="s">
        <v>840</v>
      </c>
      <c r="L377" s="2" t="s">
        <v>674</v>
      </c>
      <c r="M377" s="2"/>
      <c r="N377" s="2" t="str">
        <f>DitrbFlota[[#This Row],[TIPO BUS]]&amp;"-"&amp;DitrbFlota[[#This Row],[MARCA CHASIS]]</f>
        <v>BE-FOTON</v>
      </c>
      <c r="O377" s="2">
        <f>MONTH(DitrbFlota[[#This Row],[Inicio Operación]])</f>
        <v>4</v>
      </c>
      <c r="P377" s="2">
        <f>YEAR(DitrbFlota[[#This Row],[Inicio Operación]])</f>
        <v>2023</v>
      </c>
      <c r="Q377" s="29">
        <v>90</v>
      </c>
    </row>
    <row r="378" spans="1:17">
      <c r="A378" s="7" t="s">
        <v>421</v>
      </c>
      <c r="B378" s="2" t="s">
        <v>753</v>
      </c>
      <c r="C378" s="2">
        <v>7138</v>
      </c>
      <c r="D378" s="2" t="s">
        <v>147</v>
      </c>
      <c r="E378" s="2" t="s">
        <v>13</v>
      </c>
      <c r="F378" s="2" t="s">
        <v>149</v>
      </c>
      <c r="G378" s="277" t="s">
        <v>674</v>
      </c>
      <c r="H378" s="277" t="s">
        <v>674</v>
      </c>
      <c r="I378" s="277">
        <v>45024</v>
      </c>
      <c r="J378" s="2" t="s">
        <v>1341</v>
      </c>
      <c r="K378" s="2" t="s">
        <v>840</v>
      </c>
      <c r="L378" s="2" t="s">
        <v>674</v>
      </c>
      <c r="M378" s="2"/>
      <c r="N378" s="2" t="str">
        <f>DitrbFlota[[#This Row],[TIPO BUS]]&amp;"-"&amp;DitrbFlota[[#This Row],[MARCA CHASIS]]</f>
        <v>BE-FOTON</v>
      </c>
      <c r="O378" s="2">
        <f>MONTH(DitrbFlota[[#This Row],[Inicio Operación]])</f>
        <v>4</v>
      </c>
      <c r="P378" s="2">
        <f>YEAR(DitrbFlota[[#This Row],[Inicio Operación]])</f>
        <v>2023</v>
      </c>
      <c r="Q378" s="29">
        <v>90</v>
      </c>
    </row>
    <row r="379" spans="1:17">
      <c r="A379" s="7" t="s">
        <v>421</v>
      </c>
      <c r="B379" s="2" t="s">
        <v>754</v>
      </c>
      <c r="C379" s="2">
        <v>7139</v>
      </c>
      <c r="D379" s="2" t="s">
        <v>147</v>
      </c>
      <c r="E379" s="2" t="s">
        <v>13</v>
      </c>
      <c r="F379" s="2" t="s">
        <v>149</v>
      </c>
      <c r="G379" s="277" t="s">
        <v>674</v>
      </c>
      <c r="H379" s="277" t="s">
        <v>674</v>
      </c>
      <c r="I379" s="277">
        <v>45024</v>
      </c>
      <c r="J379" s="2" t="s">
        <v>1341</v>
      </c>
      <c r="K379" s="2" t="s">
        <v>840</v>
      </c>
      <c r="L379" s="2" t="s">
        <v>674</v>
      </c>
      <c r="M379" s="2"/>
      <c r="N379" s="2" t="str">
        <f>DitrbFlota[[#This Row],[TIPO BUS]]&amp;"-"&amp;DitrbFlota[[#This Row],[MARCA CHASIS]]</f>
        <v>BE-FOTON</v>
      </c>
      <c r="O379" s="2">
        <f>MONTH(DitrbFlota[[#This Row],[Inicio Operación]])</f>
        <v>4</v>
      </c>
      <c r="P379" s="2">
        <f>YEAR(DitrbFlota[[#This Row],[Inicio Operación]])</f>
        <v>2023</v>
      </c>
      <c r="Q379" s="29">
        <v>90</v>
      </c>
    </row>
    <row r="380" spans="1:17">
      <c r="A380" s="7" t="s">
        <v>421</v>
      </c>
      <c r="B380" s="2" t="s">
        <v>755</v>
      </c>
      <c r="C380" s="2">
        <v>7140</v>
      </c>
      <c r="D380" s="2" t="s">
        <v>147</v>
      </c>
      <c r="E380" s="2" t="s">
        <v>13</v>
      </c>
      <c r="F380" s="2" t="s">
        <v>149</v>
      </c>
      <c r="G380" s="277" t="s">
        <v>674</v>
      </c>
      <c r="H380" s="277" t="s">
        <v>674</v>
      </c>
      <c r="I380" s="277">
        <v>45024</v>
      </c>
      <c r="J380" s="2" t="s">
        <v>1341</v>
      </c>
      <c r="K380" s="2" t="s">
        <v>840</v>
      </c>
      <c r="L380" s="2" t="s">
        <v>674</v>
      </c>
      <c r="M380" s="2"/>
      <c r="N380" s="2" t="str">
        <f>DitrbFlota[[#This Row],[TIPO BUS]]&amp;"-"&amp;DitrbFlota[[#This Row],[MARCA CHASIS]]</f>
        <v>BE-FOTON</v>
      </c>
      <c r="O380" s="2">
        <f>MONTH(DitrbFlota[[#This Row],[Inicio Operación]])</f>
        <v>4</v>
      </c>
      <c r="P380" s="2">
        <f>YEAR(DitrbFlota[[#This Row],[Inicio Operación]])</f>
        <v>2023</v>
      </c>
      <c r="Q380" s="29">
        <v>90</v>
      </c>
    </row>
    <row r="381" spans="1:17">
      <c r="A381" s="7" t="s">
        <v>421</v>
      </c>
      <c r="B381" s="2" t="s">
        <v>756</v>
      </c>
      <c r="C381" s="2">
        <v>7141</v>
      </c>
      <c r="D381" s="2" t="s">
        <v>147</v>
      </c>
      <c r="E381" s="2" t="s">
        <v>13</v>
      </c>
      <c r="F381" s="2" t="s">
        <v>149</v>
      </c>
      <c r="G381" s="277" t="s">
        <v>674</v>
      </c>
      <c r="H381" s="277" t="s">
        <v>674</v>
      </c>
      <c r="I381" s="277">
        <v>45024</v>
      </c>
      <c r="J381" s="2" t="s">
        <v>1341</v>
      </c>
      <c r="K381" s="2" t="s">
        <v>840</v>
      </c>
      <c r="L381" s="2" t="s">
        <v>674</v>
      </c>
      <c r="M381" s="2"/>
      <c r="N381" s="2" t="str">
        <f>DitrbFlota[[#This Row],[TIPO BUS]]&amp;"-"&amp;DitrbFlota[[#This Row],[MARCA CHASIS]]</f>
        <v>BE-FOTON</v>
      </c>
      <c r="O381" s="2">
        <f>MONTH(DitrbFlota[[#This Row],[Inicio Operación]])</f>
        <v>4</v>
      </c>
      <c r="P381" s="2">
        <f>YEAR(DitrbFlota[[#This Row],[Inicio Operación]])</f>
        <v>2023</v>
      </c>
      <c r="Q381" s="29">
        <v>90</v>
      </c>
    </row>
    <row r="382" spans="1:17">
      <c r="A382" s="7" t="s">
        <v>421</v>
      </c>
      <c r="B382" s="2" t="s">
        <v>757</v>
      </c>
      <c r="C382" s="2">
        <v>7142</v>
      </c>
      <c r="D382" s="2" t="s">
        <v>147</v>
      </c>
      <c r="E382" s="2" t="s">
        <v>13</v>
      </c>
      <c r="F382" s="2" t="s">
        <v>149</v>
      </c>
      <c r="G382" s="277" t="s">
        <v>674</v>
      </c>
      <c r="H382" s="277" t="s">
        <v>674</v>
      </c>
      <c r="I382" s="277">
        <v>45024</v>
      </c>
      <c r="J382" s="2" t="s">
        <v>1341</v>
      </c>
      <c r="K382" s="2" t="s">
        <v>840</v>
      </c>
      <c r="L382" s="2" t="s">
        <v>674</v>
      </c>
      <c r="M382" s="2"/>
      <c r="N382" s="2" t="str">
        <f>DitrbFlota[[#This Row],[TIPO BUS]]&amp;"-"&amp;DitrbFlota[[#This Row],[MARCA CHASIS]]</f>
        <v>BE-FOTON</v>
      </c>
      <c r="O382" s="2">
        <f>MONTH(DitrbFlota[[#This Row],[Inicio Operación]])</f>
        <v>4</v>
      </c>
      <c r="P382" s="2">
        <f>YEAR(DitrbFlota[[#This Row],[Inicio Operación]])</f>
        <v>2023</v>
      </c>
      <c r="Q382" s="29">
        <v>90</v>
      </c>
    </row>
    <row r="383" spans="1:17">
      <c r="A383" s="7" t="s">
        <v>421</v>
      </c>
      <c r="B383" s="2" t="s">
        <v>758</v>
      </c>
      <c r="C383" s="2">
        <v>7143</v>
      </c>
      <c r="D383" s="2" t="s">
        <v>147</v>
      </c>
      <c r="E383" s="2" t="s">
        <v>13</v>
      </c>
      <c r="F383" s="2" t="s">
        <v>149</v>
      </c>
      <c r="G383" s="277" t="s">
        <v>674</v>
      </c>
      <c r="H383" s="277" t="s">
        <v>674</v>
      </c>
      <c r="I383" s="277">
        <v>45024</v>
      </c>
      <c r="J383" s="2" t="s">
        <v>1341</v>
      </c>
      <c r="K383" s="2" t="s">
        <v>840</v>
      </c>
      <c r="L383" s="2" t="s">
        <v>674</v>
      </c>
      <c r="M383" s="2"/>
      <c r="N383" s="2" t="str">
        <f>DitrbFlota[[#This Row],[TIPO BUS]]&amp;"-"&amp;DitrbFlota[[#This Row],[MARCA CHASIS]]</f>
        <v>BE-FOTON</v>
      </c>
      <c r="O383" s="2">
        <f>MONTH(DitrbFlota[[#This Row],[Inicio Operación]])</f>
        <v>4</v>
      </c>
      <c r="P383" s="2">
        <f>YEAR(DitrbFlota[[#This Row],[Inicio Operación]])</f>
        <v>2023</v>
      </c>
      <c r="Q383" s="29">
        <v>90</v>
      </c>
    </row>
    <row r="384" spans="1:17">
      <c r="A384" s="7" t="s">
        <v>421</v>
      </c>
      <c r="B384" s="2" t="s">
        <v>759</v>
      </c>
      <c r="C384" s="2">
        <v>7144</v>
      </c>
      <c r="D384" s="2" t="s">
        <v>147</v>
      </c>
      <c r="E384" s="2" t="s">
        <v>13</v>
      </c>
      <c r="F384" s="2" t="s">
        <v>149</v>
      </c>
      <c r="G384" s="277" t="s">
        <v>674</v>
      </c>
      <c r="H384" s="277" t="s">
        <v>674</v>
      </c>
      <c r="I384" s="277">
        <v>45024</v>
      </c>
      <c r="J384" s="2" t="s">
        <v>1341</v>
      </c>
      <c r="K384" s="2" t="s">
        <v>840</v>
      </c>
      <c r="L384" s="2" t="s">
        <v>674</v>
      </c>
      <c r="M384" s="2"/>
      <c r="N384" s="2" t="str">
        <f>DitrbFlota[[#This Row],[TIPO BUS]]&amp;"-"&amp;DitrbFlota[[#This Row],[MARCA CHASIS]]</f>
        <v>BE-FOTON</v>
      </c>
      <c r="O384" s="2">
        <f>MONTH(DitrbFlota[[#This Row],[Inicio Operación]])</f>
        <v>4</v>
      </c>
      <c r="P384" s="2">
        <f>YEAR(DitrbFlota[[#This Row],[Inicio Operación]])</f>
        <v>2023</v>
      </c>
      <c r="Q384" s="29">
        <v>90</v>
      </c>
    </row>
    <row r="385" spans="1:17">
      <c r="A385" s="7" t="s">
        <v>421</v>
      </c>
      <c r="B385" s="2" t="s">
        <v>760</v>
      </c>
      <c r="C385" s="2">
        <v>7145</v>
      </c>
      <c r="D385" s="2" t="s">
        <v>147</v>
      </c>
      <c r="E385" s="2" t="s">
        <v>13</v>
      </c>
      <c r="F385" s="2" t="s">
        <v>149</v>
      </c>
      <c r="G385" s="277" t="s">
        <v>674</v>
      </c>
      <c r="H385" s="277" t="s">
        <v>674</v>
      </c>
      <c r="I385" s="277">
        <v>45024</v>
      </c>
      <c r="J385" s="2" t="s">
        <v>1341</v>
      </c>
      <c r="K385" s="2" t="s">
        <v>840</v>
      </c>
      <c r="L385" s="2" t="s">
        <v>674</v>
      </c>
      <c r="M385" s="2"/>
      <c r="N385" s="2" t="str">
        <f>DitrbFlota[[#This Row],[TIPO BUS]]&amp;"-"&amp;DitrbFlota[[#This Row],[MARCA CHASIS]]</f>
        <v>BE-FOTON</v>
      </c>
      <c r="O385" s="2">
        <f>MONTH(DitrbFlota[[#This Row],[Inicio Operación]])</f>
        <v>4</v>
      </c>
      <c r="P385" s="2">
        <f>YEAR(DitrbFlota[[#This Row],[Inicio Operación]])</f>
        <v>2023</v>
      </c>
      <c r="Q385" s="29">
        <v>90</v>
      </c>
    </row>
    <row r="386" spans="1:17">
      <c r="A386" s="7" t="s">
        <v>421</v>
      </c>
      <c r="B386" s="2" t="s">
        <v>761</v>
      </c>
      <c r="C386" s="2">
        <v>7146</v>
      </c>
      <c r="D386" s="2" t="s">
        <v>147</v>
      </c>
      <c r="E386" s="2" t="s">
        <v>13</v>
      </c>
      <c r="F386" s="2" t="s">
        <v>149</v>
      </c>
      <c r="G386" s="277" t="s">
        <v>674</v>
      </c>
      <c r="H386" s="277" t="s">
        <v>674</v>
      </c>
      <c r="I386" s="277">
        <v>45024</v>
      </c>
      <c r="J386" s="2" t="s">
        <v>1341</v>
      </c>
      <c r="K386" s="2" t="s">
        <v>840</v>
      </c>
      <c r="L386" s="2" t="s">
        <v>674</v>
      </c>
      <c r="M386" s="2"/>
      <c r="N386" s="2" t="str">
        <f>DitrbFlota[[#This Row],[TIPO BUS]]&amp;"-"&amp;DitrbFlota[[#This Row],[MARCA CHASIS]]</f>
        <v>BE-FOTON</v>
      </c>
      <c r="O386" s="2">
        <f>MONTH(DitrbFlota[[#This Row],[Inicio Operación]])</f>
        <v>4</v>
      </c>
      <c r="P386" s="2">
        <f>YEAR(DitrbFlota[[#This Row],[Inicio Operación]])</f>
        <v>2023</v>
      </c>
      <c r="Q386" s="29">
        <v>90</v>
      </c>
    </row>
    <row r="387" spans="1:17">
      <c r="A387" s="7" t="s">
        <v>421</v>
      </c>
      <c r="B387" s="2" t="s">
        <v>762</v>
      </c>
      <c r="C387" s="2">
        <v>7147</v>
      </c>
      <c r="D387" s="2" t="s">
        <v>147</v>
      </c>
      <c r="E387" s="2" t="s">
        <v>13</v>
      </c>
      <c r="F387" s="2" t="s">
        <v>149</v>
      </c>
      <c r="G387" s="277" t="s">
        <v>674</v>
      </c>
      <c r="H387" s="277" t="s">
        <v>674</v>
      </c>
      <c r="I387" s="277">
        <v>45024</v>
      </c>
      <c r="J387" s="2" t="s">
        <v>1341</v>
      </c>
      <c r="K387" s="2" t="s">
        <v>840</v>
      </c>
      <c r="L387" s="2" t="s">
        <v>674</v>
      </c>
      <c r="M387" s="2"/>
      <c r="N387" s="2" t="str">
        <f>DitrbFlota[[#This Row],[TIPO BUS]]&amp;"-"&amp;DitrbFlota[[#This Row],[MARCA CHASIS]]</f>
        <v>BE-FOTON</v>
      </c>
      <c r="O387" s="2">
        <f>MONTH(DitrbFlota[[#This Row],[Inicio Operación]])</f>
        <v>4</v>
      </c>
      <c r="P387" s="2">
        <f>YEAR(DitrbFlota[[#This Row],[Inicio Operación]])</f>
        <v>2023</v>
      </c>
      <c r="Q387" s="29">
        <v>90</v>
      </c>
    </row>
    <row r="388" spans="1:17">
      <c r="A388" s="7" t="s">
        <v>421</v>
      </c>
      <c r="B388" s="2" t="s">
        <v>763</v>
      </c>
      <c r="C388" s="2">
        <v>7148</v>
      </c>
      <c r="D388" s="2" t="s">
        <v>147</v>
      </c>
      <c r="E388" s="2" t="s">
        <v>13</v>
      </c>
      <c r="F388" s="2" t="s">
        <v>149</v>
      </c>
      <c r="G388" s="277" t="s">
        <v>674</v>
      </c>
      <c r="H388" s="277" t="s">
        <v>674</v>
      </c>
      <c r="I388" s="277">
        <v>45024</v>
      </c>
      <c r="J388" s="2" t="s">
        <v>1341</v>
      </c>
      <c r="K388" s="2" t="s">
        <v>840</v>
      </c>
      <c r="L388" s="2" t="s">
        <v>674</v>
      </c>
      <c r="M388" s="2"/>
      <c r="N388" s="2" t="str">
        <f>DitrbFlota[[#This Row],[TIPO BUS]]&amp;"-"&amp;DitrbFlota[[#This Row],[MARCA CHASIS]]</f>
        <v>BE-FOTON</v>
      </c>
      <c r="O388" s="2">
        <f>MONTH(DitrbFlota[[#This Row],[Inicio Operación]])</f>
        <v>4</v>
      </c>
      <c r="P388" s="2">
        <f>YEAR(DitrbFlota[[#This Row],[Inicio Operación]])</f>
        <v>2023</v>
      </c>
      <c r="Q388" s="29">
        <v>90</v>
      </c>
    </row>
    <row r="389" spans="1:17">
      <c r="A389" s="7" t="s">
        <v>421</v>
      </c>
      <c r="B389" s="2" t="s">
        <v>764</v>
      </c>
      <c r="C389" s="2">
        <v>7149</v>
      </c>
      <c r="D389" s="2" t="s">
        <v>147</v>
      </c>
      <c r="E389" s="2" t="s">
        <v>13</v>
      </c>
      <c r="F389" s="2" t="s">
        <v>149</v>
      </c>
      <c r="G389" s="277" t="s">
        <v>674</v>
      </c>
      <c r="H389" s="277" t="s">
        <v>674</v>
      </c>
      <c r="I389" s="277">
        <v>45024</v>
      </c>
      <c r="J389" s="2" t="s">
        <v>1341</v>
      </c>
      <c r="K389" s="2" t="s">
        <v>840</v>
      </c>
      <c r="L389" s="2" t="s">
        <v>674</v>
      </c>
      <c r="M389" s="2"/>
      <c r="N389" s="2" t="str">
        <f>DitrbFlota[[#This Row],[TIPO BUS]]&amp;"-"&amp;DitrbFlota[[#This Row],[MARCA CHASIS]]</f>
        <v>BE-FOTON</v>
      </c>
      <c r="O389" s="2">
        <f>MONTH(DitrbFlota[[#This Row],[Inicio Operación]])</f>
        <v>4</v>
      </c>
      <c r="P389" s="2">
        <f>YEAR(DitrbFlota[[#This Row],[Inicio Operación]])</f>
        <v>2023</v>
      </c>
      <c r="Q389" s="29">
        <v>90</v>
      </c>
    </row>
    <row r="390" spans="1:17">
      <c r="A390" s="7" t="s">
        <v>421</v>
      </c>
      <c r="B390" s="2" t="s">
        <v>765</v>
      </c>
      <c r="C390" s="2">
        <v>7150</v>
      </c>
      <c r="D390" s="2" t="s">
        <v>147</v>
      </c>
      <c r="E390" s="2" t="s">
        <v>13</v>
      </c>
      <c r="F390" s="2" t="s">
        <v>149</v>
      </c>
      <c r="G390" s="277" t="s">
        <v>674</v>
      </c>
      <c r="H390" s="277" t="s">
        <v>674</v>
      </c>
      <c r="I390" s="277">
        <v>45024</v>
      </c>
      <c r="J390" s="2" t="s">
        <v>1341</v>
      </c>
      <c r="K390" s="2" t="s">
        <v>840</v>
      </c>
      <c r="L390" s="2" t="s">
        <v>674</v>
      </c>
      <c r="M390" s="2"/>
      <c r="N390" s="2" t="str">
        <f>DitrbFlota[[#This Row],[TIPO BUS]]&amp;"-"&amp;DitrbFlota[[#This Row],[MARCA CHASIS]]</f>
        <v>BE-FOTON</v>
      </c>
      <c r="O390" s="2">
        <f>MONTH(DitrbFlota[[#This Row],[Inicio Operación]])</f>
        <v>4</v>
      </c>
      <c r="P390" s="2">
        <f>YEAR(DitrbFlota[[#This Row],[Inicio Operación]])</f>
        <v>2023</v>
      </c>
      <c r="Q390" s="29">
        <v>90</v>
      </c>
    </row>
    <row r="391" spans="1:17">
      <c r="A391" s="7" t="s">
        <v>421</v>
      </c>
      <c r="B391" s="2" t="s">
        <v>766</v>
      </c>
      <c r="C391" s="2">
        <v>7151</v>
      </c>
      <c r="D391" s="2" t="s">
        <v>147</v>
      </c>
      <c r="E391" s="2" t="s">
        <v>13</v>
      </c>
      <c r="F391" s="2" t="s">
        <v>149</v>
      </c>
      <c r="G391" s="277" t="s">
        <v>674</v>
      </c>
      <c r="H391" s="277" t="s">
        <v>674</v>
      </c>
      <c r="I391" s="277">
        <v>45024</v>
      </c>
      <c r="J391" s="2" t="s">
        <v>1341</v>
      </c>
      <c r="K391" s="2" t="s">
        <v>840</v>
      </c>
      <c r="L391" s="2" t="s">
        <v>674</v>
      </c>
      <c r="M391" s="2"/>
      <c r="N391" s="2" t="str">
        <f>DitrbFlota[[#This Row],[TIPO BUS]]&amp;"-"&amp;DitrbFlota[[#This Row],[MARCA CHASIS]]</f>
        <v>BE-FOTON</v>
      </c>
      <c r="O391" s="2">
        <f>MONTH(DitrbFlota[[#This Row],[Inicio Operación]])</f>
        <v>4</v>
      </c>
      <c r="P391" s="2">
        <f>YEAR(DitrbFlota[[#This Row],[Inicio Operación]])</f>
        <v>2023</v>
      </c>
      <c r="Q391" s="29">
        <v>90</v>
      </c>
    </row>
    <row r="392" spans="1:17">
      <c r="A392" s="7" t="s">
        <v>421</v>
      </c>
      <c r="B392" s="2" t="s">
        <v>767</v>
      </c>
      <c r="C392" s="2">
        <v>7152</v>
      </c>
      <c r="D392" s="2" t="s">
        <v>147</v>
      </c>
      <c r="E392" s="2" t="s">
        <v>13</v>
      </c>
      <c r="F392" s="2" t="s">
        <v>149</v>
      </c>
      <c r="G392" s="277" t="s">
        <v>674</v>
      </c>
      <c r="H392" s="277" t="s">
        <v>674</v>
      </c>
      <c r="I392" s="277">
        <v>45024</v>
      </c>
      <c r="J392" s="2" t="s">
        <v>1341</v>
      </c>
      <c r="K392" s="2" t="s">
        <v>840</v>
      </c>
      <c r="L392" s="2" t="s">
        <v>674</v>
      </c>
      <c r="M392" s="2"/>
      <c r="N392" s="2" t="str">
        <f>DitrbFlota[[#This Row],[TIPO BUS]]&amp;"-"&amp;DitrbFlota[[#This Row],[MARCA CHASIS]]</f>
        <v>BE-FOTON</v>
      </c>
      <c r="O392" s="2">
        <f>MONTH(DitrbFlota[[#This Row],[Inicio Operación]])</f>
        <v>4</v>
      </c>
      <c r="P392" s="2">
        <f>YEAR(DitrbFlota[[#This Row],[Inicio Operación]])</f>
        <v>2023</v>
      </c>
      <c r="Q392" s="29">
        <v>90</v>
      </c>
    </row>
    <row r="393" spans="1:17">
      <c r="A393" s="7" t="s">
        <v>421</v>
      </c>
      <c r="B393" s="2" t="s">
        <v>768</v>
      </c>
      <c r="C393" s="2">
        <v>7153</v>
      </c>
      <c r="D393" s="2" t="s">
        <v>147</v>
      </c>
      <c r="E393" s="2" t="s">
        <v>13</v>
      </c>
      <c r="F393" s="2" t="s">
        <v>149</v>
      </c>
      <c r="G393" s="277" t="s">
        <v>674</v>
      </c>
      <c r="H393" s="277" t="s">
        <v>674</v>
      </c>
      <c r="I393" s="277">
        <v>45024</v>
      </c>
      <c r="J393" s="2" t="s">
        <v>1341</v>
      </c>
      <c r="K393" s="2" t="s">
        <v>840</v>
      </c>
      <c r="L393" s="2" t="s">
        <v>674</v>
      </c>
      <c r="M393" s="2"/>
      <c r="N393" s="2" t="str">
        <f>DitrbFlota[[#This Row],[TIPO BUS]]&amp;"-"&amp;DitrbFlota[[#This Row],[MARCA CHASIS]]</f>
        <v>BE-FOTON</v>
      </c>
      <c r="O393" s="2">
        <f>MONTH(DitrbFlota[[#This Row],[Inicio Operación]])</f>
        <v>4</v>
      </c>
      <c r="P393" s="2">
        <f>YEAR(DitrbFlota[[#This Row],[Inicio Operación]])</f>
        <v>2023</v>
      </c>
      <c r="Q393" s="29">
        <v>90</v>
      </c>
    </row>
    <row r="394" spans="1:17">
      <c r="A394" s="7" t="s">
        <v>421</v>
      </c>
      <c r="B394" s="2" t="s">
        <v>769</v>
      </c>
      <c r="C394" s="2">
        <v>7154</v>
      </c>
      <c r="D394" s="2" t="s">
        <v>147</v>
      </c>
      <c r="E394" s="2" t="s">
        <v>13</v>
      </c>
      <c r="F394" s="2" t="s">
        <v>149</v>
      </c>
      <c r="G394" s="277" t="s">
        <v>674</v>
      </c>
      <c r="H394" s="277" t="s">
        <v>674</v>
      </c>
      <c r="I394" s="277">
        <v>45024</v>
      </c>
      <c r="J394" s="2" t="s">
        <v>1341</v>
      </c>
      <c r="K394" s="2" t="s">
        <v>840</v>
      </c>
      <c r="L394" s="2" t="s">
        <v>674</v>
      </c>
      <c r="M394" s="2"/>
      <c r="N394" s="2" t="str">
        <f>DitrbFlota[[#This Row],[TIPO BUS]]&amp;"-"&amp;DitrbFlota[[#This Row],[MARCA CHASIS]]</f>
        <v>BE-FOTON</v>
      </c>
      <c r="O394" s="2">
        <f>MONTH(DitrbFlota[[#This Row],[Inicio Operación]])</f>
        <v>4</v>
      </c>
      <c r="P394" s="2">
        <f>YEAR(DitrbFlota[[#This Row],[Inicio Operación]])</f>
        <v>2023</v>
      </c>
      <c r="Q394" s="29">
        <v>90</v>
      </c>
    </row>
    <row r="395" spans="1:17">
      <c r="A395" s="7" t="s">
        <v>421</v>
      </c>
      <c r="B395" s="2" t="s">
        <v>770</v>
      </c>
      <c r="C395" s="2">
        <v>7155</v>
      </c>
      <c r="D395" s="2" t="s">
        <v>147</v>
      </c>
      <c r="E395" s="2" t="s">
        <v>13</v>
      </c>
      <c r="F395" s="2" t="s">
        <v>149</v>
      </c>
      <c r="G395" s="277" t="s">
        <v>674</v>
      </c>
      <c r="H395" s="277" t="s">
        <v>674</v>
      </c>
      <c r="I395" s="277">
        <v>45024</v>
      </c>
      <c r="J395" s="2" t="s">
        <v>1341</v>
      </c>
      <c r="K395" s="2" t="s">
        <v>840</v>
      </c>
      <c r="L395" s="2" t="s">
        <v>674</v>
      </c>
      <c r="M395" s="2"/>
      <c r="N395" s="2" t="str">
        <f>DitrbFlota[[#This Row],[TIPO BUS]]&amp;"-"&amp;DitrbFlota[[#This Row],[MARCA CHASIS]]</f>
        <v>BE-FOTON</v>
      </c>
      <c r="O395" s="2">
        <f>MONTH(DitrbFlota[[#This Row],[Inicio Operación]])</f>
        <v>4</v>
      </c>
      <c r="P395" s="2">
        <f>YEAR(DitrbFlota[[#This Row],[Inicio Operación]])</f>
        <v>2023</v>
      </c>
      <c r="Q395" s="29">
        <v>90</v>
      </c>
    </row>
    <row r="396" spans="1:17">
      <c r="A396" s="7" t="s">
        <v>421</v>
      </c>
      <c r="B396" s="2" t="s">
        <v>771</v>
      </c>
      <c r="C396" s="2">
        <v>7156</v>
      </c>
      <c r="D396" s="2" t="s">
        <v>147</v>
      </c>
      <c r="E396" s="2" t="s">
        <v>13</v>
      </c>
      <c r="F396" s="2" t="s">
        <v>149</v>
      </c>
      <c r="G396" s="277" t="s">
        <v>674</v>
      </c>
      <c r="H396" s="277" t="s">
        <v>674</v>
      </c>
      <c r="I396" s="277">
        <v>45024</v>
      </c>
      <c r="J396" s="2" t="s">
        <v>1341</v>
      </c>
      <c r="K396" s="2" t="s">
        <v>840</v>
      </c>
      <c r="L396" s="2" t="s">
        <v>674</v>
      </c>
      <c r="M396" s="2"/>
      <c r="N396" s="2" t="str">
        <f>DitrbFlota[[#This Row],[TIPO BUS]]&amp;"-"&amp;DitrbFlota[[#This Row],[MARCA CHASIS]]</f>
        <v>BE-FOTON</v>
      </c>
      <c r="O396" s="2">
        <f>MONTH(DitrbFlota[[#This Row],[Inicio Operación]])</f>
        <v>4</v>
      </c>
      <c r="P396" s="2">
        <f>YEAR(DitrbFlota[[#This Row],[Inicio Operación]])</f>
        <v>2023</v>
      </c>
      <c r="Q396" s="29">
        <v>90</v>
      </c>
    </row>
    <row r="397" spans="1:17">
      <c r="A397" s="7" t="s">
        <v>421</v>
      </c>
      <c r="B397" s="2" t="s">
        <v>772</v>
      </c>
      <c r="C397" s="2">
        <v>7157</v>
      </c>
      <c r="D397" s="2" t="s">
        <v>147</v>
      </c>
      <c r="E397" s="2" t="s">
        <v>13</v>
      </c>
      <c r="F397" s="2" t="s">
        <v>149</v>
      </c>
      <c r="G397" s="277" t="s">
        <v>674</v>
      </c>
      <c r="H397" s="277" t="s">
        <v>674</v>
      </c>
      <c r="I397" s="277">
        <v>45024</v>
      </c>
      <c r="J397" s="2" t="s">
        <v>1341</v>
      </c>
      <c r="K397" s="2" t="s">
        <v>840</v>
      </c>
      <c r="L397" s="2" t="s">
        <v>674</v>
      </c>
      <c r="M397" s="2"/>
      <c r="N397" s="2" t="str">
        <f>DitrbFlota[[#This Row],[TIPO BUS]]&amp;"-"&amp;DitrbFlota[[#This Row],[MARCA CHASIS]]</f>
        <v>BE-FOTON</v>
      </c>
      <c r="O397" s="2">
        <f>MONTH(DitrbFlota[[#This Row],[Inicio Operación]])</f>
        <v>4</v>
      </c>
      <c r="P397" s="2">
        <f>YEAR(DitrbFlota[[#This Row],[Inicio Operación]])</f>
        <v>2023</v>
      </c>
      <c r="Q397" s="29">
        <v>90</v>
      </c>
    </row>
    <row r="398" spans="1:17">
      <c r="A398" s="7" t="s">
        <v>421</v>
      </c>
      <c r="B398" s="2" t="s">
        <v>773</v>
      </c>
      <c r="C398" s="2">
        <v>7158</v>
      </c>
      <c r="D398" s="2" t="s">
        <v>147</v>
      </c>
      <c r="E398" s="2" t="s">
        <v>13</v>
      </c>
      <c r="F398" s="2" t="s">
        <v>149</v>
      </c>
      <c r="G398" s="277" t="s">
        <v>674</v>
      </c>
      <c r="H398" s="277" t="s">
        <v>674</v>
      </c>
      <c r="I398" s="277">
        <v>45024</v>
      </c>
      <c r="J398" s="2" t="s">
        <v>1341</v>
      </c>
      <c r="K398" s="2" t="s">
        <v>840</v>
      </c>
      <c r="L398" s="2" t="s">
        <v>674</v>
      </c>
      <c r="M398" s="2"/>
      <c r="N398" s="2" t="str">
        <f>DitrbFlota[[#This Row],[TIPO BUS]]&amp;"-"&amp;DitrbFlota[[#This Row],[MARCA CHASIS]]</f>
        <v>BE-FOTON</v>
      </c>
      <c r="O398" s="2">
        <f>MONTH(DitrbFlota[[#This Row],[Inicio Operación]])</f>
        <v>4</v>
      </c>
      <c r="P398" s="2">
        <f>YEAR(DitrbFlota[[#This Row],[Inicio Operación]])</f>
        <v>2023</v>
      </c>
      <c r="Q398" s="29">
        <v>90</v>
      </c>
    </row>
    <row r="399" spans="1:17">
      <c r="A399" s="7" t="s">
        <v>421</v>
      </c>
      <c r="B399" s="2" t="s">
        <v>774</v>
      </c>
      <c r="C399" s="2">
        <v>7159</v>
      </c>
      <c r="D399" s="2" t="s">
        <v>147</v>
      </c>
      <c r="E399" s="2" t="s">
        <v>13</v>
      </c>
      <c r="F399" s="2" t="s">
        <v>149</v>
      </c>
      <c r="G399" s="277" t="s">
        <v>674</v>
      </c>
      <c r="H399" s="277" t="s">
        <v>674</v>
      </c>
      <c r="I399" s="277">
        <v>45024</v>
      </c>
      <c r="J399" s="2" t="s">
        <v>1341</v>
      </c>
      <c r="K399" s="2" t="s">
        <v>840</v>
      </c>
      <c r="L399" s="2" t="s">
        <v>674</v>
      </c>
      <c r="M399" s="2"/>
      <c r="N399" s="2" t="str">
        <f>DitrbFlota[[#This Row],[TIPO BUS]]&amp;"-"&amp;DitrbFlota[[#This Row],[MARCA CHASIS]]</f>
        <v>BE-FOTON</v>
      </c>
      <c r="O399" s="2">
        <f>MONTH(DitrbFlota[[#This Row],[Inicio Operación]])</f>
        <v>4</v>
      </c>
      <c r="P399" s="2">
        <f>YEAR(DitrbFlota[[#This Row],[Inicio Operación]])</f>
        <v>2023</v>
      </c>
      <c r="Q399" s="29">
        <v>90</v>
      </c>
    </row>
    <row r="400" spans="1:17">
      <c r="A400" s="7" t="s">
        <v>421</v>
      </c>
      <c r="B400" s="2" t="s">
        <v>775</v>
      </c>
      <c r="C400" s="2">
        <v>7160</v>
      </c>
      <c r="D400" s="2" t="s">
        <v>147</v>
      </c>
      <c r="E400" s="2" t="s">
        <v>13</v>
      </c>
      <c r="F400" s="2" t="s">
        <v>149</v>
      </c>
      <c r="G400" s="277" t="s">
        <v>674</v>
      </c>
      <c r="H400" s="277" t="s">
        <v>674</v>
      </c>
      <c r="I400" s="277">
        <v>45024</v>
      </c>
      <c r="J400" s="2" t="s">
        <v>1341</v>
      </c>
      <c r="K400" s="2" t="s">
        <v>840</v>
      </c>
      <c r="L400" s="2" t="s">
        <v>674</v>
      </c>
      <c r="M400" s="2"/>
      <c r="N400" s="2" t="str">
        <f>DitrbFlota[[#This Row],[TIPO BUS]]&amp;"-"&amp;DitrbFlota[[#This Row],[MARCA CHASIS]]</f>
        <v>BE-FOTON</v>
      </c>
      <c r="O400" s="2">
        <f>MONTH(DitrbFlota[[#This Row],[Inicio Operación]])</f>
        <v>4</v>
      </c>
      <c r="P400" s="2">
        <f>YEAR(DitrbFlota[[#This Row],[Inicio Operación]])</f>
        <v>2023</v>
      </c>
      <c r="Q400" s="29">
        <v>90</v>
      </c>
    </row>
    <row r="401" spans="1:17">
      <c r="A401" s="7" t="s">
        <v>421</v>
      </c>
      <c r="B401" s="2" t="s">
        <v>776</v>
      </c>
      <c r="C401" s="2">
        <v>7161</v>
      </c>
      <c r="D401" s="2" t="s">
        <v>147</v>
      </c>
      <c r="E401" s="2" t="s">
        <v>13</v>
      </c>
      <c r="F401" s="2" t="s">
        <v>149</v>
      </c>
      <c r="G401" s="277" t="s">
        <v>674</v>
      </c>
      <c r="H401" s="277" t="s">
        <v>674</v>
      </c>
      <c r="I401" s="277">
        <v>45024</v>
      </c>
      <c r="J401" s="2" t="s">
        <v>1341</v>
      </c>
      <c r="K401" s="2" t="s">
        <v>840</v>
      </c>
      <c r="L401" s="2" t="s">
        <v>674</v>
      </c>
      <c r="M401" s="2"/>
      <c r="N401" s="2" t="str">
        <f>DitrbFlota[[#This Row],[TIPO BUS]]&amp;"-"&amp;DitrbFlota[[#This Row],[MARCA CHASIS]]</f>
        <v>BE-FOTON</v>
      </c>
      <c r="O401" s="2">
        <f>MONTH(DitrbFlota[[#This Row],[Inicio Operación]])</f>
        <v>4</v>
      </c>
      <c r="P401" s="2">
        <f>YEAR(DitrbFlota[[#This Row],[Inicio Operación]])</f>
        <v>2023</v>
      </c>
      <c r="Q401" s="29">
        <v>90</v>
      </c>
    </row>
    <row r="402" spans="1:17">
      <c r="A402" s="7" t="s">
        <v>421</v>
      </c>
      <c r="B402" s="2" t="s">
        <v>777</v>
      </c>
      <c r="C402" s="2">
        <v>7162</v>
      </c>
      <c r="D402" s="2" t="s">
        <v>147</v>
      </c>
      <c r="E402" s="2" t="s">
        <v>13</v>
      </c>
      <c r="F402" s="2" t="s">
        <v>149</v>
      </c>
      <c r="G402" s="277" t="s">
        <v>674</v>
      </c>
      <c r="H402" s="277" t="s">
        <v>674</v>
      </c>
      <c r="I402" s="277">
        <v>45024</v>
      </c>
      <c r="J402" s="2" t="s">
        <v>1341</v>
      </c>
      <c r="K402" s="2" t="s">
        <v>840</v>
      </c>
      <c r="L402" s="2" t="s">
        <v>674</v>
      </c>
      <c r="M402" s="2"/>
      <c r="N402" s="2" t="str">
        <f>DitrbFlota[[#This Row],[TIPO BUS]]&amp;"-"&amp;DitrbFlota[[#This Row],[MARCA CHASIS]]</f>
        <v>BE-FOTON</v>
      </c>
      <c r="O402" s="2">
        <f>MONTH(DitrbFlota[[#This Row],[Inicio Operación]])</f>
        <v>4</v>
      </c>
      <c r="P402" s="2">
        <f>YEAR(DitrbFlota[[#This Row],[Inicio Operación]])</f>
        <v>2023</v>
      </c>
      <c r="Q402" s="29">
        <v>90</v>
      </c>
    </row>
    <row r="403" spans="1:17">
      <c r="A403" s="7" t="s">
        <v>421</v>
      </c>
      <c r="B403" s="2" t="s">
        <v>778</v>
      </c>
      <c r="C403" s="2">
        <v>7163</v>
      </c>
      <c r="D403" s="2" t="s">
        <v>147</v>
      </c>
      <c r="E403" s="2" t="s">
        <v>13</v>
      </c>
      <c r="F403" s="2" t="s">
        <v>149</v>
      </c>
      <c r="G403" s="277" t="s">
        <v>674</v>
      </c>
      <c r="H403" s="277" t="s">
        <v>674</v>
      </c>
      <c r="I403" s="277">
        <v>45024</v>
      </c>
      <c r="J403" s="2" t="s">
        <v>1341</v>
      </c>
      <c r="K403" s="2" t="s">
        <v>840</v>
      </c>
      <c r="L403" s="2" t="s">
        <v>674</v>
      </c>
      <c r="M403" s="2"/>
      <c r="N403" s="2" t="str">
        <f>DitrbFlota[[#This Row],[TIPO BUS]]&amp;"-"&amp;DitrbFlota[[#This Row],[MARCA CHASIS]]</f>
        <v>BE-FOTON</v>
      </c>
      <c r="O403" s="2">
        <f>MONTH(DitrbFlota[[#This Row],[Inicio Operación]])</f>
        <v>4</v>
      </c>
      <c r="P403" s="2">
        <f>YEAR(DitrbFlota[[#This Row],[Inicio Operación]])</f>
        <v>2023</v>
      </c>
      <c r="Q403" s="29">
        <v>90</v>
      </c>
    </row>
    <row r="404" spans="1:17">
      <c r="A404" s="7" t="s">
        <v>421</v>
      </c>
      <c r="B404" s="2" t="s">
        <v>779</v>
      </c>
      <c r="C404" s="2">
        <v>7164</v>
      </c>
      <c r="D404" s="2" t="s">
        <v>147</v>
      </c>
      <c r="E404" s="2" t="s">
        <v>13</v>
      </c>
      <c r="F404" s="2" t="s">
        <v>149</v>
      </c>
      <c r="G404" s="277" t="s">
        <v>674</v>
      </c>
      <c r="H404" s="277" t="s">
        <v>674</v>
      </c>
      <c r="I404" s="277">
        <v>45024</v>
      </c>
      <c r="J404" s="2" t="s">
        <v>1341</v>
      </c>
      <c r="K404" s="2" t="s">
        <v>840</v>
      </c>
      <c r="L404" s="2" t="s">
        <v>674</v>
      </c>
      <c r="M404" s="2"/>
      <c r="N404" s="2" t="str">
        <f>DitrbFlota[[#This Row],[TIPO BUS]]&amp;"-"&amp;DitrbFlota[[#This Row],[MARCA CHASIS]]</f>
        <v>BE-FOTON</v>
      </c>
      <c r="O404" s="2">
        <f>MONTH(DitrbFlota[[#This Row],[Inicio Operación]])</f>
        <v>4</v>
      </c>
      <c r="P404" s="2">
        <f>YEAR(DitrbFlota[[#This Row],[Inicio Operación]])</f>
        <v>2023</v>
      </c>
      <c r="Q404" s="29">
        <v>90</v>
      </c>
    </row>
    <row r="405" spans="1:17">
      <c r="A405" s="7" t="s">
        <v>421</v>
      </c>
      <c r="B405" s="2" t="s">
        <v>780</v>
      </c>
      <c r="C405" s="2">
        <v>7165</v>
      </c>
      <c r="D405" s="2" t="s">
        <v>147</v>
      </c>
      <c r="E405" s="2" t="s">
        <v>13</v>
      </c>
      <c r="F405" s="2" t="s">
        <v>149</v>
      </c>
      <c r="G405" s="277" t="s">
        <v>674</v>
      </c>
      <c r="H405" s="277" t="s">
        <v>674</v>
      </c>
      <c r="I405" s="277">
        <v>45024</v>
      </c>
      <c r="J405" s="2" t="s">
        <v>1341</v>
      </c>
      <c r="K405" s="2" t="s">
        <v>840</v>
      </c>
      <c r="L405" s="2" t="s">
        <v>674</v>
      </c>
      <c r="M405" s="2"/>
      <c r="N405" s="2" t="str">
        <f>DitrbFlota[[#This Row],[TIPO BUS]]&amp;"-"&amp;DitrbFlota[[#This Row],[MARCA CHASIS]]</f>
        <v>BE-FOTON</v>
      </c>
      <c r="O405" s="2">
        <f>MONTH(DitrbFlota[[#This Row],[Inicio Operación]])</f>
        <v>4</v>
      </c>
      <c r="P405" s="2">
        <f>YEAR(DitrbFlota[[#This Row],[Inicio Operación]])</f>
        <v>2023</v>
      </c>
      <c r="Q405" s="29">
        <v>90</v>
      </c>
    </row>
    <row r="406" spans="1:17">
      <c r="A406" s="7" t="s">
        <v>421</v>
      </c>
      <c r="B406" s="2" t="s">
        <v>781</v>
      </c>
      <c r="C406" s="2">
        <v>7166</v>
      </c>
      <c r="D406" s="2" t="s">
        <v>147</v>
      </c>
      <c r="E406" s="2" t="s">
        <v>13</v>
      </c>
      <c r="F406" s="2" t="s">
        <v>149</v>
      </c>
      <c r="G406" s="277" t="s">
        <v>674</v>
      </c>
      <c r="H406" s="277" t="s">
        <v>674</v>
      </c>
      <c r="I406" s="277">
        <v>45024</v>
      </c>
      <c r="J406" s="2" t="s">
        <v>1341</v>
      </c>
      <c r="K406" s="2" t="s">
        <v>840</v>
      </c>
      <c r="L406" s="2" t="s">
        <v>674</v>
      </c>
      <c r="M406" s="2"/>
      <c r="N406" s="2" t="str">
        <f>DitrbFlota[[#This Row],[TIPO BUS]]&amp;"-"&amp;DitrbFlota[[#This Row],[MARCA CHASIS]]</f>
        <v>BE-FOTON</v>
      </c>
      <c r="O406" s="2">
        <f>MONTH(DitrbFlota[[#This Row],[Inicio Operación]])</f>
        <v>4</v>
      </c>
      <c r="P406" s="2">
        <f>YEAR(DitrbFlota[[#This Row],[Inicio Operación]])</f>
        <v>2023</v>
      </c>
      <c r="Q406" s="29">
        <v>90</v>
      </c>
    </row>
    <row r="407" spans="1:17">
      <c r="A407" s="7" t="s">
        <v>421</v>
      </c>
      <c r="B407" s="2" t="s">
        <v>782</v>
      </c>
      <c r="C407" s="2">
        <v>7167</v>
      </c>
      <c r="D407" s="2" t="s">
        <v>147</v>
      </c>
      <c r="E407" s="2" t="s">
        <v>13</v>
      </c>
      <c r="F407" s="2" t="s">
        <v>149</v>
      </c>
      <c r="G407" s="277" t="s">
        <v>674</v>
      </c>
      <c r="H407" s="277" t="s">
        <v>674</v>
      </c>
      <c r="I407" s="277">
        <v>45024</v>
      </c>
      <c r="J407" s="2" t="s">
        <v>1341</v>
      </c>
      <c r="K407" s="2" t="s">
        <v>840</v>
      </c>
      <c r="L407" s="2" t="s">
        <v>674</v>
      </c>
      <c r="M407" s="2"/>
      <c r="N407" s="2" t="str">
        <f>DitrbFlota[[#This Row],[TIPO BUS]]&amp;"-"&amp;DitrbFlota[[#This Row],[MARCA CHASIS]]</f>
        <v>BE-FOTON</v>
      </c>
      <c r="O407" s="2">
        <f>MONTH(DitrbFlota[[#This Row],[Inicio Operación]])</f>
        <v>4</v>
      </c>
      <c r="P407" s="2">
        <f>YEAR(DitrbFlota[[#This Row],[Inicio Operación]])</f>
        <v>2023</v>
      </c>
      <c r="Q407" s="29">
        <v>90</v>
      </c>
    </row>
    <row r="408" spans="1:17">
      <c r="A408" s="7" t="s">
        <v>421</v>
      </c>
      <c r="B408" s="2" t="s">
        <v>783</v>
      </c>
      <c r="C408" s="2">
        <v>7168</v>
      </c>
      <c r="D408" s="2" t="s">
        <v>147</v>
      </c>
      <c r="E408" s="2" t="s">
        <v>13</v>
      </c>
      <c r="F408" s="2" t="s">
        <v>149</v>
      </c>
      <c r="G408" s="277" t="s">
        <v>674</v>
      </c>
      <c r="H408" s="277" t="s">
        <v>674</v>
      </c>
      <c r="I408" s="277">
        <v>45024</v>
      </c>
      <c r="J408" s="2" t="s">
        <v>1341</v>
      </c>
      <c r="K408" s="2" t="s">
        <v>840</v>
      </c>
      <c r="L408" s="2" t="s">
        <v>674</v>
      </c>
      <c r="M408" s="2"/>
      <c r="N408" s="2" t="str">
        <f>DitrbFlota[[#This Row],[TIPO BUS]]&amp;"-"&amp;DitrbFlota[[#This Row],[MARCA CHASIS]]</f>
        <v>BE-FOTON</v>
      </c>
      <c r="O408" s="2">
        <f>MONTH(DitrbFlota[[#This Row],[Inicio Operación]])</f>
        <v>4</v>
      </c>
      <c r="P408" s="2">
        <f>YEAR(DitrbFlota[[#This Row],[Inicio Operación]])</f>
        <v>2023</v>
      </c>
      <c r="Q408" s="29">
        <v>90</v>
      </c>
    </row>
    <row r="409" spans="1:17">
      <c r="A409" s="7" t="s">
        <v>421</v>
      </c>
      <c r="B409" s="2" t="s">
        <v>784</v>
      </c>
      <c r="C409" s="2">
        <v>7169</v>
      </c>
      <c r="D409" s="2" t="s">
        <v>147</v>
      </c>
      <c r="E409" s="2" t="s">
        <v>13</v>
      </c>
      <c r="F409" s="2" t="s">
        <v>149</v>
      </c>
      <c r="G409" s="277" t="s">
        <v>674</v>
      </c>
      <c r="H409" s="277" t="s">
        <v>674</v>
      </c>
      <c r="I409" s="277">
        <v>45024</v>
      </c>
      <c r="J409" s="2" t="s">
        <v>1341</v>
      </c>
      <c r="K409" s="2" t="s">
        <v>840</v>
      </c>
      <c r="L409" s="2" t="s">
        <v>674</v>
      </c>
      <c r="M409" s="2"/>
      <c r="N409" s="2" t="str">
        <f>DitrbFlota[[#This Row],[TIPO BUS]]&amp;"-"&amp;DitrbFlota[[#This Row],[MARCA CHASIS]]</f>
        <v>BE-FOTON</v>
      </c>
      <c r="O409" s="2">
        <f>MONTH(DitrbFlota[[#This Row],[Inicio Operación]])</f>
        <v>4</v>
      </c>
      <c r="P409" s="2">
        <f>YEAR(DitrbFlota[[#This Row],[Inicio Operación]])</f>
        <v>2023</v>
      </c>
      <c r="Q409" s="29">
        <v>90</v>
      </c>
    </row>
    <row r="410" spans="1:17">
      <c r="A410" s="7" t="s">
        <v>421</v>
      </c>
      <c r="B410" s="2" t="s">
        <v>785</v>
      </c>
      <c r="C410" s="2">
        <v>7170</v>
      </c>
      <c r="D410" s="2" t="s">
        <v>147</v>
      </c>
      <c r="E410" s="2" t="s">
        <v>13</v>
      </c>
      <c r="F410" s="2" t="s">
        <v>149</v>
      </c>
      <c r="G410" s="277" t="s">
        <v>674</v>
      </c>
      <c r="H410" s="277" t="s">
        <v>674</v>
      </c>
      <c r="I410" s="277">
        <v>45024</v>
      </c>
      <c r="J410" s="2" t="s">
        <v>1341</v>
      </c>
      <c r="K410" s="2" t="s">
        <v>840</v>
      </c>
      <c r="L410" s="2" t="s">
        <v>674</v>
      </c>
      <c r="M410" s="2"/>
      <c r="N410" s="2" t="str">
        <f>DitrbFlota[[#This Row],[TIPO BUS]]&amp;"-"&amp;DitrbFlota[[#This Row],[MARCA CHASIS]]</f>
        <v>BE-FOTON</v>
      </c>
      <c r="O410" s="2">
        <f>MONTH(DitrbFlota[[#This Row],[Inicio Operación]])</f>
        <v>4</v>
      </c>
      <c r="P410" s="2">
        <f>YEAR(DitrbFlota[[#This Row],[Inicio Operación]])</f>
        <v>2023</v>
      </c>
      <c r="Q410" s="29">
        <v>90</v>
      </c>
    </row>
    <row r="411" spans="1:17">
      <c r="A411" s="7" t="s">
        <v>421</v>
      </c>
      <c r="B411" s="2" t="s">
        <v>786</v>
      </c>
      <c r="C411" s="2">
        <v>7171</v>
      </c>
      <c r="D411" s="2" t="s">
        <v>147</v>
      </c>
      <c r="E411" s="2" t="s">
        <v>13</v>
      </c>
      <c r="F411" s="2" t="s">
        <v>149</v>
      </c>
      <c r="G411" s="277" t="s">
        <v>674</v>
      </c>
      <c r="H411" s="277" t="s">
        <v>674</v>
      </c>
      <c r="I411" s="277">
        <v>45024</v>
      </c>
      <c r="J411" s="2" t="s">
        <v>1341</v>
      </c>
      <c r="K411" s="2" t="s">
        <v>840</v>
      </c>
      <c r="L411" s="2" t="s">
        <v>674</v>
      </c>
      <c r="M411" s="2"/>
      <c r="N411" s="2" t="str">
        <f>DitrbFlota[[#This Row],[TIPO BUS]]&amp;"-"&amp;DitrbFlota[[#This Row],[MARCA CHASIS]]</f>
        <v>BE-FOTON</v>
      </c>
      <c r="O411" s="2">
        <f>MONTH(DitrbFlota[[#This Row],[Inicio Operación]])</f>
        <v>4</v>
      </c>
      <c r="P411" s="2">
        <f>YEAR(DitrbFlota[[#This Row],[Inicio Operación]])</f>
        <v>2023</v>
      </c>
      <c r="Q411" s="29">
        <v>90</v>
      </c>
    </row>
    <row r="412" spans="1:17">
      <c r="A412" s="7" t="s">
        <v>421</v>
      </c>
      <c r="B412" s="2" t="s">
        <v>787</v>
      </c>
      <c r="C412" s="2">
        <v>7172</v>
      </c>
      <c r="D412" s="2" t="s">
        <v>147</v>
      </c>
      <c r="E412" s="2" t="s">
        <v>13</v>
      </c>
      <c r="F412" s="2" t="s">
        <v>149</v>
      </c>
      <c r="G412" s="277" t="s">
        <v>674</v>
      </c>
      <c r="H412" s="277" t="s">
        <v>674</v>
      </c>
      <c r="I412" s="277">
        <v>45024</v>
      </c>
      <c r="J412" s="2" t="s">
        <v>1341</v>
      </c>
      <c r="K412" s="2" t="s">
        <v>840</v>
      </c>
      <c r="L412" s="2" t="s">
        <v>674</v>
      </c>
      <c r="M412" s="2"/>
      <c r="N412" s="2" t="str">
        <f>DitrbFlota[[#This Row],[TIPO BUS]]&amp;"-"&amp;DitrbFlota[[#This Row],[MARCA CHASIS]]</f>
        <v>BE-FOTON</v>
      </c>
      <c r="O412" s="2">
        <f>MONTH(DitrbFlota[[#This Row],[Inicio Operación]])</f>
        <v>4</v>
      </c>
      <c r="P412" s="2">
        <f>YEAR(DitrbFlota[[#This Row],[Inicio Operación]])</f>
        <v>2023</v>
      </c>
      <c r="Q412" s="29">
        <v>90</v>
      </c>
    </row>
    <row r="413" spans="1:17">
      <c r="A413" s="7" t="s">
        <v>421</v>
      </c>
      <c r="B413" s="2" t="s">
        <v>788</v>
      </c>
      <c r="C413" s="2">
        <v>7173</v>
      </c>
      <c r="D413" s="2" t="s">
        <v>147</v>
      </c>
      <c r="E413" s="2" t="s">
        <v>13</v>
      </c>
      <c r="F413" s="2" t="s">
        <v>149</v>
      </c>
      <c r="G413" s="277" t="s">
        <v>674</v>
      </c>
      <c r="H413" s="277" t="s">
        <v>674</v>
      </c>
      <c r="I413" s="277">
        <v>45024</v>
      </c>
      <c r="J413" s="2" t="s">
        <v>1341</v>
      </c>
      <c r="K413" s="2" t="s">
        <v>840</v>
      </c>
      <c r="L413" s="2" t="s">
        <v>674</v>
      </c>
      <c r="M413" s="2"/>
      <c r="N413" s="2" t="str">
        <f>DitrbFlota[[#This Row],[TIPO BUS]]&amp;"-"&amp;DitrbFlota[[#This Row],[MARCA CHASIS]]</f>
        <v>BE-FOTON</v>
      </c>
      <c r="O413" s="2">
        <f>MONTH(DitrbFlota[[#This Row],[Inicio Operación]])</f>
        <v>4</v>
      </c>
      <c r="P413" s="2">
        <f>YEAR(DitrbFlota[[#This Row],[Inicio Operación]])</f>
        <v>2023</v>
      </c>
      <c r="Q413" s="29">
        <v>90</v>
      </c>
    </row>
    <row r="414" spans="1:17">
      <c r="A414" s="7" t="s">
        <v>421</v>
      </c>
      <c r="B414" s="2" t="s">
        <v>789</v>
      </c>
      <c r="C414" s="2">
        <v>7174</v>
      </c>
      <c r="D414" s="2" t="s">
        <v>147</v>
      </c>
      <c r="E414" s="2" t="s">
        <v>13</v>
      </c>
      <c r="F414" s="2" t="s">
        <v>149</v>
      </c>
      <c r="G414" s="277" t="s">
        <v>674</v>
      </c>
      <c r="H414" s="277" t="s">
        <v>674</v>
      </c>
      <c r="I414" s="277">
        <v>45024</v>
      </c>
      <c r="J414" s="2" t="s">
        <v>1341</v>
      </c>
      <c r="K414" s="2" t="s">
        <v>840</v>
      </c>
      <c r="L414" s="2" t="s">
        <v>674</v>
      </c>
      <c r="M414" s="2"/>
      <c r="N414" s="2" t="str">
        <f>DitrbFlota[[#This Row],[TIPO BUS]]&amp;"-"&amp;DitrbFlota[[#This Row],[MARCA CHASIS]]</f>
        <v>BE-FOTON</v>
      </c>
      <c r="O414" s="2">
        <f>MONTH(DitrbFlota[[#This Row],[Inicio Operación]])</f>
        <v>4</v>
      </c>
      <c r="P414" s="2">
        <f>YEAR(DitrbFlota[[#This Row],[Inicio Operación]])</f>
        <v>2023</v>
      </c>
      <c r="Q414" s="29">
        <v>90</v>
      </c>
    </row>
    <row r="415" spans="1:17">
      <c r="A415" s="7" t="s">
        <v>421</v>
      </c>
      <c r="B415" s="2" t="s">
        <v>790</v>
      </c>
      <c r="C415" s="2">
        <v>7175</v>
      </c>
      <c r="D415" s="2" t="s">
        <v>147</v>
      </c>
      <c r="E415" s="2" t="s">
        <v>13</v>
      </c>
      <c r="F415" s="2" t="s">
        <v>149</v>
      </c>
      <c r="G415" s="277" t="s">
        <v>674</v>
      </c>
      <c r="H415" s="277" t="s">
        <v>674</v>
      </c>
      <c r="I415" s="277">
        <v>45024</v>
      </c>
      <c r="J415" s="2" t="s">
        <v>1341</v>
      </c>
      <c r="K415" s="2" t="s">
        <v>840</v>
      </c>
      <c r="L415" s="2" t="s">
        <v>674</v>
      </c>
      <c r="M415" s="2"/>
      <c r="N415" s="2" t="str">
        <f>DitrbFlota[[#This Row],[TIPO BUS]]&amp;"-"&amp;DitrbFlota[[#This Row],[MARCA CHASIS]]</f>
        <v>BE-FOTON</v>
      </c>
      <c r="O415" s="2">
        <f>MONTH(DitrbFlota[[#This Row],[Inicio Operación]])</f>
        <v>4</v>
      </c>
      <c r="P415" s="2">
        <f>YEAR(DitrbFlota[[#This Row],[Inicio Operación]])</f>
        <v>2023</v>
      </c>
      <c r="Q415" s="29">
        <v>90</v>
      </c>
    </row>
    <row r="416" spans="1:17">
      <c r="A416" s="7" t="s">
        <v>421</v>
      </c>
      <c r="B416" s="2" t="s">
        <v>791</v>
      </c>
      <c r="C416" s="2">
        <v>7176</v>
      </c>
      <c r="D416" s="2" t="s">
        <v>147</v>
      </c>
      <c r="E416" s="2" t="s">
        <v>13</v>
      </c>
      <c r="F416" s="2" t="s">
        <v>149</v>
      </c>
      <c r="G416" s="277" t="s">
        <v>674</v>
      </c>
      <c r="H416" s="277" t="s">
        <v>674</v>
      </c>
      <c r="I416" s="277">
        <v>45024</v>
      </c>
      <c r="J416" s="2" t="s">
        <v>1341</v>
      </c>
      <c r="K416" s="2" t="s">
        <v>840</v>
      </c>
      <c r="L416" s="2" t="s">
        <v>674</v>
      </c>
      <c r="M416" s="2"/>
      <c r="N416" s="2" t="str">
        <f>DitrbFlota[[#This Row],[TIPO BUS]]&amp;"-"&amp;DitrbFlota[[#This Row],[MARCA CHASIS]]</f>
        <v>BE-FOTON</v>
      </c>
      <c r="O416" s="2">
        <f>MONTH(DitrbFlota[[#This Row],[Inicio Operación]])</f>
        <v>4</v>
      </c>
      <c r="P416" s="2">
        <f>YEAR(DitrbFlota[[#This Row],[Inicio Operación]])</f>
        <v>2023</v>
      </c>
      <c r="Q416" s="29">
        <v>90</v>
      </c>
    </row>
    <row r="417" spans="1:17">
      <c r="A417" s="7" t="s">
        <v>421</v>
      </c>
      <c r="B417" s="2" t="s">
        <v>792</v>
      </c>
      <c r="C417" s="2">
        <v>7177</v>
      </c>
      <c r="D417" s="2" t="s">
        <v>147</v>
      </c>
      <c r="E417" s="2" t="s">
        <v>13</v>
      </c>
      <c r="F417" s="2" t="s">
        <v>149</v>
      </c>
      <c r="G417" s="277" t="s">
        <v>674</v>
      </c>
      <c r="H417" s="277" t="s">
        <v>674</v>
      </c>
      <c r="I417" s="277">
        <v>45024</v>
      </c>
      <c r="J417" s="2" t="s">
        <v>1341</v>
      </c>
      <c r="K417" s="2" t="s">
        <v>840</v>
      </c>
      <c r="L417" s="2" t="s">
        <v>674</v>
      </c>
      <c r="M417" s="2"/>
      <c r="N417" s="2" t="str">
        <f>DitrbFlota[[#This Row],[TIPO BUS]]&amp;"-"&amp;DitrbFlota[[#This Row],[MARCA CHASIS]]</f>
        <v>BE-FOTON</v>
      </c>
      <c r="O417" s="2">
        <f>MONTH(DitrbFlota[[#This Row],[Inicio Operación]])</f>
        <v>4</v>
      </c>
      <c r="P417" s="2">
        <f>YEAR(DitrbFlota[[#This Row],[Inicio Operación]])</f>
        <v>2023</v>
      </c>
      <c r="Q417" s="29">
        <v>90</v>
      </c>
    </row>
    <row r="418" spans="1:17">
      <c r="A418" s="7" t="s">
        <v>421</v>
      </c>
      <c r="B418" s="2" t="s">
        <v>793</v>
      </c>
      <c r="C418" s="2">
        <v>7178</v>
      </c>
      <c r="D418" s="2" t="s">
        <v>147</v>
      </c>
      <c r="E418" s="2" t="s">
        <v>13</v>
      </c>
      <c r="F418" s="2" t="s">
        <v>149</v>
      </c>
      <c r="G418" s="277" t="s">
        <v>674</v>
      </c>
      <c r="H418" s="277" t="s">
        <v>674</v>
      </c>
      <c r="I418" s="277">
        <v>45024</v>
      </c>
      <c r="J418" s="2" t="s">
        <v>1341</v>
      </c>
      <c r="K418" s="2" t="s">
        <v>840</v>
      </c>
      <c r="L418" s="2" t="s">
        <v>674</v>
      </c>
      <c r="M418" s="2"/>
      <c r="N418" s="2" t="str">
        <f>DitrbFlota[[#This Row],[TIPO BUS]]&amp;"-"&amp;DitrbFlota[[#This Row],[MARCA CHASIS]]</f>
        <v>BE-FOTON</v>
      </c>
      <c r="O418" s="2">
        <f>MONTH(DitrbFlota[[#This Row],[Inicio Operación]])</f>
        <v>4</v>
      </c>
      <c r="P418" s="2">
        <f>YEAR(DitrbFlota[[#This Row],[Inicio Operación]])</f>
        <v>2023</v>
      </c>
      <c r="Q418" s="29">
        <v>90</v>
      </c>
    </row>
    <row r="419" spans="1:17">
      <c r="A419" s="7" t="s">
        <v>421</v>
      </c>
      <c r="B419" s="2" t="s">
        <v>794</v>
      </c>
      <c r="C419" s="2">
        <v>7179</v>
      </c>
      <c r="D419" s="2" t="s">
        <v>147</v>
      </c>
      <c r="E419" s="2" t="s">
        <v>13</v>
      </c>
      <c r="F419" s="2" t="s">
        <v>149</v>
      </c>
      <c r="G419" s="277" t="s">
        <v>674</v>
      </c>
      <c r="H419" s="277" t="s">
        <v>674</v>
      </c>
      <c r="I419" s="277">
        <v>45024</v>
      </c>
      <c r="J419" s="2" t="s">
        <v>1341</v>
      </c>
      <c r="K419" s="2" t="s">
        <v>840</v>
      </c>
      <c r="L419" s="2" t="s">
        <v>674</v>
      </c>
      <c r="M419" s="2"/>
      <c r="N419" s="2" t="str">
        <f>DitrbFlota[[#This Row],[TIPO BUS]]&amp;"-"&amp;DitrbFlota[[#This Row],[MARCA CHASIS]]</f>
        <v>BE-FOTON</v>
      </c>
      <c r="O419" s="2">
        <f>MONTH(DitrbFlota[[#This Row],[Inicio Operación]])</f>
        <v>4</v>
      </c>
      <c r="P419" s="2">
        <f>YEAR(DitrbFlota[[#This Row],[Inicio Operación]])</f>
        <v>2023</v>
      </c>
      <c r="Q419" s="29">
        <v>90</v>
      </c>
    </row>
    <row r="420" spans="1:17">
      <c r="A420" s="7" t="s">
        <v>421</v>
      </c>
      <c r="B420" s="2" t="s">
        <v>795</v>
      </c>
      <c r="C420" s="2">
        <v>7180</v>
      </c>
      <c r="D420" s="2" t="s">
        <v>147</v>
      </c>
      <c r="E420" s="2" t="s">
        <v>13</v>
      </c>
      <c r="F420" s="2" t="s">
        <v>149</v>
      </c>
      <c r="G420" s="277" t="s">
        <v>674</v>
      </c>
      <c r="H420" s="277" t="s">
        <v>674</v>
      </c>
      <c r="I420" s="277">
        <v>45024</v>
      </c>
      <c r="J420" s="2" t="s">
        <v>1341</v>
      </c>
      <c r="K420" s="2" t="s">
        <v>840</v>
      </c>
      <c r="L420" s="2" t="s">
        <v>674</v>
      </c>
      <c r="M420" s="2"/>
      <c r="N420" s="2" t="str">
        <f>DitrbFlota[[#This Row],[TIPO BUS]]&amp;"-"&amp;DitrbFlota[[#This Row],[MARCA CHASIS]]</f>
        <v>BE-FOTON</v>
      </c>
      <c r="O420" s="2">
        <f>MONTH(DitrbFlota[[#This Row],[Inicio Operación]])</f>
        <v>4</v>
      </c>
      <c r="P420" s="2">
        <f>YEAR(DitrbFlota[[#This Row],[Inicio Operación]])</f>
        <v>2023</v>
      </c>
      <c r="Q420" s="29">
        <v>90</v>
      </c>
    </row>
    <row r="421" spans="1:17">
      <c r="A421" s="7" t="s">
        <v>421</v>
      </c>
      <c r="B421" s="2" t="s">
        <v>796</v>
      </c>
      <c r="C421" s="2">
        <v>7181</v>
      </c>
      <c r="D421" s="2" t="s">
        <v>147</v>
      </c>
      <c r="E421" s="2" t="s">
        <v>13</v>
      </c>
      <c r="F421" s="2" t="s">
        <v>149</v>
      </c>
      <c r="G421" s="277" t="s">
        <v>674</v>
      </c>
      <c r="H421" s="277" t="s">
        <v>674</v>
      </c>
      <c r="I421" s="277">
        <v>45024</v>
      </c>
      <c r="J421" s="2" t="s">
        <v>1341</v>
      </c>
      <c r="K421" s="2" t="s">
        <v>840</v>
      </c>
      <c r="L421" s="2" t="s">
        <v>674</v>
      </c>
      <c r="M421" s="2"/>
      <c r="N421" s="2" t="str">
        <f>DitrbFlota[[#This Row],[TIPO BUS]]&amp;"-"&amp;DitrbFlota[[#This Row],[MARCA CHASIS]]</f>
        <v>BE-FOTON</v>
      </c>
      <c r="O421" s="2">
        <f>MONTH(DitrbFlota[[#This Row],[Inicio Operación]])</f>
        <v>4</v>
      </c>
      <c r="P421" s="2">
        <f>YEAR(DitrbFlota[[#This Row],[Inicio Operación]])</f>
        <v>2023</v>
      </c>
      <c r="Q421" s="29">
        <v>90</v>
      </c>
    </row>
    <row r="422" spans="1:17">
      <c r="A422" s="7" t="s">
        <v>421</v>
      </c>
      <c r="B422" s="2" t="s">
        <v>797</v>
      </c>
      <c r="C422" s="2">
        <v>7182</v>
      </c>
      <c r="D422" s="2" t="s">
        <v>147</v>
      </c>
      <c r="E422" s="2" t="s">
        <v>13</v>
      </c>
      <c r="F422" s="2" t="s">
        <v>149</v>
      </c>
      <c r="G422" s="277" t="s">
        <v>674</v>
      </c>
      <c r="H422" s="277" t="s">
        <v>674</v>
      </c>
      <c r="I422" s="277">
        <v>45024</v>
      </c>
      <c r="J422" s="2" t="s">
        <v>1341</v>
      </c>
      <c r="K422" s="2" t="s">
        <v>840</v>
      </c>
      <c r="L422" s="2" t="s">
        <v>674</v>
      </c>
      <c r="M422" s="2"/>
      <c r="N422" s="2" t="str">
        <f>DitrbFlota[[#This Row],[TIPO BUS]]&amp;"-"&amp;DitrbFlota[[#This Row],[MARCA CHASIS]]</f>
        <v>BE-FOTON</v>
      </c>
      <c r="O422" s="2">
        <f>MONTH(DitrbFlota[[#This Row],[Inicio Operación]])</f>
        <v>4</v>
      </c>
      <c r="P422" s="2">
        <f>YEAR(DitrbFlota[[#This Row],[Inicio Operación]])</f>
        <v>2023</v>
      </c>
      <c r="Q422" s="29">
        <v>90</v>
      </c>
    </row>
    <row r="423" spans="1:17" hidden="1">
      <c r="A423" s="7" t="s">
        <v>421</v>
      </c>
      <c r="B423" s="2" t="s">
        <v>547</v>
      </c>
      <c r="C423" s="2">
        <v>6091</v>
      </c>
      <c r="D423" s="2" t="s">
        <v>34</v>
      </c>
      <c r="E423" s="2" t="s">
        <v>13</v>
      </c>
      <c r="F423" s="2" t="s">
        <v>14</v>
      </c>
      <c r="G423" s="277" t="s">
        <v>493</v>
      </c>
      <c r="H423" s="277" t="s">
        <v>493</v>
      </c>
      <c r="I423" s="277">
        <v>45003</v>
      </c>
      <c r="J423" s="2" t="s">
        <v>1341</v>
      </c>
      <c r="K423" s="2" t="s">
        <v>841</v>
      </c>
      <c r="L423" s="2" t="s">
        <v>493</v>
      </c>
      <c r="M423" s="2"/>
      <c r="N423" s="2" t="str">
        <f>DitrbFlota[[#This Row],[TIPO BUS]]&amp;"-"&amp;DitrbFlota[[#This Row],[MARCA CHASIS]]</f>
        <v>B2-VOLVO</v>
      </c>
      <c r="O423" s="2">
        <f>MONTH(DitrbFlota[[#This Row],[Inicio Operación]])</f>
        <v>3</v>
      </c>
      <c r="P423" s="2">
        <f>YEAR(DitrbFlota[[#This Row],[Inicio Operación]])</f>
        <v>2023</v>
      </c>
      <c r="Q423" s="29">
        <v>96</v>
      </c>
    </row>
    <row r="424" spans="1:17" hidden="1">
      <c r="A424" s="7" t="s">
        <v>421</v>
      </c>
      <c r="B424" s="2" t="s">
        <v>555</v>
      </c>
      <c r="C424" s="2">
        <v>6102</v>
      </c>
      <c r="D424" s="2" t="s">
        <v>34</v>
      </c>
      <c r="E424" s="2" t="s">
        <v>13</v>
      </c>
      <c r="F424" s="2" t="s">
        <v>14</v>
      </c>
      <c r="G424" s="277" t="s">
        <v>493</v>
      </c>
      <c r="H424" s="277" t="s">
        <v>493</v>
      </c>
      <c r="I424" s="277">
        <v>44982</v>
      </c>
      <c r="J424" s="2" t="s">
        <v>1341</v>
      </c>
      <c r="K424" s="2" t="s">
        <v>841</v>
      </c>
      <c r="L424" s="2" t="s">
        <v>493</v>
      </c>
      <c r="M424" s="2"/>
      <c r="N424" s="2" t="str">
        <f>DitrbFlota[[#This Row],[TIPO BUS]]&amp;"-"&amp;DitrbFlota[[#This Row],[MARCA CHASIS]]</f>
        <v>B2-VOLVO</v>
      </c>
      <c r="O424" s="2">
        <f>MONTH(DitrbFlota[[#This Row],[Inicio Operación]])</f>
        <v>2</v>
      </c>
      <c r="P424" s="2">
        <f>YEAR(DitrbFlota[[#This Row],[Inicio Operación]])</f>
        <v>2023</v>
      </c>
      <c r="Q424" s="29">
        <v>96</v>
      </c>
    </row>
    <row r="425" spans="1:17" hidden="1">
      <c r="A425" s="7" t="s">
        <v>421</v>
      </c>
      <c r="B425" s="2" t="s">
        <v>559</v>
      </c>
      <c r="C425" s="2">
        <v>6113</v>
      </c>
      <c r="D425" s="2" t="s">
        <v>34</v>
      </c>
      <c r="E425" s="2" t="s">
        <v>13</v>
      </c>
      <c r="F425" s="2" t="s">
        <v>14</v>
      </c>
      <c r="G425" s="277" t="s">
        <v>493</v>
      </c>
      <c r="H425" s="277" t="s">
        <v>493</v>
      </c>
      <c r="I425" s="277">
        <v>44982</v>
      </c>
      <c r="J425" s="2" t="s">
        <v>1341</v>
      </c>
      <c r="K425" s="2" t="s">
        <v>841</v>
      </c>
      <c r="L425" s="2" t="s">
        <v>493</v>
      </c>
      <c r="M425" s="2"/>
      <c r="N425" s="2" t="str">
        <f>DitrbFlota[[#This Row],[TIPO BUS]]&amp;"-"&amp;DitrbFlota[[#This Row],[MARCA CHASIS]]</f>
        <v>B2-VOLVO</v>
      </c>
      <c r="O425" s="2">
        <f>MONTH(DitrbFlota[[#This Row],[Inicio Operación]])</f>
        <v>2</v>
      </c>
      <c r="P425" s="2">
        <f>YEAR(DitrbFlota[[#This Row],[Inicio Operación]])</f>
        <v>2023</v>
      </c>
      <c r="Q425" s="29">
        <v>96</v>
      </c>
    </row>
    <row r="426" spans="1:17" hidden="1">
      <c r="A426" s="7" t="s">
        <v>421</v>
      </c>
      <c r="B426" s="2" t="s">
        <v>562</v>
      </c>
      <c r="C426" s="2">
        <v>6121</v>
      </c>
      <c r="D426" s="2" t="s">
        <v>34</v>
      </c>
      <c r="E426" s="2" t="s">
        <v>13</v>
      </c>
      <c r="F426" s="2" t="s">
        <v>14</v>
      </c>
      <c r="G426" s="277" t="s">
        <v>493</v>
      </c>
      <c r="H426" s="277" t="s">
        <v>493</v>
      </c>
      <c r="I426" s="277">
        <v>45003</v>
      </c>
      <c r="J426" s="2" t="s">
        <v>1341</v>
      </c>
      <c r="K426" s="2" t="s">
        <v>841</v>
      </c>
      <c r="L426" s="2" t="s">
        <v>493</v>
      </c>
      <c r="M426" s="2"/>
      <c r="N426" s="2" t="str">
        <f>DitrbFlota[[#This Row],[TIPO BUS]]&amp;"-"&amp;DitrbFlota[[#This Row],[MARCA CHASIS]]</f>
        <v>B2-VOLVO</v>
      </c>
      <c r="O426" s="2">
        <f>MONTH(DitrbFlota[[#This Row],[Inicio Operación]])</f>
        <v>3</v>
      </c>
      <c r="P426" s="2">
        <f>YEAR(DitrbFlota[[#This Row],[Inicio Operación]])</f>
        <v>2023</v>
      </c>
      <c r="Q426" s="29">
        <v>96</v>
      </c>
    </row>
    <row r="427" spans="1:17" hidden="1">
      <c r="A427" s="7" t="s">
        <v>421</v>
      </c>
      <c r="B427" s="2" t="s">
        <v>463</v>
      </c>
      <c r="C427" s="2">
        <v>6125</v>
      </c>
      <c r="D427" s="2" t="s">
        <v>34</v>
      </c>
      <c r="E427" s="2" t="s">
        <v>13</v>
      </c>
      <c r="F427" s="2" t="s">
        <v>14</v>
      </c>
      <c r="G427" s="277" t="s">
        <v>493</v>
      </c>
      <c r="H427" s="277" t="s">
        <v>493</v>
      </c>
      <c r="I427" s="277">
        <v>44982</v>
      </c>
      <c r="J427" s="2" t="s">
        <v>1341</v>
      </c>
      <c r="K427" s="2" t="s">
        <v>841</v>
      </c>
      <c r="L427" s="2" t="s">
        <v>493</v>
      </c>
      <c r="M427" s="2"/>
      <c r="N427" s="2" t="str">
        <f>DitrbFlota[[#This Row],[TIPO BUS]]&amp;"-"&amp;DitrbFlota[[#This Row],[MARCA CHASIS]]</f>
        <v>B2-VOLVO</v>
      </c>
      <c r="O427" s="2">
        <f>MONTH(DitrbFlota[[#This Row],[Inicio Operación]])</f>
        <v>2</v>
      </c>
      <c r="P427" s="2">
        <f>YEAR(DitrbFlota[[#This Row],[Inicio Operación]])</f>
        <v>2023</v>
      </c>
      <c r="Q427" s="29">
        <v>96</v>
      </c>
    </row>
    <row r="428" spans="1:17" hidden="1">
      <c r="A428" s="7" t="s">
        <v>421</v>
      </c>
      <c r="B428" s="2" t="s">
        <v>470</v>
      </c>
      <c r="C428" s="2">
        <v>6133</v>
      </c>
      <c r="D428" s="2" t="s">
        <v>34</v>
      </c>
      <c r="E428" s="2" t="s">
        <v>13</v>
      </c>
      <c r="F428" s="2" t="s">
        <v>14</v>
      </c>
      <c r="G428" s="277" t="s">
        <v>493</v>
      </c>
      <c r="H428" s="277" t="s">
        <v>493</v>
      </c>
      <c r="I428" s="277">
        <v>44982</v>
      </c>
      <c r="J428" s="2" t="s">
        <v>1341</v>
      </c>
      <c r="K428" s="2" t="s">
        <v>841</v>
      </c>
      <c r="L428" s="2" t="s">
        <v>493</v>
      </c>
      <c r="M428" s="2"/>
      <c r="N428" s="2" t="str">
        <f>DitrbFlota[[#This Row],[TIPO BUS]]&amp;"-"&amp;DitrbFlota[[#This Row],[MARCA CHASIS]]</f>
        <v>B2-VOLVO</v>
      </c>
      <c r="O428" s="2">
        <f>MONTH(DitrbFlota[[#This Row],[Inicio Operación]])</f>
        <v>2</v>
      </c>
      <c r="P428" s="2">
        <f>YEAR(DitrbFlota[[#This Row],[Inicio Operación]])</f>
        <v>2023</v>
      </c>
      <c r="Q428" s="29">
        <v>96</v>
      </c>
    </row>
    <row r="429" spans="1:17" hidden="1">
      <c r="A429" s="7" t="s">
        <v>421</v>
      </c>
      <c r="B429" s="2" t="s">
        <v>566</v>
      </c>
      <c r="C429" s="2">
        <v>6138</v>
      </c>
      <c r="D429" s="2" t="s">
        <v>34</v>
      </c>
      <c r="E429" s="2" t="s">
        <v>13</v>
      </c>
      <c r="F429" s="2" t="s">
        <v>14</v>
      </c>
      <c r="G429" s="277" t="s">
        <v>493</v>
      </c>
      <c r="H429" s="277" t="s">
        <v>493</v>
      </c>
      <c r="I429" s="277">
        <v>44982</v>
      </c>
      <c r="J429" s="2" t="s">
        <v>1341</v>
      </c>
      <c r="K429" s="2" t="s">
        <v>841</v>
      </c>
      <c r="L429" s="2" t="s">
        <v>493</v>
      </c>
      <c r="M429" s="2"/>
      <c r="N429" s="2" t="str">
        <f>DitrbFlota[[#This Row],[TIPO BUS]]&amp;"-"&amp;DitrbFlota[[#This Row],[MARCA CHASIS]]</f>
        <v>B2-VOLVO</v>
      </c>
      <c r="O429" s="2">
        <f>MONTH(DitrbFlota[[#This Row],[Inicio Operación]])</f>
        <v>2</v>
      </c>
      <c r="P429" s="2">
        <f>YEAR(DitrbFlota[[#This Row],[Inicio Operación]])</f>
        <v>2023</v>
      </c>
      <c r="Q429" s="29">
        <v>96</v>
      </c>
    </row>
    <row r="430" spans="1:17" hidden="1">
      <c r="A430" s="7" t="s">
        <v>421</v>
      </c>
      <c r="B430" s="2" t="s">
        <v>575</v>
      </c>
      <c r="C430" s="2">
        <v>6151</v>
      </c>
      <c r="D430" s="2" t="s">
        <v>34</v>
      </c>
      <c r="E430" s="2" t="s">
        <v>13</v>
      </c>
      <c r="F430" s="2" t="s">
        <v>14</v>
      </c>
      <c r="G430" s="277" t="s">
        <v>493</v>
      </c>
      <c r="H430" s="277" t="s">
        <v>493</v>
      </c>
      <c r="I430" s="277">
        <v>44982</v>
      </c>
      <c r="J430" s="2" t="s">
        <v>1341</v>
      </c>
      <c r="K430" s="2" t="s">
        <v>841</v>
      </c>
      <c r="L430" s="2" t="s">
        <v>493</v>
      </c>
      <c r="M430" s="2"/>
      <c r="N430" s="2" t="str">
        <f>DitrbFlota[[#This Row],[TIPO BUS]]&amp;"-"&amp;DitrbFlota[[#This Row],[MARCA CHASIS]]</f>
        <v>B2-VOLVO</v>
      </c>
      <c r="O430" s="2">
        <f>MONTH(DitrbFlota[[#This Row],[Inicio Operación]])</f>
        <v>2</v>
      </c>
      <c r="P430" s="2">
        <f>YEAR(DitrbFlota[[#This Row],[Inicio Operación]])</f>
        <v>2023</v>
      </c>
      <c r="Q430" s="29">
        <v>96</v>
      </c>
    </row>
    <row r="431" spans="1:17" hidden="1">
      <c r="A431" s="7" t="s">
        <v>421</v>
      </c>
      <c r="B431" s="2" t="s">
        <v>481</v>
      </c>
      <c r="C431" s="2">
        <v>6157</v>
      </c>
      <c r="D431" s="2" t="s">
        <v>34</v>
      </c>
      <c r="E431" s="2" t="s">
        <v>13</v>
      </c>
      <c r="F431" s="2" t="s">
        <v>14</v>
      </c>
      <c r="G431" s="277" t="s">
        <v>493</v>
      </c>
      <c r="H431" s="277" t="s">
        <v>493</v>
      </c>
      <c r="I431" s="277">
        <v>44982</v>
      </c>
      <c r="J431" s="2" t="s">
        <v>1341</v>
      </c>
      <c r="K431" s="2" t="s">
        <v>841</v>
      </c>
      <c r="L431" s="2" t="s">
        <v>493</v>
      </c>
      <c r="M431" s="2"/>
      <c r="N431" s="2" t="str">
        <f>DitrbFlota[[#This Row],[TIPO BUS]]&amp;"-"&amp;DitrbFlota[[#This Row],[MARCA CHASIS]]</f>
        <v>B2-VOLVO</v>
      </c>
      <c r="O431" s="2">
        <f>MONTH(DitrbFlota[[#This Row],[Inicio Operación]])</f>
        <v>2</v>
      </c>
      <c r="P431" s="2">
        <f>YEAR(DitrbFlota[[#This Row],[Inicio Operación]])</f>
        <v>2023</v>
      </c>
      <c r="Q431" s="29">
        <v>96</v>
      </c>
    </row>
    <row r="432" spans="1:17" hidden="1">
      <c r="A432" s="7" t="s">
        <v>421</v>
      </c>
      <c r="B432" s="2" t="s">
        <v>578</v>
      </c>
      <c r="C432" s="2">
        <v>6158</v>
      </c>
      <c r="D432" s="2" t="s">
        <v>34</v>
      </c>
      <c r="E432" s="2" t="s">
        <v>13</v>
      </c>
      <c r="F432" s="2" t="s">
        <v>14</v>
      </c>
      <c r="G432" s="277" t="s">
        <v>493</v>
      </c>
      <c r="H432" s="277" t="s">
        <v>493</v>
      </c>
      <c r="I432" s="277">
        <v>44982</v>
      </c>
      <c r="J432" s="2" t="s">
        <v>1341</v>
      </c>
      <c r="K432" s="2" t="s">
        <v>841</v>
      </c>
      <c r="L432" s="2" t="s">
        <v>493</v>
      </c>
      <c r="M432" s="2"/>
      <c r="N432" s="2" t="str">
        <f>DitrbFlota[[#This Row],[TIPO BUS]]&amp;"-"&amp;DitrbFlota[[#This Row],[MARCA CHASIS]]</f>
        <v>B2-VOLVO</v>
      </c>
      <c r="O432" s="2">
        <f>MONTH(DitrbFlota[[#This Row],[Inicio Operación]])</f>
        <v>2</v>
      </c>
      <c r="P432" s="2">
        <f>YEAR(DitrbFlota[[#This Row],[Inicio Operación]])</f>
        <v>2023</v>
      </c>
      <c r="Q432" s="29">
        <v>96</v>
      </c>
    </row>
    <row r="433" spans="1:17" hidden="1">
      <c r="A433" s="7" t="s">
        <v>421</v>
      </c>
      <c r="B433" s="2" t="s">
        <v>492</v>
      </c>
      <c r="C433" s="2">
        <v>5006</v>
      </c>
      <c r="D433" s="2" t="s">
        <v>12</v>
      </c>
      <c r="E433" s="2" t="s">
        <v>13</v>
      </c>
      <c r="F433" s="2" t="s">
        <v>14</v>
      </c>
      <c r="G433" s="277" t="s">
        <v>493</v>
      </c>
      <c r="H433" s="277" t="s">
        <v>493</v>
      </c>
      <c r="I433" s="277">
        <v>45003</v>
      </c>
      <c r="J433" s="2" t="s">
        <v>1341</v>
      </c>
      <c r="K433" s="2" t="s">
        <v>841</v>
      </c>
      <c r="L433" s="2" t="s">
        <v>493</v>
      </c>
      <c r="M433" s="2"/>
      <c r="N433" s="2" t="str">
        <f>DitrbFlota[[#This Row],[TIPO BUS]]&amp;"-"&amp;DitrbFlota[[#This Row],[MARCA CHASIS]]</f>
        <v>A2-VOLVO</v>
      </c>
      <c r="O433" s="2">
        <f>MONTH(DitrbFlota[[#This Row],[Inicio Operación]])</f>
        <v>3</v>
      </c>
      <c r="P433" s="2">
        <f>YEAR(DitrbFlota[[#This Row],[Inicio Operación]])</f>
        <v>2023</v>
      </c>
      <c r="Q433" s="29">
        <v>77</v>
      </c>
    </row>
    <row r="434" spans="1:17" hidden="1">
      <c r="A434" s="7" t="s">
        <v>421</v>
      </c>
      <c r="B434" s="2" t="s">
        <v>496</v>
      </c>
      <c r="C434" s="2">
        <v>5007</v>
      </c>
      <c r="D434" s="2" t="s">
        <v>12</v>
      </c>
      <c r="E434" s="2" t="s">
        <v>13</v>
      </c>
      <c r="F434" s="2" t="s">
        <v>14</v>
      </c>
      <c r="G434" s="277" t="s">
        <v>493</v>
      </c>
      <c r="H434" s="277" t="s">
        <v>493</v>
      </c>
      <c r="I434" s="277">
        <v>45003</v>
      </c>
      <c r="J434" s="2" t="s">
        <v>1341</v>
      </c>
      <c r="K434" s="2" t="s">
        <v>841</v>
      </c>
      <c r="L434" s="2" t="s">
        <v>493</v>
      </c>
      <c r="M434" s="2"/>
      <c r="N434" s="2" t="str">
        <f>DitrbFlota[[#This Row],[TIPO BUS]]&amp;"-"&amp;DitrbFlota[[#This Row],[MARCA CHASIS]]</f>
        <v>A2-VOLVO</v>
      </c>
      <c r="O434" s="2">
        <f>MONTH(DitrbFlota[[#This Row],[Inicio Operación]])</f>
        <v>3</v>
      </c>
      <c r="P434" s="2">
        <f>YEAR(DitrbFlota[[#This Row],[Inicio Operación]])</f>
        <v>2023</v>
      </c>
      <c r="Q434" s="29">
        <v>77</v>
      </c>
    </row>
    <row r="435" spans="1:17" hidden="1">
      <c r="A435" s="7" t="s">
        <v>421</v>
      </c>
      <c r="B435" s="2" t="s">
        <v>498</v>
      </c>
      <c r="C435" s="2">
        <v>5009</v>
      </c>
      <c r="D435" s="2" t="s">
        <v>12</v>
      </c>
      <c r="E435" s="2" t="s">
        <v>13</v>
      </c>
      <c r="F435" s="2" t="s">
        <v>14</v>
      </c>
      <c r="G435" s="277" t="s">
        <v>493</v>
      </c>
      <c r="H435" s="277" t="s">
        <v>493</v>
      </c>
      <c r="I435" s="277">
        <v>45003</v>
      </c>
      <c r="J435" s="2" t="s">
        <v>1341</v>
      </c>
      <c r="K435" s="2" t="s">
        <v>841</v>
      </c>
      <c r="L435" s="2" t="s">
        <v>493</v>
      </c>
      <c r="M435" s="2"/>
      <c r="N435" s="2" t="str">
        <f>DitrbFlota[[#This Row],[TIPO BUS]]&amp;"-"&amp;DitrbFlota[[#This Row],[MARCA CHASIS]]</f>
        <v>A2-VOLVO</v>
      </c>
      <c r="O435" s="2">
        <f>MONTH(DitrbFlota[[#This Row],[Inicio Operación]])</f>
        <v>3</v>
      </c>
      <c r="P435" s="2">
        <f>YEAR(DitrbFlota[[#This Row],[Inicio Operación]])</f>
        <v>2023</v>
      </c>
      <c r="Q435" s="29">
        <v>77</v>
      </c>
    </row>
    <row r="436" spans="1:17" hidden="1">
      <c r="A436" s="7" t="s">
        <v>421</v>
      </c>
      <c r="B436" s="2" t="s">
        <v>500</v>
      </c>
      <c r="C436" s="2">
        <v>5010</v>
      </c>
      <c r="D436" s="2" t="s">
        <v>12</v>
      </c>
      <c r="E436" s="2" t="s">
        <v>13</v>
      </c>
      <c r="F436" s="2" t="s">
        <v>14</v>
      </c>
      <c r="G436" s="277" t="s">
        <v>493</v>
      </c>
      <c r="H436" s="277" t="s">
        <v>493</v>
      </c>
      <c r="I436" s="277">
        <v>45003</v>
      </c>
      <c r="J436" s="2" t="s">
        <v>1341</v>
      </c>
      <c r="K436" s="2" t="s">
        <v>841</v>
      </c>
      <c r="L436" s="2" t="s">
        <v>493</v>
      </c>
      <c r="M436" s="2"/>
      <c r="N436" s="2" t="str">
        <f>DitrbFlota[[#This Row],[TIPO BUS]]&amp;"-"&amp;DitrbFlota[[#This Row],[MARCA CHASIS]]</f>
        <v>A2-VOLVO</v>
      </c>
      <c r="O436" s="2">
        <f>MONTH(DitrbFlota[[#This Row],[Inicio Operación]])</f>
        <v>3</v>
      </c>
      <c r="P436" s="2">
        <f>YEAR(DitrbFlota[[#This Row],[Inicio Operación]])</f>
        <v>2023</v>
      </c>
      <c r="Q436" s="29">
        <v>77</v>
      </c>
    </row>
    <row r="437" spans="1:17" hidden="1">
      <c r="A437" s="7" t="s">
        <v>421</v>
      </c>
      <c r="B437" s="2" t="s">
        <v>502</v>
      </c>
      <c r="C437" s="2">
        <v>5011</v>
      </c>
      <c r="D437" s="2" t="s">
        <v>12</v>
      </c>
      <c r="E437" s="2" t="s">
        <v>13</v>
      </c>
      <c r="F437" s="2" t="s">
        <v>14</v>
      </c>
      <c r="G437" s="277" t="s">
        <v>493</v>
      </c>
      <c r="H437" s="277" t="s">
        <v>493</v>
      </c>
      <c r="I437" s="277">
        <v>45003</v>
      </c>
      <c r="J437" s="2" t="s">
        <v>1341</v>
      </c>
      <c r="K437" s="2" t="s">
        <v>841</v>
      </c>
      <c r="L437" s="2" t="s">
        <v>493</v>
      </c>
      <c r="M437" s="2"/>
      <c r="N437" s="2" t="str">
        <f>DitrbFlota[[#This Row],[TIPO BUS]]&amp;"-"&amp;DitrbFlota[[#This Row],[MARCA CHASIS]]</f>
        <v>A2-VOLVO</v>
      </c>
      <c r="O437" s="2">
        <f>MONTH(DitrbFlota[[#This Row],[Inicio Operación]])</f>
        <v>3</v>
      </c>
      <c r="P437" s="2">
        <f>YEAR(DitrbFlota[[#This Row],[Inicio Operación]])</f>
        <v>2023</v>
      </c>
      <c r="Q437" s="29">
        <v>77</v>
      </c>
    </row>
    <row r="438" spans="1:17">
      <c r="A438" s="7" t="s">
        <v>421</v>
      </c>
      <c r="B438" s="2" t="s">
        <v>798</v>
      </c>
      <c r="C438" s="2">
        <v>7183</v>
      </c>
      <c r="D438" s="2" t="s">
        <v>147</v>
      </c>
      <c r="E438" s="2" t="s">
        <v>13</v>
      </c>
      <c r="F438" s="2" t="s">
        <v>149</v>
      </c>
      <c r="G438" s="277" t="s">
        <v>674</v>
      </c>
      <c r="H438" s="277" t="s">
        <v>674</v>
      </c>
      <c r="I438" s="277">
        <v>45024</v>
      </c>
      <c r="J438" s="2" t="s">
        <v>1341</v>
      </c>
      <c r="K438" s="2" t="s">
        <v>840</v>
      </c>
      <c r="L438" s="2" t="s">
        <v>674</v>
      </c>
      <c r="M438" s="2"/>
      <c r="N438" s="2" t="str">
        <f>DitrbFlota[[#This Row],[TIPO BUS]]&amp;"-"&amp;DitrbFlota[[#This Row],[MARCA CHASIS]]</f>
        <v>BE-FOTON</v>
      </c>
      <c r="O438" s="2">
        <f>MONTH(DitrbFlota[[#This Row],[Inicio Operación]])</f>
        <v>4</v>
      </c>
      <c r="P438" s="2">
        <f>YEAR(DitrbFlota[[#This Row],[Inicio Operación]])</f>
        <v>2023</v>
      </c>
      <c r="Q438" s="29">
        <v>90</v>
      </c>
    </row>
    <row r="439" spans="1:17">
      <c r="A439" s="7" t="s">
        <v>421</v>
      </c>
      <c r="B439" s="2" t="s">
        <v>799</v>
      </c>
      <c r="C439" s="2">
        <v>7184</v>
      </c>
      <c r="D439" s="2" t="s">
        <v>147</v>
      </c>
      <c r="E439" s="2" t="s">
        <v>13</v>
      </c>
      <c r="F439" s="2" t="s">
        <v>149</v>
      </c>
      <c r="G439" s="277" t="s">
        <v>674</v>
      </c>
      <c r="H439" s="277" t="s">
        <v>674</v>
      </c>
      <c r="I439" s="277">
        <v>45024</v>
      </c>
      <c r="J439" s="2" t="s">
        <v>1341</v>
      </c>
      <c r="K439" s="2" t="s">
        <v>840</v>
      </c>
      <c r="L439" s="2" t="s">
        <v>674</v>
      </c>
      <c r="M439" s="2"/>
      <c r="N439" s="2" t="str">
        <f>DitrbFlota[[#This Row],[TIPO BUS]]&amp;"-"&amp;DitrbFlota[[#This Row],[MARCA CHASIS]]</f>
        <v>BE-FOTON</v>
      </c>
      <c r="O439" s="2">
        <f>MONTH(DitrbFlota[[#This Row],[Inicio Operación]])</f>
        <v>4</v>
      </c>
      <c r="P439" s="2">
        <f>YEAR(DitrbFlota[[#This Row],[Inicio Operación]])</f>
        <v>2023</v>
      </c>
      <c r="Q439" s="29">
        <v>90</v>
      </c>
    </row>
    <row r="440" spans="1:17">
      <c r="A440" s="7" t="s">
        <v>421</v>
      </c>
      <c r="B440" s="2" t="s">
        <v>800</v>
      </c>
      <c r="C440" s="2">
        <v>7185</v>
      </c>
      <c r="D440" s="2" t="s">
        <v>147</v>
      </c>
      <c r="E440" s="2" t="s">
        <v>13</v>
      </c>
      <c r="F440" s="2" t="s">
        <v>149</v>
      </c>
      <c r="G440" s="277" t="s">
        <v>674</v>
      </c>
      <c r="H440" s="277" t="s">
        <v>674</v>
      </c>
      <c r="I440" s="277">
        <v>45024</v>
      </c>
      <c r="J440" s="2" t="s">
        <v>1341</v>
      </c>
      <c r="K440" s="2" t="s">
        <v>840</v>
      </c>
      <c r="L440" s="2" t="s">
        <v>674</v>
      </c>
      <c r="M440" s="2"/>
      <c r="N440" s="2" t="str">
        <f>DitrbFlota[[#This Row],[TIPO BUS]]&amp;"-"&amp;DitrbFlota[[#This Row],[MARCA CHASIS]]</f>
        <v>BE-FOTON</v>
      </c>
      <c r="O440" s="2">
        <f>MONTH(DitrbFlota[[#This Row],[Inicio Operación]])</f>
        <v>4</v>
      </c>
      <c r="P440" s="2">
        <f>YEAR(DitrbFlota[[#This Row],[Inicio Operación]])</f>
        <v>2023</v>
      </c>
      <c r="Q440" s="29">
        <v>90</v>
      </c>
    </row>
    <row r="441" spans="1:17" hidden="1">
      <c r="A441" s="7" t="s">
        <v>421</v>
      </c>
      <c r="B441" s="2" t="s">
        <v>503</v>
      </c>
      <c r="C441" s="2">
        <v>5012</v>
      </c>
      <c r="D441" s="2" t="s">
        <v>12</v>
      </c>
      <c r="E441" s="2" t="s">
        <v>13</v>
      </c>
      <c r="F441" s="2" t="s">
        <v>14</v>
      </c>
      <c r="G441" s="277" t="s">
        <v>493</v>
      </c>
      <c r="H441" s="277" t="s">
        <v>493</v>
      </c>
      <c r="I441" s="277">
        <v>45003</v>
      </c>
      <c r="J441" s="2" t="s">
        <v>1341</v>
      </c>
      <c r="K441" s="2" t="s">
        <v>841</v>
      </c>
      <c r="L441" s="2" t="s">
        <v>493</v>
      </c>
      <c r="M441" s="2"/>
      <c r="N441" s="2" t="str">
        <f>DitrbFlota[[#This Row],[TIPO BUS]]&amp;"-"&amp;DitrbFlota[[#This Row],[MARCA CHASIS]]</f>
        <v>A2-VOLVO</v>
      </c>
      <c r="O441" s="2">
        <f>MONTH(DitrbFlota[[#This Row],[Inicio Operación]])</f>
        <v>3</v>
      </c>
      <c r="P441" s="2">
        <f>YEAR(DitrbFlota[[#This Row],[Inicio Operación]])</f>
        <v>2023</v>
      </c>
      <c r="Q441" s="29">
        <v>77</v>
      </c>
    </row>
    <row r="442" spans="1:17">
      <c r="A442" s="7" t="s">
        <v>421</v>
      </c>
      <c r="B442" s="2" t="s">
        <v>801</v>
      </c>
      <c r="C442" s="2">
        <v>7186</v>
      </c>
      <c r="D442" s="2" t="s">
        <v>147</v>
      </c>
      <c r="E442" s="2" t="s">
        <v>13</v>
      </c>
      <c r="F442" s="2" t="s">
        <v>149</v>
      </c>
      <c r="G442" s="277" t="s">
        <v>674</v>
      </c>
      <c r="H442" s="277" t="s">
        <v>674</v>
      </c>
      <c r="I442" s="277">
        <v>45024</v>
      </c>
      <c r="J442" s="2" t="s">
        <v>1341</v>
      </c>
      <c r="K442" s="2" t="s">
        <v>840</v>
      </c>
      <c r="L442" s="2" t="s">
        <v>674</v>
      </c>
      <c r="M442" s="2"/>
      <c r="N442" s="2" t="str">
        <f>DitrbFlota[[#This Row],[TIPO BUS]]&amp;"-"&amp;DitrbFlota[[#This Row],[MARCA CHASIS]]</f>
        <v>BE-FOTON</v>
      </c>
      <c r="O442" s="2">
        <f>MONTH(DitrbFlota[[#This Row],[Inicio Operación]])</f>
        <v>4</v>
      </c>
      <c r="P442" s="2">
        <f>YEAR(DitrbFlota[[#This Row],[Inicio Operación]])</f>
        <v>2023</v>
      </c>
      <c r="Q442" s="29">
        <v>90</v>
      </c>
    </row>
    <row r="443" spans="1:17">
      <c r="A443" s="7" t="s">
        <v>421</v>
      </c>
      <c r="B443" s="2" t="s">
        <v>802</v>
      </c>
      <c r="C443" s="2">
        <v>7187</v>
      </c>
      <c r="D443" s="2" t="s">
        <v>147</v>
      </c>
      <c r="E443" s="2" t="s">
        <v>13</v>
      </c>
      <c r="F443" s="2" t="s">
        <v>149</v>
      </c>
      <c r="G443" s="277" t="s">
        <v>674</v>
      </c>
      <c r="H443" s="277" t="s">
        <v>674</v>
      </c>
      <c r="I443" s="277">
        <v>45024</v>
      </c>
      <c r="J443" s="2" t="s">
        <v>1341</v>
      </c>
      <c r="K443" s="2" t="s">
        <v>840</v>
      </c>
      <c r="L443" s="2" t="s">
        <v>674</v>
      </c>
      <c r="M443" s="2"/>
      <c r="N443" s="2" t="str">
        <f>DitrbFlota[[#This Row],[TIPO BUS]]&amp;"-"&amp;DitrbFlota[[#This Row],[MARCA CHASIS]]</f>
        <v>BE-FOTON</v>
      </c>
      <c r="O443" s="2">
        <f>MONTH(DitrbFlota[[#This Row],[Inicio Operación]])</f>
        <v>4</v>
      </c>
      <c r="P443" s="2">
        <f>YEAR(DitrbFlota[[#This Row],[Inicio Operación]])</f>
        <v>2023</v>
      </c>
      <c r="Q443" s="29">
        <v>90</v>
      </c>
    </row>
    <row r="444" spans="1:17">
      <c r="A444" s="7" t="s">
        <v>421</v>
      </c>
      <c r="B444" s="2" t="s">
        <v>803</v>
      </c>
      <c r="C444" s="2">
        <v>7188</v>
      </c>
      <c r="D444" s="2" t="s">
        <v>147</v>
      </c>
      <c r="E444" s="2" t="s">
        <v>13</v>
      </c>
      <c r="F444" s="2" t="s">
        <v>149</v>
      </c>
      <c r="G444" s="277" t="s">
        <v>674</v>
      </c>
      <c r="H444" s="277" t="s">
        <v>674</v>
      </c>
      <c r="I444" s="277">
        <v>45024</v>
      </c>
      <c r="J444" s="2" t="s">
        <v>1341</v>
      </c>
      <c r="K444" s="2" t="s">
        <v>840</v>
      </c>
      <c r="L444" s="2" t="s">
        <v>674</v>
      </c>
      <c r="M444" s="2"/>
      <c r="N444" s="2" t="str">
        <f>DitrbFlota[[#This Row],[TIPO BUS]]&amp;"-"&amp;DitrbFlota[[#This Row],[MARCA CHASIS]]</f>
        <v>BE-FOTON</v>
      </c>
      <c r="O444" s="2">
        <f>MONTH(DitrbFlota[[#This Row],[Inicio Operación]])</f>
        <v>4</v>
      </c>
      <c r="P444" s="2">
        <f>YEAR(DitrbFlota[[#This Row],[Inicio Operación]])</f>
        <v>2023</v>
      </c>
      <c r="Q444" s="29">
        <v>90</v>
      </c>
    </row>
    <row r="445" spans="1:17">
      <c r="A445" s="7" t="s">
        <v>421</v>
      </c>
      <c r="B445" s="2" t="s">
        <v>804</v>
      </c>
      <c r="C445" s="2">
        <v>7189</v>
      </c>
      <c r="D445" s="2" t="s">
        <v>147</v>
      </c>
      <c r="E445" s="2" t="s">
        <v>13</v>
      </c>
      <c r="F445" s="2" t="s">
        <v>149</v>
      </c>
      <c r="G445" s="277" t="s">
        <v>674</v>
      </c>
      <c r="H445" s="277" t="s">
        <v>674</v>
      </c>
      <c r="I445" s="277">
        <v>45024</v>
      </c>
      <c r="J445" s="2" t="s">
        <v>1341</v>
      </c>
      <c r="K445" s="2" t="s">
        <v>840</v>
      </c>
      <c r="L445" s="2" t="s">
        <v>674</v>
      </c>
      <c r="M445" s="2"/>
      <c r="N445" s="2" t="str">
        <f>DitrbFlota[[#This Row],[TIPO BUS]]&amp;"-"&amp;DitrbFlota[[#This Row],[MARCA CHASIS]]</f>
        <v>BE-FOTON</v>
      </c>
      <c r="O445" s="2">
        <f>MONTH(DitrbFlota[[#This Row],[Inicio Operación]])</f>
        <v>4</v>
      </c>
      <c r="P445" s="2">
        <f>YEAR(DitrbFlota[[#This Row],[Inicio Operación]])</f>
        <v>2023</v>
      </c>
      <c r="Q445" s="29">
        <v>90</v>
      </c>
    </row>
    <row r="446" spans="1:17" hidden="1">
      <c r="A446" s="7" t="s">
        <v>421</v>
      </c>
      <c r="B446" s="2" t="s">
        <v>504</v>
      </c>
      <c r="C446" s="2">
        <v>5013</v>
      </c>
      <c r="D446" s="2" t="s">
        <v>12</v>
      </c>
      <c r="E446" s="2" t="s">
        <v>13</v>
      </c>
      <c r="F446" s="2" t="s">
        <v>14</v>
      </c>
      <c r="G446" s="277" t="s">
        <v>493</v>
      </c>
      <c r="H446" s="277" t="s">
        <v>493</v>
      </c>
      <c r="I446" s="277">
        <v>45003</v>
      </c>
      <c r="J446" s="2" t="s">
        <v>1341</v>
      </c>
      <c r="K446" s="2" t="s">
        <v>841</v>
      </c>
      <c r="L446" s="2" t="s">
        <v>493</v>
      </c>
      <c r="M446" s="2"/>
      <c r="N446" s="2" t="str">
        <f>DitrbFlota[[#This Row],[TIPO BUS]]&amp;"-"&amp;DitrbFlota[[#This Row],[MARCA CHASIS]]</f>
        <v>A2-VOLVO</v>
      </c>
      <c r="O446" s="2">
        <f>MONTH(DitrbFlota[[#This Row],[Inicio Operación]])</f>
        <v>3</v>
      </c>
      <c r="P446" s="2">
        <f>YEAR(DitrbFlota[[#This Row],[Inicio Operación]])</f>
        <v>2023</v>
      </c>
      <c r="Q446" s="29">
        <v>77</v>
      </c>
    </row>
    <row r="447" spans="1:17">
      <c r="A447" s="7" t="s">
        <v>421</v>
      </c>
      <c r="B447" s="2" t="s">
        <v>805</v>
      </c>
      <c r="C447" s="2">
        <v>7190</v>
      </c>
      <c r="D447" s="2" t="s">
        <v>147</v>
      </c>
      <c r="E447" s="2" t="s">
        <v>13</v>
      </c>
      <c r="F447" s="2" t="s">
        <v>149</v>
      </c>
      <c r="G447" s="277" t="s">
        <v>674</v>
      </c>
      <c r="H447" s="277" t="s">
        <v>674</v>
      </c>
      <c r="I447" s="277">
        <v>45024</v>
      </c>
      <c r="J447" s="2" t="s">
        <v>1341</v>
      </c>
      <c r="K447" s="2" t="s">
        <v>840</v>
      </c>
      <c r="L447" s="2" t="s">
        <v>674</v>
      </c>
      <c r="M447" s="2"/>
      <c r="N447" s="2" t="str">
        <f>DitrbFlota[[#This Row],[TIPO BUS]]&amp;"-"&amp;DitrbFlota[[#This Row],[MARCA CHASIS]]</f>
        <v>BE-FOTON</v>
      </c>
      <c r="O447" s="2">
        <f>MONTH(DitrbFlota[[#This Row],[Inicio Operación]])</f>
        <v>4</v>
      </c>
      <c r="P447" s="2">
        <f>YEAR(DitrbFlota[[#This Row],[Inicio Operación]])</f>
        <v>2023</v>
      </c>
      <c r="Q447" s="29">
        <v>90</v>
      </c>
    </row>
    <row r="448" spans="1:17">
      <c r="A448" s="7" t="s">
        <v>421</v>
      </c>
      <c r="B448" s="2" t="s">
        <v>806</v>
      </c>
      <c r="C448" s="2">
        <v>7191</v>
      </c>
      <c r="D448" s="2" t="s">
        <v>147</v>
      </c>
      <c r="E448" s="352" t="s">
        <v>25</v>
      </c>
      <c r="F448" s="2" t="s">
        <v>149</v>
      </c>
      <c r="G448" s="277" t="s">
        <v>674</v>
      </c>
      <c r="H448" s="277" t="s">
        <v>674</v>
      </c>
      <c r="I448" s="277">
        <v>45693</v>
      </c>
      <c r="J448" s="2" t="s">
        <v>830</v>
      </c>
      <c r="K448" s="2" t="s">
        <v>840</v>
      </c>
      <c r="L448" s="277" t="s">
        <v>674</v>
      </c>
      <c r="M448" s="2"/>
      <c r="N448" s="2" t="str">
        <f>DitrbFlota[[#This Row],[TIPO BUS]]&amp;"-"&amp;DitrbFlota[[#This Row],[MARCA CHASIS]]</f>
        <v>BE-FOTON</v>
      </c>
      <c r="O448" s="2">
        <f>MONTH(DitrbFlota[[#This Row],[Inicio Operación]])</f>
        <v>2</v>
      </c>
      <c r="P448" s="2">
        <f>YEAR(DitrbFlota[[#This Row],[Inicio Operación]])</f>
        <v>2025</v>
      </c>
      <c r="Q448" s="29">
        <v>90</v>
      </c>
    </row>
    <row r="449" spans="1:17">
      <c r="A449" s="7" t="s">
        <v>421</v>
      </c>
      <c r="B449" s="2" t="s">
        <v>807</v>
      </c>
      <c r="C449" s="2">
        <v>7192</v>
      </c>
      <c r="D449" s="2" t="s">
        <v>147</v>
      </c>
      <c r="E449" s="352" t="s">
        <v>25</v>
      </c>
      <c r="F449" s="2" t="s">
        <v>149</v>
      </c>
      <c r="G449" s="277" t="s">
        <v>674</v>
      </c>
      <c r="H449" s="277" t="s">
        <v>674</v>
      </c>
      <c r="I449" s="277">
        <v>45696</v>
      </c>
      <c r="J449" s="2" t="s">
        <v>830</v>
      </c>
      <c r="K449" s="2" t="s">
        <v>840</v>
      </c>
      <c r="L449" s="277" t="s">
        <v>674</v>
      </c>
      <c r="M449" s="2"/>
      <c r="N449" s="2" t="str">
        <f>DitrbFlota[[#This Row],[TIPO BUS]]&amp;"-"&amp;DitrbFlota[[#This Row],[MARCA CHASIS]]</f>
        <v>BE-FOTON</v>
      </c>
      <c r="O449" s="2">
        <f>MONTH(DitrbFlota[[#This Row],[Inicio Operación]])</f>
        <v>2</v>
      </c>
      <c r="P449" s="2">
        <f>YEAR(DitrbFlota[[#This Row],[Inicio Operación]])</f>
        <v>2025</v>
      </c>
      <c r="Q449" s="29">
        <v>90</v>
      </c>
    </row>
    <row r="450" spans="1:17" hidden="1">
      <c r="A450" s="7" t="s">
        <v>421</v>
      </c>
      <c r="B450" s="2" t="s">
        <v>505</v>
      </c>
      <c r="C450" s="2">
        <v>5014</v>
      </c>
      <c r="D450" s="2" t="s">
        <v>12</v>
      </c>
      <c r="E450" s="2" t="s">
        <v>13</v>
      </c>
      <c r="F450" s="2" t="s">
        <v>14</v>
      </c>
      <c r="G450" s="277" t="s">
        <v>493</v>
      </c>
      <c r="H450" s="277" t="s">
        <v>493</v>
      </c>
      <c r="I450" s="277">
        <v>45003</v>
      </c>
      <c r="J450" s="2" t="s">
        <v>1341</v>
      </c>
      <c r="K450" s="2" t="s">
        <v>841</v>
      </c>
      <c r="L450" s="2" t="s">
        <v>493</v>
      </c>
      <c r="M450" s="2"/>
      <c r="N450" s="2" t="str">
        <f>DitrbFlota[[#This Row],[TIPO BUS]]&amp;"-"&amp;DitrbFlota[[#This Row],[MARCA CHASIS]]</f>
        <v>A2-VOLVO</v>
      </c>
      <c r="O450" s="2">
        <f>MONTH(DitrbFlota[[#This Row],[Inicio Operación]])</f>
        <v>3</v>
      </c>
      <c r="P450" s="2">
        <f>YEAR(DitrbFlota[[#This Row],[Inicio Operación]])</f>
        <v>2023</v>
      </c>
      <c r="Q450" s="29">
        <v>77</v>
      </c>
    </row>
    <row r="451" spans="1:17" hidden="1">
      <c r="A451" s="7" t="s">
        <v>421</v>
      </c>
      <c r="B451" s="2" t="s">
        <v>507</v>
      </c>
      <c r="C451" s="2">
        <v>5015</v>
      </c>
      <c r="D451" s="2" t="s">
        <v>12</v>
      </c>
      <c r="E451" s="2" t="s">
        <v>13</v>
      </c>
      <c r="F451" s="2" t="s">
        <v>14</v>
      </c>
      <c r="G451" s="277" t="s">
        <v>493</v>
      </c>
      <c r="H451" s="277" t="s">
        <v>493</v>
      </c>
      <c r="I451" s="277">
        <v>45003</v>
      </c>
      <c r="J451" s="2" t="s">
        <v>1341</v>
      </c>
      <c r="K451" s="2" t="s">
        <v>841</v>
      </c>
      <c r="L451" s="2" t="s">
        <v>493</v>
      </c>
      <c r="M451" s="2"/>
      <c r="N451" s="2" t="str">
        <f>DitrbFlota[[#This Row],[TIPO BUS]]&amp;"-"&amp;DitrbFlota[[#This Row],[MARCA CHASIS]]</f>
        <v>A2-VOLVO</v>
      </c>
      <c r="O451" s="2">
        <f>MONTH(DitrbFlota[[#This Row],[Inicio Operación]])</f>
        <v>3</v>
      </c>
      <c r="P451" s="2">
        <f>YEAR(DitrbFlota[[#This Row],[Inicio Operación]])</f>
        <v>2023</v>
      </c>
      <c r="Q451" s="29">
        <v>77</v>
      </c>
    </row>
    <row r="452" spans="1:17" hidden="1">
      <c r="A452" s="7" t="s">
        <v>421</v>
      </c>
      <c r="B452" s="2" t="s">
        <v>508</v>
      </c>
      <c r="C452" s="2">
        <v>5016</v>
      </c>
      <c r="D452" s="2" t="s">
        <v>12</v>
      </c>
      <c r="E452" s="2" t="s">
        <v>13</v>
      </c>
      <c r="F452" s="2" t="s">
        <v>14</v>
      </c>
      <c r="G452" s="277" t="s">
        <v>493</v>
      </c>
      <c r="H452" s="277" t="s">
        <v>493</v>
      </c>
      <c r="I452" s="277">
        <v>45003</v>
      </c>
      <c r="J452" s="2" t="s">
        <v>1341</v>
      </c>
      <c r="K452" s="2" t="s">
        <v>841</v>
      </c>
      <c r="L452" s="2" t="s">
        <v>493</v>
      </c>
      <c r="M452" s="2"/>
      <c r="N452" s="2" t="str">
        <f>DitrbFlota[[#This Row],[TIPO BUS]]&amp;"-"&amp;DitrbFlota[[#This Row],[MARCA CHASIS]]</f>
        <v>A2-VOLVO</v>
      </c>
      <c r="O452" s="2">
        <f>MONTH(DitrbFlota[[#This Row],[Inicio Operación]])</f>
        <v>3</v>
      </c>
      <c r="P452" s="2">
        <f>YEAR(DitrbFlota[[#This Row],[Inicio Operación]])</f>
        <v>2023</v>
      </c>
      <c r="Q452" s="29">
        <v>77</v>
      </c>
    </row>
    <row r="453" spans="1:17" hidden="1">
      <c r="A453" s="7" t="s">
        <v>421</v>
      </c>
      <c r="B453" s="2" t="s">
        <v>509</v>
      </c>
      <c r="C453" s="2">
        <v>5017</v>
      </c>
      <c r="D453" s="2" t="s">
        <v>12</v>
      </c>
      <c r="E453" s="2" t="s">
        <v>13</v>
      </c>
      <c r="F453" s="2" t="s">
        <v>14</v>
      </c>
      <c r="G453" s="277" t="s">
        <v>493</v>
      </c>
      <c r="H453" s="277" t="s">
        <v>493</v>
      </c>
      <c r="I453" s="277">
        <v>45003</v>
      </c>
      <c r="J453" s="2" t="s">
        <v>1341</v>
      </c>
      <c r="K453" s="2" t="s">
        <v>841</v>
      </c>
      <c r="L453" s="2" t="s">
        <v>493</v>
      </c>
      <c r="M453" s="2"/>
      <c r="N453" s="2" t="str">
        <f>DitrbFlota[[#This Row],[TIPO BUS]]&amp;"-"&amp;DitrbFlota[[#This Row],[MARCA CHASIS]]</f>
        <v>A2-VOLVO</v>
      </c>
      <c r="O453" s="2">
        <f>MONTH(DitrbFlota[[#This Row],[Inicio Operación]])</f>
        <v>3</v>
      </c>
      <c r="P453" s="2">
        <f>YEAR(DitrbFlota[[#This Row],[Inicio Operación]])</f>
        <v>2023</v>
      </c>
      <c r="Q453" s="29">
        <v>77</v>
      </c>
    </row>
    <row r="454" spans="1:17" hidden="1">
      <c r="A454" s="7" t="s">
        <v>421</v>
      </c>
      <c r="B454" s="2" t="s">
        <v>510</v>
      </c>
      <c r="C454" s="2">
        <v>5018</v>
      </c>
      <c r="D454" s="2" t="s">
        <v>12</v>
      </c>
      <c r="E454" s="2" t="s">
        <v>13</v>
      </c>
      <c r="F454" s="2" t="s">
        <v>14</v>
      </c>
      <c r="G454" s="277" t="s">
        <v>493</v>
      </c>
      <c r="H454" s="277" t="s">
        <v>493</v>
      </c>
      <c r="I454" s="277">
        <v>45003</v>
      </c>
      <c r="J454" s="2" t="s">
        <v>1341</v>
      </c>
      <c r="K454" s="2" t="s">
        <v>841</v>
      </c>
      <c r="L454" s="2" t="s">
        <v>493</v>
      </c>
      <c r="M454" s="2"/>
      <c r="N454" s="2" t="str">
        <f>DitrbFlota[[#This Row],[TIPO BUS]]&amp;"-"&amp;DitrbFlota[[#This Row],[MARCA CHASIS]]</f>
        <v>A2-VOLVO</v>
      </c>
      <c r="O454" s="2">
        <f>MONTH(DitrbFlota[[#This Row],[Inicio Operación]])</f>
        <v>3</v>
      </c>
      <c r="P454" s="2">
        <f>YEAR(DitrbFlota[[#This Row],[Inicio Operación]])</f>
        <v>2023</v>
      </c>
      <c r="Q454" s="29">
        <v>77</v>
      </c>
    </row>
    <row r="455" spans="1:17" hidden="1">
      <c r="A455" s="7" t="s">
        <v>421</v>
      </c>
      <c r="B455" s="2" t="s">
        <v>511</v>
      </c>
      <c r="C455" s="2">
        <v>5019</v>
      </c>
      <c r="D455" s="2" t="s">
        <v>12</v>
      </c>
      <c r="E455" s="2" t="s">
        <v>13</v>
      </c>
      <c r="F455" s="2" t="s">
        <v>14</v>
      </c>
      <c r="G455" s="277" t="s">
        <v>493</v>
      </c>
      <c r="H455" s="277" t="s">
        <v>493</v>
      </c>
      <c r="I455" s="277">
        <v>45003</v>
      </c>
      <c r="J455" s="2" t="s">
        <v>1341</v>
      </c>
      <c r="K455" s="2" t="s">
        <v>841</v>
      </c>
      <c r="L455" s="2" t="s">
        <v>493</v>
      </c>
      <c r="M455" s="2"/>
      <c r="N455" s="2" t="str">
        <f>DitrbFlota[[#This Row],[TIPO BUS]]&amp;"-"&amp;DitrbFlota[[#This Row],[MARCA CHASIS]]</f>
        <v>A2-VOLVO</v>
      </c>
      <c r="O455" s="2">
        <f>MONTH(DitrbFlota[[#This Row],[Inicio Operación]])</f>
        <v>3</v>
      </c>
      <c r="P455" s="2">
        <f>YEAR(DitrbFlota[[#This Row],[Inicio Operación]])</f>
        <v>2023</v>
      </c>
      <c r="Q455" s="29">
        <v>77</v>
      </c>
    </row>
    <row r="456" spans="1:17" hidden="1">
      <c r="A456" s="7" t="s">
        <v>421</v>
      </c>
      <c r="B456" s="2" t="s">
        <v>512</v>
      </c>
      <c r="C456" s="2">
        <v>5020</v>
      </c>
      <c r="D456" s="2" t="s">
        <v>12</v>
      </c>
      <c r="E456" s="2" t="s">
        <v>13</v>
      </c>
      <c r="F456" s="2" t="s">
        <v>14</v>
      </c>
      <c r="G456" s="277" t="s">
        <v>493</v>
      </c>
      <c r="H456" s="277" t="s">
        <v>493</v>
      </c>
      <c r="I456" s="277">
        <v>45003</v>
      </c>
      <c r="J456" s="2" t="s">
        <v>1341</v>
      </c>
      <c r="K456" s="2" t="s">
        <v>841</v>
      </c>
      <c r="L456" s="2" t="s">
        <v>493</v>
      </c>
      <c r="M456" s="2"/>
      <c r="N456" s="2" t="str">
        <f>DitrbFlota[[#This Row],[TIPO BUS]]&amp;"-"&amp;DitrbFlota[[#This Row],[MARCA CHASIS]]</f>
        <v>A2-VOLVO</v>
      </c>
      <c r="O456" s="2">
        <f>MONTH(DitrbFlota[[#This Row],[Inicio Operación]])</f>
        <v>3</v>
      </c>
      <c r="P456" s="2">
        <f>YEAR(DitrbFlota[[#This Row],[Inicio Operación]])</f>
        <v>2023</v>
      </c>
      <c r="Q456" s="29">
        <v>77</v>
      </c>
    </row>
    <row r="457" spans="1:17" hidden="1">
      <c r="A457" s="7" t="s">
        <v>421</v>
      </c>
      <c r="B457" s="2" t="s">
        <v>513</v>
      </c>
      <c r="C457" s="2">
        <v>5022</v>
      </c>
      <c r="D457" s="2" t="s">
        <v>12</v>
      </c>
      <c r="E457" s="2" t="s">
        <v>13</v>
      </c>
      <c r="F457" s="2" t="s">
        <v>14</v>
      </c>
      <c r="G457" s="277" t="s">
        <v>493</v>
      </c>
      <c r="H457" s="277" t="s">
        <v>493</v>
      </c>
      <c r="I457" s="277">
        <v>45003</v>
      </c>
      <c r="J457" s="2" t="s">
        <v>1341</v>
      </c>
      <c r="K457" s="2" t="s">
        <v>841</v>
      </c>
      <c r="L457" s="2" t="s">
        <v>493</v>
      </c>
      <c r="M457" s="2"/>
      <c r="N457" s="2" t="str">
        <f>DitrbFlota[[#This Row],[TIPO BUS]]&amp;"-"&amp;DitrbFlota[[#This Row],[MARCA CHASIS]]</f>
        <v>A2-VOLVO</v>
      </c>
      <c r="O457" s="2">
        <f>MONTH(DitrbFlota[[#This Row],[Inicio Operación]])</f>
        <v>3</v>
      </c>
      <c r="P457" s="2">
        <f>YEAR(DitrbFlota[[#This Row],[Inicio Operación]])</f>
        <v>2023</v>
      </c>
      <c r="Q457" s="29">
        <v>77</v>
      </c>
    </row>
    <row r="458" spans="1:17" hidden="1">
      <c r="A458" s="7" t="s">
        <v>421</v>
      </c>
      <c r="B458" s="2" t="s">
        <v>517</v>
      </c>
      <c r="C458" s="2">
        <v>6030</v>
      </c>
      <c r="D458" s="2" t="s">
        <v>34</v>
      </c>
      <c r="E458" s="2" t="s">
        <v>25</v>
      </c>
      <c r="F458" s="2" t="s">
        <v>145</v>
      </c>
      <c r="G458" s="277" t="s">
        <v>493</v>
      </c>
      <c r="H458" s="277" t="s">
        <v>493</v>
      </c>
      <c r="I458" s="277">
        <v>45003</v>
      </c>
      <c r="J458" s="2" t="s">
        <v>830</v>
      </c>
      <c r="K458" s="2" t="s">
        <v>841</v>
      </c>
      <c r="L458" s="2" t="s">
        <v>493</v>
      </c>
      <c r="M458" s="2"/>
      <c r="N458" s="2" t="str">
        <f>DitrbFlota[[#This Row],[TIPO BUS]]&amp;"-"&amp;DitrbFlota[[#This Row],[MARCA CHASIS]]</f>
        <v>B2-MERCEDES BENZ</v>
      </c>
      <c r="O458" s="2">
        <f>MONTH(DitrbFlota[[#This Row],[Inicio Operación]])</f>
        <v>3</v>
      </c>
      <c r="P458" s="2">
        <f>YEAR(DitrbFlota[[#This Row],[Inicio Operación]])</f>
        <v>2023</v>
      </c>
      <c r="Q458" s="29">
        <v>95</v>
      </c>
    </row>
    <row r="459" spans="1:17" hidden="1">
      <c r="A459" s="7" t="s">
        <v>421</v>
      </c>
      <c r="B459" s="2" t="s">
        <v>540</v>
      </c>
      <c r="C459" s="2">
        <v>6083</v>
      </c>
      <c r="D459" s="2" t="s">
        <v>34</v>
      </c>
      <c r="E459" s="2" t="s">
        <v>13</v>
      </c>
      <c r="F459" s="2" t="s">
        <v>145</v>
      </c>
      <c r="G459" s="277" t="s">
        <v>493</v>
      </c>
      <c r="H459" s="277" t="s">
        <v>493</v>
      </c>
      <c r="I459" s="277">
        <v>45024</v>
      </c>
      <c r="J459" s="2" t="s">
        <v>830</v>
      </c>
      <c r="K459" s="2" t="s">
        <v>841</v>
      </c>
      <c r="L459" s="2" t="s">
        <v>493</v>
      </c>
      <c r="M459" s="2"/>
      <c r="N459" s="2" t="str">
        <f>DitrbFlota[[#This Row],[TIPO BUS]]&amp;"-"&amp;DitrbFlota[[#This Row],[MARCA CHASIS]]</f>
        <v>B2-MERCEDES BENZ</v>
      </c>
      <c r="O459" s="2">
        <f>MONTH(DitrbFlota[[#This Row],[Inicio Operación]])</f>
        <v>4</v>
      </c>
      <c r="P459" s="2">
        <f>YEAR(DitrbFlota[[#This Row],[Inicio Operación]])</f>
        <v>2023</v>
      </c>
      <c r="Q459" s="29">
        <v>95</v>
      </c>
    </row>
    <row r="460" spans="1:17" hidden="1">
      <c r="A460" s="7" t="s">
        <v>421</v>
      </c>
      <c r="B460" s="2" t="s">
        <v>548</v>
      </c>
      <c r="C460" s="2">
        <v>6092</v>
      </c>
      <c r="D460" s="2" t="s">
        <v>34</v>
      </c>
      <c r="E460" s="2" t="s">
        <v>13</v>
      </c>
      <c r="F460" s="2" t="s">
        <v>14</v>
      </c>
      <c r="G460" s="277" t="s">
        <v>493</v>
      </c>
      <c r="H460" s="277" t="s">
        <v>493</v>
      </c>
      <c r="I460" s="277">
        <v>45003</v>
      </c>
      <c r="J460" s="2" t="s">
        <v>1341</v>
      </c>
      <c r="K460" s="2" t="s">
        <v>841</v>
      </c>
      <c r="L460" s="2" t="s">
        <v>493</v>
      </c>
      <c r="M460" s="2"/>
      <c r="N460" s="2" t="str">
        <f>DitrbFlota[[#This Row],[TIPO BUS]]&amp;"-"&amp;DitrbFlota[[#This Row],[MARCA CHASIS]]</f>
        <v>B2-VOLVO</v>
      </c>
      <c r="O460" s="2">
        <f>MONTH(DitrbFlota[[#This Row],[Inicio Operación]])</f>
        <v>3</v>
      </c>
      <c r="P460" s="2">
        <f>YEAR(DitrbFlota[[#This Row],[Inicio Operación]])</f>
        <v>2023</v>
      </c>
      <c r="Q460" s="29">
        <v>96</v>
      </c>
    </row>
    <row r="461" spans="1:17" hidden="1">
      <c r="A461" s="7" t="s">
        <v>421</v>
      </c>
      <c r="B461" s="2" t="s">
        <v>549</v>
      </c>
      <c r="C461" s="2">
        <v>6094</v>
      </c>
      <c r="D461" s="2" t="s">
        <v>34</v>
      </c>
      <c r="E461" s="2" t="s">
        <v>25</v>
      </c>
      <c r="F461" s="2" t="s">
        <v>14</v>
      </c>
      <c r="G461" s="277" t="s">
        <v>493</v>
      </c>
      <c r="H461" s="277" t="s">
        <v>493</v>
      </c>
      <c r="I461" s="277">
        <v>44982</v>
      </c>
      <c r="J461" s="2" t="s">
        <v>1341</v>
      </c>
      <c r="K461" s="2" t="s">
        <v>841</v>
      </c>
      <c r="L461" s="2" t="s">
        <v>493</v>
      </c>
      <c r="M461" s="2"/>
      <c r="N461" s="2" t="str">
        <f>DitrbFlota[[#This Row],[TIPO BUS]]&amp;"-"&amp;DitrbFlota[[#This Row],[MARCA CHASIS]]</f>
        <v>B2-VOLVO</v>
      </c>
      <c r="O461" s="2">
        <f>MONTH(DitrbFlota[[#This Row],[Inicio Operación]])</f>
        <v>2</v>
      </c>
      <c r="P461" s="2">
        <f>YEAR(DitrbFlota[[#This Row],[Inicio Operación]])</f>
        <v>2023</v>
      </c>
      <c r="Q461" s="29">
        <v>96</v>
      </c>
    </row>
    <row r="462" spans="1:17" hidden="1">
      <c r="A462" s="7" t="s">
        <v>421</v>
      </c>
      <c r="B462" s="2" t="s">
        <v>550</v>
      </c>
      <c r="C462" s="2">
        <v>6095</v>
      </c>
      <c r="D462" s="2" t="s">
        <v>34</v>
      </c>
      <c r="E462" s="2" t="s">
        <v>25</v>
      </c>
      <c r="F462" s="2" t="s">
        <v>14</v>
      </c>
      <c r="G462" s="277" t="s">
        <v>493</v>
      </c>
      <c r="H462" s="277" t="s">
        <v>493</v>
      </c>
      <c r="I462" s="277">
        <v>44982</v>
      </c>
      <c r="J462" s="2" t="s">
        <v>1341</v>
      </c>
      <c r="K462" s="2" t="s">
        <v>841</v>
      </c>
      <c r="L462" s="2" t="s">
        <v>493</v>
      </c>
      <c r="M462" s="2"/>
      <c r="N462" s="2" t="str">
        <f>DitrbFlota[[#This Row],[TIPO BUS]]&amp;"-"&amp;DitrbFlota[[#This Row],[MARCA CHASIS]]</f>
        <v>B2-VOLVO</v>
      </c>
      <c r="O462" s="2">
        <f>MONTH(DitrbFlota[[#This Row],[Inicio Operación]])</f>
        <v>2</v>
      </c>
      <c r="P462" s="2">
        <f>YEAR(DitrbFlota[[#This Row],[Inicio Operación]])</f>
        <v>2023</v>
      </c>
      <c r="Q462" s="29">
        <v>96</v>
      </c>
    </row>
    <row r="463" spans="1:17" hidden="1">
      <c r="A463" s="7" t="s">
        <v>421</v>
      </c>
      <c r="B463" s="2" t="s">
        <v>551</v>
      </c>
      <c r="C463" s="2">
        <v>6097</v>
      </c>
      <c r="D463" s="2" t="s">
        <v>34</v>
      </c>
      <c r="E463" s="2" t="s">
        <v>13</v>
      </c>
      <c r="F463" s="2" t="s">
        <v>14</v>
      </c>
      <c r="G463" s="277" t="s">
        <v>493</v>
      </c>
      <c r="H463" s="277" t="s">
        <v>493</v>
      </c>
      <c r="I463" s="277">
        <v>44982</v>
      </c>
      <c r="J463" s="2" t="s">
        <v>1341</v>
      </c>
      <c r="K463" s="2" t="s">
        <v>841</v>
      </c>
      <c r="L463" s="2" t="s">
        <v>493</v>
      </c>
      <c r="M463" s="2"/>
      <c r="N463" s="2" t="str">
        <f>DitrbFlota[[#This Row],[TIPO BUS]]&amp;"-"&amp;DitrbFlota[[#This Row],[MARCA CHASIS]]</f>
        <v>B2-VOLVO</v>
      </c>
      <c r="O463" s="2">
        <f>MONTH(DitrbFlota[[#This Row],[Inicio Operación]])</f>
        <v>2</v>
      </c>
      <c r="P463" s="2">
        <f>YEAR(DitrbFlota[[#This Row],[Inicio Operación]])</f>
        <v>2023</v>
      </c>
      <c r="Q463" s="29">
        <v>96</v>
      </c>
    </row>
    <row r="464" spans="1:17" hidden="1">
      <c r="A464" s="7" t="s">
        <v>421</v>
      </c>
      <c r="B464" s="2" t="s">
        <v>552</v>
      </c>
      <c r="C464" s="2">
        <v>6098</v>
      </c>
      <c r="D464" s="2" t="s">
        <v>34</v>
      </c>
      <c r="E464" s="2" t="s">
        <v>13</v>
      </c>
      <c r="F464" s="2" t="s">
        <v>14</v>
      </c>
      <c r="G464" s="277" t="s">
        <v>493</v>
      </c>
      <c r="H464" s="277" t="s">
        <v>493</v>
      </c>
      <c r="I464" s="277">
        <v>44982</v>
      </c>
      <c r="J464" s="2" t="s">
        <v>1341</v>
      </c>
      <c r="K464" s="2" t="s">
        <v>841</v>
      </c>
      <c r="L464" s="2" t="s">
        <v>493</v>
      </c>
      <c r="M464" s="2"/>
      <c r="N464" s="2" t="str">
        <f>DitrbFlota[[#This Row],[TIPO BUS]]&amp;"-"&amp;DitrbFlota[[#This Row],[MARCA CHASIS]]</f>
        <v>B2-VOLVO</v>
      </c>
      <c r="O464" s="2">
        <f>MONTH(DitrbFlota[[#This Row],[Inicio Operación]])</f>
        <v>2</v>
      </c>
      <c r="P464" s="2">
        <f>YEAR(DitrbFlota[[#This Row],[Inicio Operación]])</f>
        <v>2023</v>
      </c>
      <c r="Q464" s="29">
        <v>96</v>
      </c>
    </row>
    <row r="465" spans="1:17" hidden="1">
      <c r="A465" s="7" t="s">
        <v>421</v>
      </c>
      <c r="B465" s="2" t="s">
        <v>553</v>
      </c>
      <c r="C465" s="2">
        <v>6099</v>
      </c>
      <c r="D465" s="2" t="s">
        <v>34</v>
      </c>
      <c r="E465" s="2" t="s">
        <v>13</v>
      </c>
      <c r="F465" s="2" t="s">
        <v>14</v>
      </c>
      <c r="G465" s="277" t="s">
        <v>493</v>
      </c>
      <c r="H465" s="277" t="s">
        <v>493</v>
      </c>
      <c r="I465" s="277">
        <v>44982</v>
      </c>
      <c r="J465" s="2" t="s">
        <v>1341</v>
      </c>
      <c r="K465" s="2" t="s">
        <v>841</v>
      </c>
      <c r="L465" s="2" t="s">
        <v>493</v>
      </c>
      <c r="M465" s="2"/>
      <c r="N465" s="2" t="str">
        <f>DitrbFlota[[#This Row],[TIPO BUS]]&amp;"-"&amp;DitrbFlota[[#This Row],[MARCA CHASIS]]</f>
        <v>B2-VOLVO</v>
      </c>
      <c r="O465" s="2">
        <f>MONTH(DitrbFlota[[#This Row],[Inicio Operación]])</f>
        <v>2</v>
      </c>
      <c r="P465" s="2">
        <f>YEAR(DitrbFlota[[#This Row],[Inicio Operación]])</f>
        <v>2023</v>
      </c>
      <c r="Q465" s="29">
        <v>96</v>
      </c>
    </row>
    <row r="466" spans="1:17" hidden="1">
      <c r="A466" s="7" t="s">
        <v>421</v>
      </c>
      <c r="B466" s="2" t="s">
        <v>554</v>
      </c>
      <c r="C466" s="2">
        <v>6100</v>
      </c>
      <c r="D466" s="2" t="s">
        <v>34</v>
      </c>
      <c r="E466" s="2" t="s">
        <v>13</v>
      </c>
      <c r="F466" s="2" t="s">
        <v>14</v>
      </c>
      <c r="G466" s="277" t="s">
        <v>493</v>
      </c>
      <c r="H466" s="277" t="s">
        <v>493</v>
      </c>
      <c r="I466" s="277">
        <v>44982</v>
      </c>
      <c r="J466" s="2" t="s">
        <v>1341</v>
      </c>
      <c r="K466" s="2" t="s">
        <v>841</v>
      </c>
      <c r="L466" s="2" t="s">
        <v>493</v>
      </c>
      <c r="M466" s="2"/>
      <c r="N466" s="2" t="str">
        <f>DitrbFlota[[#This Row],[TIPO BUS]]&amp;"-"&amp;DitrbFlota[[#This Row],[MARCA CHASIS]]</f>
        <v>B2-VOLVO</v>
      </c>
      <c r="O466" s="2">
        <f>MONTH(DitrbFlota[[#This Row],[Inicio Operación]])</f>
        <v>2</v>
      </c>
      <c r="P466" s="2">
        <f>YEAR(DitrbFlota[[#This Row],[Inicio Operación]])</f>
        <v>2023</v>
      </c>
      <c r="Q466" s="29">
        <v>96</v>
      </c>
    </row>
    <row r="467" spans="1:17" hidden="1">
      <c r="A467" s="7" t="s">
        <v>421</v>
      </c>
      <c r="B467" s="2" t="s">
        <v>556</v>
      </c>
      <c r="C467" s="2">
        <v>6107</v>
      </c>
      <c r="D467" s="2" t="s">
        <v>34</v>
      </c>
      <c r="E467" s="2" t="s">
        <v>13</v>
      </c>
      <c r="F467" s="2" t="s">
        <v>14</v>
      </c>
      <c r="G467" s="277" t="s">
        <v>493</v>
      </c>
      <c r="H467" s="277" t="s">
        <v>493</v>
      </c>
      <c r="I467" s="277">
        <v>44982</v>
      </c>
      <c r="J467" s="2" t="s">
        <v>1341</v>
      </c>
      <c r="K467" s="2" t="s">
        <v>841</v>
      </c>
      <c r="L467" s="2" t="s">
        <v>493</v>
      </c>
      <c r="M467" s="2"/>
      <c r="N467" s="2" t="str">
        <f>DitrbFlota[[#This Row],[TIPO BUS]]&amp;"-"&amp;DitrbFlota[[#This Row],[MARCA CHASIS]]</f>
        <v>B2-VOLVO</v>
      </c>
      <c r="O467" s="2">
        <f>MONTH(DitrbFlota[[#This Row],[Inicio Operación]])</f>
        <v>2</v>
      </c>
      <c r="P467" s="2">
        <f>YEAR(DitrbFlota[[#This Row],[Inicio Operación]])</f>
        <v>2023</v>
      </c>
      <c r="Q467" s="29">
        <v>96</v>
      </c>
    </row>
    <row r="468" spans="1:17" hidden="1">
      <c r="A468" s="7" t="s">
        <v>421</v>
      </c>
      <c r="B468" s="2" t="s">
        <v>564</v>
      </c>
      <c r="C468" s="2">
        <v>6126</v>
      </c>
      <c r="D468" s="2" t="s">
        <v>34</v>
      </c>
      <c r="E468" s="2" t="s">
        <v>13</v>
      </c>
      <c r="F468" s="2" t="s">
        <v>14</v>
      </c>
      <c r="G468" s="277" t="s">
        <v>493</v>
      </c>
      <c r="H468" s="277" t="s">
        <v>493</v>
      </c>
      <c r="I468" s="277">
        <v>44982</v>
      </c>
      <c r="J468" s="2" t="s">
        <v>1341</v>
      </c>
      <c r="K468" s="2" t="s">
        <v>841</v>
      </c>
      <c r="L468" s="2" t="s">
        <v>493</v>
      </c>
      <c r="M468" s="2"/>
      <c r="N468" s="2" t="str">
        <f>DitrbFlota[[#This Row],[TIPO BUS]]&amp;"-"&amp;DitrbFlota[[#This Row],[MARCA CHASIS]]</f>
        <v>B2-VOLVO</v>
      </c>
      <c r="O468" s="2">
        <f>MONTH(DitrbFlota[[#This Row],[Inicio Operación]])</f>
        <v>2</v>
      </c>
      <c r="P468" s="2">
        <f>YEAR(DitrbFlota[[#This Row],[Inicio Operación]])</f>
        <v>2023</v>
      </c>
      <c r="Q468" s="29">
        <v>96</v>
      </c>
    </row>
    <row r="469" spans="1:17" hidden="1">
      <c r="A469" s="7" t="s">
        <v>421</v>
      </c>
      <c r="B469" s="2" t="s">
        <v>557</v>
      </c>
      <c r="C469" s="2">
        <v>6109</v>
      </c>
      <c r="D469" s="2" t="s">
        <v>34</v>
      </c>
      <c r="E469" s="2" t="s">
        <v>13</v>
      </c>
      <c r="F469" s="2" t="s">
        <v>14</v>
      </c>
      <c r="G469" s="277" t="s">
        <v>493</v>
      </c>
      <c r="H469" s="277" t="s">
        <v>493</v>
      </c>
      <c r="I469" s="277">
        <v>44982</v>
      </c>
      <c r="J469" s="2" t="s">
        <v>1341</v>
      </c>
      <c r="K469" s="2" t="s">
        <v>841</v>
      </c>
      <c r="L469" s="2" t="s">
        <v>493</v>
      </c>
      <c r="M469" s="2"/>
      <c r="N469" s="2" t="str">
        <f>DitrbFlota[[#This Row],[TIPO BUS]]&amp;"-"&amp;DitrbFlota[[#This Row],[MARCA CHASIS]]</f>
        <v>B2-VOLVO</v>
      </c>
      <c r="O469" s="2">
        <f>MONTH(DitrbFlota[[#This Row],[Inicio Operación]])</f>
        <v>2</v>
      </c>
      <c r="P469" s="2">
        <f>YEAR(DitrbFlota[[#This Row],[Inicio Operación]])</f>
        <v>2023</v>
      </c>
      <c r="Q469" s="29">
        <v>96</v>
      </c>
    </row>
    <row r="470" spans="1:17" hidden="1">
      <c r="A470" s="7" t="s">
        <v>421</v>
      </c>
      <c r="B470" s="2" t="s">
        <v>565</v>
      </c>
      <c r="C470" s="2">
        <v>6137</v>
      </c>
      <c r="D470" s="2" t="s">
        <v>34</v>
      </c>
      <c r="E470" s="2" t="s">
        <v>13</v>
      </c>
      <c r="F470" s="2" t="s">
        <v>14</v>
      </c>
      <c r="G470" s="277" t="s">
        <v>493</v>
      </c>
      <c r="H470" s="277" t="s">
        <v>493</v>
      </c>
      <c r="I470" s="277">
        <v>44982</v>
      </c>
      <c r="J470" s="2" t="s">
        <v>1341</v>
      </c>
      <c r="K470" s="2" t="s">
        <v>841</v>
      </c>
      <c r="L470" s="2" t="s">
        <v>493</v>
      </c>
      <c r="M470" s="2"/>
      <c r="N470" s="2" t="str">
        <f>DitrbFlota[[#This Row],[TIPO BUS]]&amp;"-"&amp;DitrbFlota[[#This Row],[MARCA CHASIS]]</f>
        <v>B2-VOLVO</v>
      </c>
      <c r="O470" s="2">
        <f>MONTH(DitrbFlota[[#This Row],[Inicio Operación]])</f>
        <v>2</v>
      </c>
      <c r="P470" s="2">
        <f>YEAR(DitrbFlota[[#This Row],[Inicio Operación]])</f>
        <v>2023</v>
      </c>
      <c r="Q470" s="29">
        <v>96</v>
      </c>
    </row>
    <row r="471" spans="1:17" hidden="1">
      <c r="A471" s="7" t="s">
        <v>421</v>
      </c>
      <c r="B471" s="2" t="s">
        <v>558</v>
      </c>
      <c r="C471" s="2">
        <v>6110</v>
      </c>
      <c r="D471" s="2" t="s">
        <v>34</v>
      </c>
      <c r="E471" s="2" t="s">
        <v>13</v>
      </c>
      <c r="F471" s="2" t="s">
        <v>14</v>
      </c>
      <c r="G471" s="277" t="s">
        <v>493</v>
      </c>
      <c r="H471" s="277" t="s">
        <v>493</v>
      </c>
      <c r="I471" s="277">
        <v>44982</v>
      </c>
      <c r="J471" s="2" t="s">
        <v>1341</v>
      </c>
      <c r="K471" s="2" t="s">
        <v>841</v>
      </c>
      <c r="L471" s="2" t="s">
        <v>493</v>
      </c>
      <c r="M471" s="2"/>
      <c r="N471" s="2" t="str">
        <f>DitrbFlota[[#This Row],[TIPO BUS]]&amp;"-"&amp;DitrbFlota[[#This Row],[MARCA CHASIS]]</f>
        <v>B2-VOLVO</v>
      </c>
      <c r="O471" s="2">
        <f>MONTH(DitrbFlota[[#This Row],[Inicio Operación]])</f>
        <v>2</v>
      </c>
      <c r="P471" s="2">
        <f>YEAR(DitrbFlota[[#This Row],[Inicio Operación]])</f>
        <v>2023</v>
      </c>
      <c r="Q471" s="29">
        <v>96</v>
      </c>
    </row>
    <row r="472" spans="1:17" hidden="1">
      <c r="A472" s="7" t="s">
        <v>421</v>
      </c>
      <c r="B472" s="2" t="s">
        <v>560</v>
      </c>
      <c r="C472" s="2">
        <v>6117</v>
      </c>
      <c r="D472" s="2" t="s">
        <v>34</v>
      </c>
      <c r="E472" s="2" t="s">
        <v>13</v>
      </c>
      <c r="F472" s="2" t="s">
        <v>14</v>
      </c>
      <c r="G472" s="277" t="s">
        <v>493</v>
      </c>
      <c r="H472" s="277" t="s">
        <v>493</v>
      </c>
      <c r="I472" s="277">
        <v>44982</v>
      </c>
      <c r="J472" s="2" t="s">
        <v>1341</v>
      </c>
      <c r="K472" s="2" t="s">
        <v>841</v>
      </c>
      <c r="L472" s="2" t="s">
        <v>493</v>
      </c>
      <c r="M472" s="2"/>
      <c r="N472" s="2" t="str">
        <f>DitrbFlota[[#This Row],[TIPO BUS]]&amp;"-"&amp;DitrbFlota[[#This Row],[MARCA CHASIS]]</f>
        <v>B2-VOLVO</v>
      </c>
      <c r="O472" s="2">
        <f>MONTH(DitrbFlota[[#This Row],[Inicio Operación]])</f>
        <v>2</v>
      </c>
      <c r="P472" s="2">
        <f>YEAR(DitrbFlota[[#This Row],[Inicio Operación]])</f>
        <v>2023</v>
      </c>
      <c r="Q472" s="29">
        <v>96</v>
      </c>
    </row>
    <row r="473" spans="1:17" hidden="1">
      <c r="A473" s="7" t="s">
        <v>421</v>
      </c>
      <c r="B473" s="2" t="s">
        <v>561</v>
      </c>
      <c r="C473" s="2">
        <v>6118</v>
      </c>
      <c r="D473" s="2" t="s">
        <v>34</v>
      </c>
      <c r="E473" s="2" t="s">
        <v>13</v>
      </c>
      <c r="F473" s="2" t="s">
        <v>14</v>
      </c>
      <c r="G473" s="277" t="s">
        <v>493</v>
      </c>
      <c r="H473" s="277" t="s">
        <v>493</v>
      </c>
      <c r="I473" s="277">
        <v>44982</v>
      </c>
      <c r="J473" s="2" t="s">
        <v>1341</v>
      </c>
      <c r="K473" s="2" t="s">
        <v>841</v>
      </c>
      <c r="L473" s="2" t="s">
        <v>493</v>
      </c>
      <c r="M473" s="2"/>
      <c r="N473" s="2" t="str">
        <f>DitrbFlota[[#This Row],[TIPO BUS]]&amp;"-"&amp;DitrbFlota[[#This Row],[MARCA CHASIS]]</f>
        <v>B2-VOLVO</v>
      </c>
      <c r="O473" s="2">
        <f>MONTH(DitrbFlota[[#This Row],[Inicio Operación]])</f>
        <v>2</v>
      </c>
      <c r="P473" s="2">
        <f>YEAR(DitrbFlota[[#This Row],[Inicio Operación]])</f>
        <v>2023</v>
      </c>
      <c r="Q473" s="29">
        <v>96</v>
      </c>
    </row>
    <row r="474" spans="1:17" hidden="1">
      <c r="A474" s="7" t="s">
        <v>421</v>
      </c>
      <c r="B474" s="2" t="s">
        <v>563</v>
      </c>
      <c r="C474" s="2">
        <v>6123</v>
      </c>
      <c r="D474" s="2" t="s">
        <v>34</v>
      </c>
      <c r="E474" s="2" t="s">
        <v>13</v>
      </c>
      <c r="F474" s="2" t="s">
        <v>14</v>
      </c>
      <c r="G474" s="277" t="s">
        <v>493</v>
      </c>
      <c r="H474" s="277" t="s">
        <v>493</v>
      </c>
      <c r="I474" s="277">
        <v>44982</v>
      </c>
      <c r="J474" s="2" t="s">
        <v>1341</v>
      </c>
      <c r="K474" s="2" t="s">
        <v>841</v>
      </c>
      <c r="L474" s="2" t="s">
        <v>493</v>
      </c>
      <c r="M474" s="2"/>
      <c r="N474" s="2" t="str">
        <f>DitrbFlota[[#This Row],[TIPO BUS]]&amp;"-"&amp;DitrbFlota[[#This Row],[MARCA CHASIS]]</f>
        <v>B2-VOLVO</v>
      </c>
      <c r="O474" s="2">
        <f>MONTH(DitrbFlota[[#This Row],[Inicio Operación]])</f>
        <v>2</v>
      </c>
      <c r="P474" s="2">
        <f>YEAR(DitrbFlota[[#This Row],[Inicio Operación]])</f>
        <v>2023</v>
      </c>
      <c r="Q474" s="29">
        <v>96</v>
      </c>
    </row>
    <row r="475" spans="1:17" hidden="1">
      <c r="A475" s="7" t="s">
        <v>421</v>
      </c>
      <c r="B475" s="2" t="s">
        <v>567</v>
      </c>
      <c r="C475" s="2">
        <v>6140</v>
      </c>
      <c r="D475" s="2" t="s">
        <v>34</v>
      </c>
      <c r="E475" s="2" t="s">
        <v>13</v>
      </c>
      <c r="F475" s="2" t="s">
        <v>14</v>
      </c>
      <c r="G475" s="277" t="s">
        <v>493</v>
      </c>
      <c r="H475" s="277" t="s">
        <v>493</v>
      </c>
      <c r="I475" s="277">
        <v>44982</v>
      </c>
      <c r="J475" s="2" t="s">
        <v>1341</v>
      </c>
      <c r="K475" s="2" t="s">
        <v>841</v>
      </c>
      <c r="L475" s="2" t="s">
        <v>493</v>
      </c>
      <c r="M475" s="2"/>
      <c r="N475" s="2" t="str">
        <f>DitrbFlota[[#This Row],[TIPO BUS]]&amp;"-"&amp;DitrbFlota[[#This Row],[MARCA CHASIS]]</f>
        <v>B2-VOLVO</v>
      </c>
      <c r="O475" s="2">
        <f>MONTH(DitrbFlota[[#This Row],[Inicio Operación]])</f>
        <v>2</v>
      </c>
      <c r="P475" s="2">
        <f>YEAR(DitrbFlota[[#This Row],[Inicio Operación]])</f>
        <v>2023</v>
      </c>
      <c r="Q475" s="29">
        <v>96</v>
      </c>
    </row>
    <row r="476" spans="1:17" hidden="1">
      <c r="A476" s="7" t="s">
        <v>421</v>
      </c>
      <c r="B476" s="2" t="s">
        <v>568</v>
      </c>
      <c r="C476" s="2">
        <v>6144</v>
      </c>
      <c r="D476" s="2" t="s">
        <v>34</v>
      </c>
      <c r="E476" s="2" t="s">
        <v>13</v>
      </c>
      <c r="F476" s="2" t="s">
        <v>14</v>
      </c>
      <c r="G476" s="277" t="s">
        <v>493</v>
      </c>
      <c r="H476" s="277" t="s">
        <v>493</v>
      </c>
      <c r="I476" s="277">
        <v>44982</v>
      </c>
      <c r="J476" s="2" t="s">
        <v>1341</v>
      </c>
      <c r="K476" s="2" t="s">
        <v>841</v>
      </c>
      <c r="L476" s="2" t="s">
        <v>493</v>
      </c>
      <c r="M476" s="2"/>
      <c r="N476" s="2" t="str">
        <f>DitrbFlota[[#This Row],[TIPO BUS]]&amp;"-"&amp;DitrbFlota[[#This Row],[MARCA CHASIS]]</f>
        <v>B2-VOLVO</v>
      </c>
      <c r="O476" s="2">
        <f>MONTH(DitrbFlota[[#This Row],[Inicio Operación]])</f>
        <v>2</v>
      </c>
      <c r="P476" s="2">
        <f>YEAR(DitrbFlota[[#This Row],[Inicio Operación]])</f>
        <v>2023</v>
      </c>
      <c r="Q476" s="29">
        <v>96</v>
      </c>
    </row>
    <row r="477" spans="1:17" hidden="1">
      <c r="A477" s="7" t="s">
        <v>421</v>
      </c>
      <c r="B477" s="2" t="s">
        <v>569</v>
      </c>
      <c r="C477" s="2">
        <v>6145</v>
      </c>
      <c r="D477" s="2" t="s">
        <v>34</v>
      </c>
      <c r="E477" s="2" t="s">
        <v>13</v>
      </c>
      <c r="F477" s="2" t="s">
        <v>14</v>
      </c>
      <c r="G477" s="277" t="s">
        <v>493</v>
      </c>
      <c r="H477" s="277" t="s">
        <v>493</v>
      </c>
      <c r="I477" s="277">
        <v>44982</v>
      </c>
      <c r="J477" s="2" t="s">
        <v>1341</v>
      </c>
      <c r="K477" s="2" t="s">
        <v>841</v>
      </c>
      <c r="L477" s="2" t="s">
        <v>493</v>
      </c>
      <c r="M477" s="2"/>
      <c r="N477" s="2" t="str">
        <f>DitrbFlota[[#This Row],[TIPO BUS]]&amp;"-"&amp;DitrbFlota[[#This Row],[MARCA CHASIS]]</f>
        <v>B2-VOLVO</v>
      </c>
      <c r="O477" s="2">
        <f>MONTH(DitrbFlota[[#This Row],[Inicio Operación]])</f>
        <v>2</v>
      </c>
      <c r="P477" s="2">
        <f>YEAR(DitrbFlota[[#This Row],[Inicio Operación]])</f>
        <v>2023</v>
      </c>
      <c r="Q477" s="29">
        <v>96</v>
      </c>
    </row>
    <row r="478" spans="1:17" hidden="1">
      <c r="A478" s="7" t="s">
        <v>421</v>
      </c>
      <c r="B478" s="2" t="s">
        <v>570</v>
      </c>
      <c r="C478" s="2">
        <v>6146</v>
      </c>
      <c r="D478" s="2" t="s">
        <v>34</v>
      </c>
      <c r="E478" s="2" t="s">
        <v>13</v>
      </c>
      <c r="F478" s="2" t="s">
        <v>14</v>
      </c>
      <c r="G478" s="277" t="s">
        <v>493</v>
      </c>
      <c r="H478" s="277" t="s">
        <v>493</v>
      </c>
      <c r="I478" s="277">
        <v>44982</v>
      </c>
      <c r="J478" s="2" t="s">
        <v>1341</v>
      </c>
      <c r="K478" s="2" t="s">
        <v>841</v>
      </c>
      <c r="L478" s="2" t="s">
        <v>493</v>
      </c>
      <c r="M478" s="2"/>
      <c r="N478" s="2" t="str">
        <f>DitrbFlota[[#This Row],[TIPO BUS]]&amp;"-"&amp;DitrbFlota[[#This Row],[MARCA CHASIS]]</f>
        <v>B2-VOLVO</v>
      </c>
      <c r="O478" s="2">
        <f>MONTH(DitrbFlota[[#This Row],[Inicio Operación]])</f>
        <v>2</v>
      </c>
      <c r="P478" s="2">
        <f>YEAR(DitrbFlota[[#This Row],[Inicio Operación]])</f>
        <v>2023</v>
      </c>
      <c r="Q478" s="29">
        <v>96</v>
      </c>
    </row>
    <row r="479" spans="1:17" hidden="1">
      <c r="A479" s="7" t="s">
        <v>421</v>
      </c>
      <c r="B479" s="2" t="s">
        <v>571</v>
      </c>
      <c r="C479" s="2">
        <v>6147</v>
      </c>
      <c r="D479" s="2" t="s">
        <v>34</v>
      </c>
      <c r="E479" s="2" t="s">
        <v>13</v>
      </c>
      <c r="F479" s="2" t="s">
        <v>14</v>
      </c>
      <c r="G479" s="277" t="s">
        <v>493</v>
      </c>
      <c r="H479" s="277" t="s">
        <v>493</v>
      </c>
      <c r="I479" s="277">
        <v>44982</v>
      </c>
      <c r="J479" s="2" t="s">
        <v>1341</v>
      </c>
      <c r="K479" s="2" t="s">
        <v>841</v>
      </c>
      <c r="L479" s="2" t="s">
        <v>493</v>
      </c>
      <c r="M479" s="2"/>
      <c r="N479" s="2" t="str">
        <f>DitrbFlota[[#This Row],[TIPO BUS]]&amp;"-"&amp;DitrbFlota[[#This Row],[MARCA CHASIS]]</f>
        <v>B2-VOLVO</v>
      </c>
      <c r="O479" s="2">
        <f>MONTH(DitrbFlota[[#This Row],[Inicio Operación]])</f>
        <v>2</v>
      </c>
      <c r="P479" s="2">
        <f>YEAR(DitrbFlota[[#This Row],[Inicio Operación]])</f>
        <v>2023</v>
      </c>
      <c r="Q479" s="29">
        <v>96</v>
      </c>
    </row>
    <row r="480" spans="1:17" hidden="1">
      <c r="A480" s="7" t="s">
        <v>421</v>
      </c>
      <c r="B480" s="2" t="s">
        <v>572</v>
      </c>
      <c r="C480" s="2">
        <v>6148</v>
      </c>
      <c r="D480" s="2" t="s">
        <v>34</v>
      </c>
      <c r="E480" s="2" t="s">
        <v>13</v>
      </c>
      <c r="F480" s="2" t="s">
        <v>14</v>
      </c>
      <c r="G480" s="277" t="s">
        <v>493</v>
      </c>
      <c r="H480" s="277" t="s">
        <v>493</v>
      </c>
      <c r="I480" s="277">
        <v>44982</v>
      </c>
      <c r="J480" s="2" t="s">
        <v>1341</v>
      </c>
      <c r="K480" s="2" t="s">
        <v>841</v>
      </c>
      <c r="L480" s="2" t="s">
        <v>493</v>
      </c>
      <c r="M480" s="2"/>
      <c r="N480" s="2" t="str">
        <f>DitrbFlota[[#This Row],[TIPO BUS]]&amp;"-"&amp;DitrbFlota[[#This Row],[MARCA CHASIS]]</f>
        <v>B2-VOLVO</v>
      </c>
      <c r="O480" s="2">
        <f>MONTH(DitrbFlota[[#This Row],[Inicio Operación]])</f>
        <v>2</v>
      </c>
      <c r="P480" s="2">
        <f>YEAR(DitrbFlota[[#This Row],[Inicio Operación]])</f>
        <v>2023</v>
      </c>
      <c r="Q480" s="29">
        <v>96</v>
      </c>
    </row>
    <row r="481" spans="1:18" hidden="1">
      <c r="A481" s="7" t="s">
        <v>421</v>
      </c>
      <c r="B481" s="2" t="s">
        <v>573</v>
      </c>
      <c r="C481" s="2">
        <v>6149</v>
      </c>
      <c r="D481" s="2" t="s">
        <v>34</v>
      </c>
      <c r="E481" s="2" t="s">
        <v>13</v>
      </c>
      <c r="F481" s="2" t="s">
        <v>14</v>
      </c>
      <c r="G481" s="277" t="s">
        <v>493</v>
      </c>
      <c r="H481" s="277" t="s">
        <v>493</v>
      </c>
      <c r="I481" s="277">
        <v>44982</v>
      </c>
      <c r="J481" s="2" t="s">
        <v>1341</v>
      </c>
      <c r="K481" s="2" t="s">
        <v>841</v>
      </c>
      <c r="L481" s="2" t="s">
        <v>493</v>
      </c>
      <c r="M481" s="2"/>
      <c r="N481" s="2" t="str">
        <f>DitrbFlota[[#This Row],[TIPO BUS]]&amp;"-"&amp;DitrbFlota[[#This Row],[MARCA CHASIS]]</f>
        <v>B2-VOLVO</v>
      </c>
      <c r="O481" s="2">
        <f>MONTH(DitrbFlota[[#This Row],[Inicio Operación]])</f>
        <v>2</v>
      </c>
      <c r="P481" s="2">
        <f>YEAR(DitrbFlota[[#This Row],[Inicio Operación]])</f>
        <v>2023</v>
      </c>
      <c r="Q481" s="29">
        <v>96</v>
      </c>
    </row>
    <row r="482" spans="1:18" hidden="1">
      <c r="A482" s="7" t="s">
        <v>421</v>
      </c>
      <c r="B482" s="2" t="s">
        <v>574</v>
      </c>
      <c r="C482" s="2">
        <v>6150</v>
      </c>
      <c r="D482" s="2" t="s">
        <v>34</v>
      </c>
      <c r="E482" s="2" t="s">
        <v>13</v>
      </c>
      <c r="F482" s="2" t="s">
        <v>14</v>
      </c>
      <c r="G482" s="277" t="s">
        <v>493</v>
      </c>
      <c r="H482" s="277" t="s">
        <v>493</v>
      </c>
      <c r="I482" s="277">
        <v>44982</v>
      </c>
      <c r="J482" s="2" t="s">
        <v>1341</v>
      </c>
      <c r="K482" s="2" t="s">
        <v>841</v>
      </c>
      <c r="L482" s="2" t="s">
        <v>493</v>
      </c>
      <c r="M482" s="2"/>
      <c r="N482" s="2" t="str">
        <f>DitrbFlota[[#This Row],[TIPO BUS]]&amp;"-"&amp;DitrbFlota[[#This Row],[MARCA CHASIS]]</f>
        <v>B2-VOLVO</v>
      </c>
      <c r="O482" s="2">
        <f>MONTH(DitrbFlota[[#This Row],[Inicio Operación]])</f>
        <v>2</v>
      </c>
      <c r="P482" s="2">
        <f>YEAR(DitrbFlota[[#This Row],[Inicio Operación]])</f>
        <v>2023</v>
      </c>
      <c r="Q482" s="29">
        <v>96</v>
      </c>
    </row>
    <row r="483" spans="1:18" hidden="1">
      <c r="A483" s="7" t="s">
        <v>421</v>
      </c>
      <c r="B483" s="2" t="s">
        <v>576</v>
      </c>
      <c r="C483" s="2">
        <v>6152</v>
      </c>
      <c r="D483" s="2" t="s">
        <v>34</v>
      </c>
      <c r="E483" s="2" t="s">
        <v>13</v>
      </c>
      <c r="F483" s="2" t="s">
        <v>14</v>
      </c>
      <c r="G483" s="277" t="s">
        <v>493</v>
      </c>
      <c r="H483" s="277" t="s">
        <v>493</v>
      </c>
      <c r="I483" s="277">
        <v>44982</v>
      </c>
      <c r="J483" s="2" t="s">
        <v>1341</v>
      </c>
      <c r="K483" s="2" t="s">
        <v>841</v>
      </c>
      <c r="L483" s="2" t="s">
        <v>493</v>
      </c>
      <c r="M483" s="2"/>
      <c r="N483" s="2" t="str">
        <f>DitrbFlota[[#This Row],[TIPO BUS]]&amp;"-"&amp;DitrbFlota[[#This Row],[MARCA CHASIS]]</f>
        <v>B2-VOLVO</v>
      </c>
      <c r="O483" s="2">
        <f>MONTH(DitrbFlota[[#This Row],[Inicio Operación]])</f>
        <v>2</v>
      </c>
      <c r="P483" s="2">
        <f>YEAR(DitrbFlota[[#This Row],[Inicio Operación]])</f>
        <v>2023</v>
      </c>
      <c r="Q483" s="29">
        <v>96</v>
      </c>
    </row>
    <row r="484" spans="1:18" hidden="1">
      <c r="A484" s="7" t="s">
        <v>421</v>
      </c>
      <c r="B484" s="2" t="s">
        <v>577</v>
      </c>
      <c r="C484" s="2">
        <v>6154</v>
      </c>
      <c r="D484" s="2" t="s">
        <v>34</v>
      </c>
      <c r="E484" s="2" t="s">
        <v>13</v>
      </c>
      <c r="F484" s="2" t="s">
        <v>14</v>
      </c>
      <c r="G484" s="277" t="s">
        <v>493</v>
      </c>
      <c r="H484" s="277" t="s">
        <v>493</v>
      </c>
      <c r="I484" s="277">
        <v>44982</v>
      </c>
      <c r="J484" s="2" t="s">
        <v>1341</v>
      </c>
      <c r="K484" s="2" t="s">
        <v>841</v>
      </c>
      <c r="L484" s="2" t="s">
        <v>493</v>
      </c>
      <c r="M484" s="2"/>
      <c r="N484" s="2" t="str">
        <f>DitrbFlota[[#This Row],[TIPO BUS]]&amp;"-"&amp;DitrbFlota[[#This Row],[MARCA CHASIS]]</f>
        <v>B2-VOLVO</v>
      </c>
      <c r="O484" s="2">
        <f>MONTH(DitrbFlota[[#This Row],[Inicio Operación]])</f>
        <v>2</v>
      </c>
      <c r="P484" s="2">
        <f>YEAR(DitrbFlota[[#This Row],[Inicio Operación]])</f>
        <v>2023</v>
      </c>
      <c r="Q484" s="29">
        <v>96</v>
      </c>
    </row>
    <row r="485" spans="1:18" hidden="1">
      <c r="A485" s="7" t="s">
        <v>421</v>
      </c>
      <c r="B485" s="2" t="s">
        <v>579</v>
      </c>
      <c r="C485" s="2">
        <v>6159</v>
      </c>
      <c r="D485" s="2" t="s">
        <v>34</v>
      </c>
      <c r="E485" s="2" t="s">
        <v>13</v>
      </c>
      <c r="F485" s="2" t="s">
        <v>14</v>
      </c>
      <c r="G485" s="277" t="s">
        <v>493</v>
      </c>
      <c r="H485" s="277" t="s">
        <v>493</v>
      </c>
      <c r="I485" s="277">
        <v>44982</v>
      </c>
      <c r="J485" s="2" t="s">
        <v>1341</v>
      </c>
      <c r="K485" s="2" t="s">
        <v>841</v>
      </c>
      <c r="L485" s="2" t="s">
        <v>493</v>
      </c>
      <c r="M485" s="2"/>
      <c r="N485" s="2" t="str">
        <f>DitrbFlota[[#This Row],[TIPO BUS]]&amp;"-"&amp;DitrbFlota[[#This Row],[MARCA CHASIS]]</f>
        <v>B2-VOLVO</v>
      </c>
      <c r="O485" s="2">
        <f>MONTH(DitrbFlota[[#This Row],[Inicio Operación]])</f>
        <v>2</v>
      </c>
      <c r="P485" s="2">
        <f>YEAR(DitrbFlota[[#This Row],[Inicio Operación]])</f>
        <v>2023</v>
      </c>
      <c r="Q485" s="29">
        <v>96</v>
      </c>
    </row>
    <row r="486" spans="1:18" hidden="1">
      <c r="A486" s="7" t="s">
        <v>421</v>
      </c>
      <c r="B486" s="2" t="s">
        <v>659</v>
      </c>
      <c r="C486" s="2">
        <v>6161</v>
      </c>
      <c r="D486" s="2" t="s">
        <v>34</v>
      </c>
      <c r="E486" s="2" t="s">
        <v>25</v>
      </c>
      <c r="F486" s="2" t="s">
        <v>14</v>
      </c>
      <c r="G486" s="277" t="s">
        <v>493</v>
      </c>
      <c r="H486" s="277" t="s">
        <v>493</v>
      </c>
      <c r="I486" s="277">
        <v>45407</v>
      </c>
      <c r="J486" s="2" t="s">
        <v>1341</v>
      </c>
      <c r="K486" s="2" t="s">
        <v>841</v>
      </c>
      <c r="L486" s="2" t="s">
        <v>493</v>
      </c>
      <c r="M486" s="2"/>
      <c r="N486" s="2" t="str">
        <f>DitrbFlota[[#This Row],[TIPO BUS]]&amp;"-"&amp;DitrbFlota[[#This Row],[MARCA CHASIS]]</f>
        <v>B2-VOLVO</v>
      </c>
      <c r="O486" s="2">
        <f>MONTH(DitrbFlota[[#This Row],[Inicio Operación]])</f>
        <v>4</v>
      </c>
      <c r="P486" s="2">
        <f>YEAR(DitrbFlota[[#This Row],[Inicio Operación]])</f>
        <v>2024</v>
      </c>
      <c r="Q486" s="29">
        <v>96</v>
      </c>
    </row>
    <row r="487" spans="1:18" hidden="1">
      <c r="A487" s="7" t="s">
        <v>421</v>
      </c>
      <c r="B487" s="2" t="s">
        <v>580</v>
      </c>
      <c r="C487" s="2">
        <v>7026</v>
      </c>
      <c r="D487" s="2" t="s">
        <v>147</v>
      </c>
      <c r="E487" s="2" t="s">
        <v>25</v>
      </c>
      <c r="F487" s="2" t="s">
        <v>149</v>
      </c>
      <c r="G487" s="277" t="s">
        <v>493</v>
      </c>
      <c r="H487" s="277" t="s">
        <v>493</v>
      </c>
      <c r="I487" s="277">
        <v>45003</v>
      </c>
      <c r="J487" s="2" t="s">
        <v>1341</v>
      </c>
      <c r="K487" s="2" t="s">
        <v>841</v>
      </c>
      <c r="L487" s="2" t="s">
        <v>493</v>
      </c>
      <c r="M487" s="2"/>
      <c r="N487" s="2" t="str">
        <f>DitrbFlota[[#This Row],[TIPO BUS]]&amp;"-"&amp;DitrbFlota[[#This Row],[MARCA CHASIS]]</f>
        <v>BE-FOTON</v>
      </c>
      <c r="O487" s="2">
        <f>MONTH(DitrbFlota[[#This Row],[Inicio Operación]])</f>
        <v>3</v>
      </c>
      <c r="P487" s="2">
        <f>YEAR(DitrbFlota[[#This Row],[Inicio Operación]])</f>
        <v>2023</v>
      </c>
      <c r="Q487" s="29">
        <v>90</v>
      </c>
    </row>
    <row r="488" spans="1:18" hidden="1">
      <c r="A488" s="7" t="s">
        <v>421</v>
      </c>
      <c r="B488" s="2" t="s">
        <v>581</v>
      </c>
      <c r="C488" s="2">
        <v>7027</v>
      </c>
      <c r="D488" s="2" t="s">
        <v>147</v>
      </c>
      <c r="E488" s="2" t="s">
        <v>25</v>
      </c>
      <c r="F488" s="2" t="s">
        <v>149</v>
      </c>
      <c r="G488" s="277" t="s">
        <v>493</v>
      </c>
      <c r="H488" s="277" t="s">
        <v>493</v>
      </c>
      <c r="I488" s="277">
        <v>45003</v>
      </c>
      <c r="J488" s="2" t="s">
        <v>1341</v>
      </c>
      <c r="K488" s="2" t="s">
        <v>841</v>
      </c>
      <c r="L488" s="2" t="s">
        <v>493</v>
      </c>
      <c r="M488" s="2"/>
      <c r="N488" s="2" t="str">
        <f>DitrbFlota[[#This Row],[TIPO BUS]]&amp;"-"&amp;DitrbFlota[[#This Row],[MARCA CHASIS]]</f>
        <v>BE-FOTON</v>
      </c>
      <c r="O488" s="2">
        <f>MONTH(DitrbFlota[[#This Row],[Inicio Operación]])</f>
        <v>3</v>
      </c>
      <c r="P488" s="2">
        <f>YEAR(DitrbFlota[[#This Row],[Inicio Operación]])</f>
        <v>2023</v>
      </c>
      <c r="Q488" s="29">
        <v>90</v>
      </c>
    </row>
    <row r="489" spans="1:18" hidden="1">
      <c r="A489" s="7" t="s">
        <v>421</v>
      </c>
      <c r="B489" s="2" t="s">
        <v>582</v>
      </c>
      <c r="C489" s="2">
        <v>7029</v>
      </c>
      <c r="D489" s="2" t="s">
        <v>147</v>
      </c>
      <c r="E489" s="2" t="s">
        <v>25</v>
      </c>
      <c r="F489" s="2" t="s">
        <v>149</v>
      </c>
      <c r="G489" s="277" t="s">
        <v>493</v>
      </c>
      <c r="H489" s="277" t="s">
        <v>493</v>
      </c>
      <c r="I489" s="277">
        <v>45003</v>
      </c>
      <c r="J489" s="2" t="s">
        <v>1341</v>
      </c>
      <c r="K489" s="2" t="s">
        <v>841</v>
      </c>
      <c r="L489" s="2" t="s">
        <v>493</v>
      </c>
      <c r="M489" s="2"/>
      <c r="N489" s="2" t="str">
        <f>DitrbFlota[[#This Row],[TIPO BUS]]&amp;"-"&amp;DitrbFlota[[#This Row],[MARCA CHASIS]]</f>
        <v>BE-FOTON</v>
      </c>
      <c r="O489" s="2">
        <f>MONTH(DitrbFlota[[#This Row],[Inicio Operación]])</f>
        <v>3</v>
      </c>
      <c r="P489" s="2">
        <f>YEAR(DitrbFlota[[#This Row],[Inicio Operación]])</f>
        <v>2023</v>
      </c>
      <c r="Q489" s="29">
        <v>90</v>
      </c>
    </row>
    <row r="490" spans="1:18">
      <c r="A490" s="7" t="s">
        <v>421</v>
      </c>
      <c r="B490" s="2" t="s">
        <v>808</v>
      </c>
      <c r="C490" s="2">
        <v>7193</v>
      </c>
      <c r="D490" s="2" t="s">
        <v>147</v>
      </c>
      <c r="E490" s="352" t="s">
        <v>25</v>
      </c>
      <c r="F490" s="2" t="s">
        <v>149</v>
      </c>
      <c r="G490" s="277" t="s">
        <v>674</v>
      </c>
      <c r="H490" s="277" t="s">
        <v>674</v>
      </c>
      <c r="I490" s="277">
        <v>45693</v>
      </c>
      <c r="J490" s="2" t="s">
        <v>830</v>
      </c>
      <c r="K490" s="2" t="s">
        <v>840</v>
      </c>
      <c r="L490" s="277" t="s">
        <v>674</v>
      </c>
      <c r="M490" s="2"/>
      <c r="N490" s="2" t="str">
        <f>DitrbFlota[[#This Row],[TIPO BUS]]&amp;"-"&amp;DitrbFlota[[#This Row],[MARCA CHASIS]]</f>
        <v>BE-FOTON</v>
      </c>
      <c r="O490" s="2">
        <f>MONTH(DitrbFlota[[#This Row],[Inicio Operación]])</f>
        <v>2</v>
      </c>
      <c r="P490" s="2">
        <f>YEAR(DitrbFlota[[#This Row],[Inicio Operación]])</f>
        <v>2025</v>
      </c>
      <c r="Q490" s="29">
        <v>90</v>
      </c>
      <c r="R490" s="351"/>
    </row>
    <row r="491" spans="1:18" hidden="1">
      <c r="A491" s="7" t="s">
        <v>421</v>
      </c>
      <c r="B491" s="2" t="s">
        <v>584</v>
      </c>
      <c r="C491" s="2">
        <v>7032</v>
      </c>
      <c r="D491" s="2" t="s">
        <v>147</v>
      </c>
      <c r="E491" s="2" t="s">
        <v>13</v>
      </c>
      <c r="F491" s="2" t="s">
        <v>149</v>
      </c>
      <c r="G491" s="277" t="s">
        <v>493</v>
      </c>
      <c r="H491" s="277" t="s">
        <v>493</v>
      </c>
      <c r="I491" s="277">
        <v>45003</v>
      </c>
      <c r="J491" s="2" t="s">
        <v>1341</v>
      </c>
      <c r="K491" s="2" t="s">
        <v>841</v>
      </c>
      <c r="L491" s="2" t="s">
        <v>493</v>
      </c>
      <c r="M491" s="2"/>
      <c r="N491" s="2" t="str">
        <f>DitrbFlota[[#This Row],[TIPO BUS]]&amp;"-"&amp;DitrbFlota[[#This Row],[MARCA CHASIS]]</f>
        <v>BE-FOTON</v>
      </c>
      <c r="O491" s="2">
        <f>MONTH(DitrbFlota[[#This Row],[Inicio Operación]])</f>
        <v>3</v>
      </c>
      <c r="P491" s="2">
        <f>YEAR(DitrbFlota[[#This Row],[Inicio Operación]])</f>
        <v>2023</v>
      </c>
      <c r="Q491" s="29">
        <v>90</v>
      </c>
    </row>
    <row r="492" spans="1:18" hidden="1">
      <c r="A492" s="7" t="s">
        <v>421</v>
      </c>
      <c r="B492" s="2" t="s">
        <v>585</v>
      </c>
      <c r="C492" s="2">
        <v>7033</v>
      </c>
      <c r="D492" s="2" t="s">
        <v>147</v>
      </c>
      <c r="E492" s="2" t="s">
        <v>13</v>
      </c>
      <c r="F492" s="2" t="s">
        <v>149</v>
      </c>
      <c r="G492" s="277" t="s">
        <v>493</v>
      </c>
      <c r="H492" s="277" t="s">
        <v>493</v>
      </c>
      <c r="I492" s="277">
        <v>45003</v>
      </c>
      <c r="J492" s="2" t="s">
        <v>1341</v>
      </c>
      <c r="K492" s="2" t="s">
        <v>841</v>
      </c>
      <c r="L492" s="2" t="s">
        <v>493</v>
      </c>
      <c r="M492" s="2"/>
      <c r="N492" s="2" t="str">
        <f>DitrbFlota[[#This Row],[TIPO BUS]]&amp;"-"&amp;DitrbFlota[[#This Row],[MARCA CHASIS]]</f>
        <v>BE-FOTON</v>
      </c>
      <c r="O492" s="2">
        <f>MONTH(DitrbFlota[[#This Row],[Inicio Operación]])</f>
        <v>3</v>
      </c>
      <c r="P492" s="2">
        <f>YEAR(DitrbFlota[[#This Row],[Inicio Operación]])</f>
        <v>2023</v>
      </c>
      <c r="Q492" s="29">
        <v>90</v>
      </c>
    </row>
    <row r="493" spans="1:18" hidden="1">
      <c r="A493" s="7" t="s">
        <v>421</v>
      </c>
      <c r="B493" s="2" t="s">
        <v>586</v>
      </c>
      <c r="C493" s="2">
        <v>7034</v>
      </c>
      <c r="D493" s="2" t="s">
        <v>147</v>
      </c>
      <c r="E493" s="2" t="s">
        <v>13</v>
      </c>
      <c r="F493" s="2" t="s">
        <v>149</v>
      </c>
      <c r="G493" s="277" t="s">
        <v>493</v>
      </c>
      <c r="H493" s="277" t="s">
        <v>493</v>
      </c>
      <c r="I493" s="277">
        <v>45003</v>
      </c>
      <c r="J493" s="2" t="s">
        <v>1341</v>
      </c>
      <c r="K493" s="2" t="s">
        <v>841</v>
      </c>
      <c r="L493" s="2" t="s">
        <v>493</v>
      </c>
      <c r="M493" s="2"/>
      <c r="N493" s="2" t="str">
        <f>DitrbFlota[[#This Row],[TIPO BUS]]&amp;"-"&amp;DitrbFlota[[#This Row],[MARCA CHASIS]]</f>
        <v>BE-FOTON</v>
      </c>
      <c r="O493" s="2">
        <f>MONTH(DitrbFlota[[#This Row],[Inicio Operación]])</f>
        <v>3</v>
      </c>
      <c r="P493" s="2">
        <f>YEAR(DitrbFlota[[#This Row],[Inicio Operación]])</f>
        <v>2023</v>
      </c>
      <c r="Q493" s="29">
        <v>90</v>
      </c>
    </row>
    <row r="494" spans="1:18" hidden="1">
      <c r="A494" s="7" t="s">
        <v>421</v>
      </c>
      <c r="B494" s="2" t="s">
        <v>587</v>
      </c>
      <c r="C494" s="2">
        <v>7035</v>
      </c>
      <c r="D494" s="2" t="s">
        <v>147</v>
      </c>
      <c r="E494" s="2" t="s">
        <v>13</v>
      </c>
      <c r="F494" s="2" t="s">
        <v>149</v>
      </c>
      <c r="G494" s="277" t="s">
        <v>493</v>
      </c>
      <c r="H494" s="277" t="s">
        <v>493</v>
      </c>
      <c r="I494" s="277">
        <v>45003</v>
      </c>
      <c r="J494" s="2" t="s">
        <v>1341</v>
      </c>
      <c r="K494" s="2" t="s">
        <v>841</v>
      </c>
      <c r="L494" s="2" t="s">
        <v>493</v>
      </c>
      <c r="M494" s="2"/>
      <c r="N494" s="2" t="str">
        <f>DitrbFlota[[#This Row],[TIPO BUS]]&amp;"-"&amp;DitrbFlota[[#This Row],[MARCA CHASIS]]</f>
        <v>BE-FOTON</v>
      </c>
      <c r="O494" s="2">
        <f>MONTH(DitrbFlota[[#This Row],[Inicio Operación]])</f>
        <v>3</v>
      </c>
      <c r="P494" s="2">
        <f>YEAR(DitrbFlota[[#This Row],[Inicio Operación]])</f>
        <v>2023</v>
      </c>
      <c r="Q494" s="29">
        <v>90</v>
      </c>
    </row>
    <row r="495" spans="1:18" hidden="1">
      <c r="A495" s="7" t="s">
        <v>421</v>
      </c>
      <c r="B495" s="2" t="s">
        <v>588</v>
      </c>
      <c r="C495" s="2">
        <v>7036</v>
      </c>
      <c r="D495" s="2" t="s">
        <v>147</v>
      </c>
      <c r="E495" s="2" t="s">
        <v>13</v>
      </c>
      <c r="F495" s="2" t="s">
        <v>149</v>
      </c>
      <c r="G495" s="277" t="s">
        <v>493</v>
      </c>
      <c r="H495" s="277" t="s">
        <v>493</v>
      </c>
      <c r="I495" s="277">
        <v>45003</v>
      </c>
      <c r="J495" s="2" t="s">
        <v>1341</v>
      </c>
      <c r="K495" s="2" t="s">
        <v>841</v>
      </c>
      <c r="L495" s="2" t="s">
        <v>493</v>
      </c>
      <c r="M495" s="2"/>
      <c r="N495" s="2" t="str">
        <f>DitrbFlota[[#This Row],[TIPO BUS]]&amp;"-"&amp;DitrbFlota[[#This Row],[MARCA CHASIS]]</f>
        <v>BE-FOTON</v>
      </c>
      <c r="O495" s="2">
        <f>MONTH(DitrbFlota[[#This Row],[Inicio Operación]])</f>
        <v>3</v>
      </c>
      <c r="P495" s="2">
        <f>YEAR(DitrbFlota[[#This Row],[Inicio Operación]])</f>
        <v>2023</v>
      </c>
      <c r="Q495" s="29">
        <v>90</v>
      </c>
    </row>
    <row r="496" spans="1:18" hidden="1">
      <c r="A496" s="7" t="s">
        <v>421</v>
      </c>
      <c r="B496" s="2" t="s">
        <v>589</v>
      </c>
      <c r="C496" s="2">
        <v>7037</v>
      </c>
      <c r="D496" s="2" t="s">
        <v>147</v>
      </c>
      <c r="E496" s="2" t="s">
        <v>13</v>
      </c>
      <c r="F496" s="2" t="s">
        <v>149</v>
      </c>
      <c r="G496" s="277" t="s">
        <v>493</v>
      </c>
      <c r="H496" s="277" t="s">
        <v>493</v>
      </c>
      <c r="I496" s="277">
        <v>45003</v>
      </c>
      <c r="J496" s="2" t="s">
        <v>1341</v>
      </c>
      <c r="K496" s="2" t="s">
        <v>841</v>
      </c>
      <c r="L496" s="2" t="s">
        <v>493</v>
      </c>
      <c r="M496" s="2"/>
      <c r="N496" s="2" t="str">
        <f>DitrbFlota[[#This Row],[TIPO BUS]]&amp;"-"&amp;DitrbFlota[[#This Row],[MARCA CHASIS]]</f>
        <v>BE-FOTON</v>
      </c>
      <c r="O496" s="2">
        <f>MONTH(DitrbFlota[[#This Row],[Inicio Operación]])</f>
        <v>3</v>
      </c>
      <c r="P496" s="2">
        <f>YEAR(DitrbFlota[[#This Row],[Inicio Operación]])</f>
        <v>2023</v>
      </c>
      <c r="Q496" s="29">
        <v>90</v>
      </c>
    </row>
    <row r="497" spans="1:18" hidden="1">
      <c r="A497" s="7" t="s">
        <v>421</v>
      </c>
      <c r="B497" s="2" t="s">
        <v>590</v>
      </c>
      <c r="C497" s="2">
        <v>7038</v>
      </c>
      <c r="D497" s="2" t="s">
        <v>147</v>
      </c>
      <c r="E497" s="2" t="s">
        <v>13</v>
      </c>
      <c r="F497" s="2" t="s">
        <v>149</v>
      </c>
      <c r="G497" s="277" t="s">
        <v>493</v>
      </c>
      <c r="H497" s="277" t="s">
        <v>493</v>
      </c>
      <c r="I497" s="277">
        <v>45003</v>
      </c>
      <c r="J497" s="2" t="s">
        <v>1341</v>
      </c>
      <c r="K497" s="2" t="s">
        <v>841</v>
      </c>
      <c r="L497" s="2" t="s">
        <v>493</v>
      </c>
      <c r="M497" s="2"/>
      <c r="N497" s="2" t="str">
        <f>DitrbFlota[[#This Row],[TIPO BUS]]&amp;"-"&amp;DitrbFlota[[#This Row],[MARCA CHASIS]]</f>
        <v>BE-FOTON</v>
      </c>
      <c r="O497" s="2">
        <f>MONTH(DitrbFlota[[#This Row],[Inicio Operación]])</f>
        <v>3</v>
      </c>
      <c r="P497" s="2">
        <f>YEAR(DitrbFlota[[#This Row],[Inicio Operación]])</f>
        <v>2023</v>
      </c>
      <c r="Q497" s="29">
        <v>90</v>
      </c>
    </row>
    <row r="498" spans="1:18" hidden="1">
      <c r="A498" s="7" t="s">
        <v>421</v>
      </c>
      <c r="B498" s="2" t="s">
        <v>591</v>
      </c>
      <c r="C498" s="2">
        <v>7039</v>
      </c>
      <c r="D498" s="2" t="s">
        <v>147</v>
      </c>
      <c r="E498" s="2" t="s">
        <v>13</v>
      </c>
      <c r="F498" s="2" t="s">
        <v>149</v>
      </c>
      <c r="G498" s="277" t="s">
        <v>493</v>
      </c>
      <c r="H498" s="277" t="s">
        <v>493</v>
      </c>
      <c r="I498" s="277">
        <v>45003</v>
      </c>
      <c r="J498" s="2" t="s">
        <v>1341</v>
      </c>
      <c r="K498" s="2" t="s">
        <v>841</v>
      </c>
      <c r="L498" s="2" t="s">
        <v>493</v>
      </c>
      <c r="M498" s="2"/>
      <c r="N498" s="2" t="str">
        <f>DitrbFlota[[#This Row],[TIPO BUS]]&amp;"-"&amp;DitrbFlota[[#This Row],[MARCA CHASIS]]</f>
        <v>BE-FOTON</v>
      </c>
      <c r="O498" s="2">
        <f>MONTH(DitrbFlota[[#This Row],[Inicio Operación]])</f>
        <v>3</v>
      </c>
      <c r="P498" s="2">
        <f>YEAR(DitrbFlota[[#This Row],[Inicio Operación]])</f>
        <v>2023</v>
      </c>
      <c r="Q498" s="29">
        <v>90</v>
      </c>
    </row>
    <row r="499" spans="1:18" hidden="1">
      <c r="A499" s="7" t="s">
        <v>421</v>
      </c>
      <c r="B499" s="2" t="s">
        <v>813</v>
      </c>
      <c r="C499" s="2">
        <v>7041</v>
      </c>
      <c r="D499" s="2" t="s">
        <v>147</v>
      </c>
      <c r="E499" s="2" t="s">
        <v>13</v>
      </c>
      <c r="F499" s="2" t="s">
        <v>149</v>
      </c>
      <c r="G499" s="277" t="s">
        <v>493</v>
      </c>
      <c r="H499" s="277" t="s">
        <v>493</v>
      </c>
      <c r="I499" s="277">
        <v>45003</v>
      </c>
      <c r="J499" s="2" t="s">
        <v>1341</v>
      </c>
      <c r="K499" s="2" t="s">
        <v>841</v>
      </c>
      <c r="L499" s="2" t="s">
        <v>493</v>
      </c>
      <c r="M499" s="2"/>
      <c r="N499" s="2" t="str">
        <f>DitrbFlota[[#This Row],[TIPO BUS]]&amp;"-"&amp;DitrbFlota[[#This Row],[MARCA CHASIS]]</f>
        <v>BE-FOTON</v>
      </c>
      <c r="O499" s="2">
        <f>MONTH(DitrbFlota[[#This Row],[Inicio Operación]])</f>
        <v>3</v>
      </c>
      <c r="P499" s="2">
        <f>YEAR(DitrbFlota[[#This Row],[Inicio Operación]])</f>
        <v>2023</v>
      </c>
      <c r="Q499" s="29">
        <v>90</v>
      </c>
      <c r="R499" s="351"/>
    </row>
    <row r="500" spans="1:18" hidden="1">
      <c r="A500" s="7" t="s">
        <v>421</v>
      </c>
      <c r="B500" s="2" t="s">
        <v>814</v>
      </c>
      <c r="C500" s="2">
        <v>7043</v>
      </c>
      <c r="D500" s="2" t="s">
        <v>147</v>
      </c>
      <c r="E500" s="2" t="s">
        <v>13</v>
      </c>
      <c r="F500" s="2" t="s">
        <v>149</v>
      </c>
      <c r="G500" s="277" t="s">
        <v>493</v>
      </c>
      <c r="H500" s="277" t="s">
        <v>493</v>
      </c>
      <c r="I500" s="277">
        <v>45003</v>
      </c>
      <c r="J500" s="2" t="s">
        <v>1341</v>
      </c>
      <c r="K500" s="2" t="s">
        <v>841</v>
      </c>
      <c r="L500" s="2" t="s">
        <v>493</v>
      </c>
      <c r="M500" s="2"/>
      <c r="N500" s="2" t="str">
        <f>DitrbFlota[[#This Row],[TIPO BUS]]&amp;"-"&amp;DitrbFlota[[#This Row],[MARCA CHASIS]]</f>
        <v>BE-FOTON</v>
      </c>
      <c r="O500" s="2">
        <f>MONTH(DitrbFlota[[#This Row],[Inicio Operación]])</f>
        <v>3</v>
      </c>
      <c r="P500" s="2">
        <f>YEAR(DitrbFlota[[#This Row],[Inicio Operación]])</f>
        <v>2023</v>
      </c>
      <c r="Q500" s="29">
        <v>90</v>
      </c>
      <c r="R500" s="351"/>
    </row>
    <row r="501" spans="1:18" hidden="1">
      <c r="A501" s="7" t="s">
        <v>421</v>
      </c>
      <c r="B501" s="2" t="s">
        <v>815</v>
      </c>
      <c r="C501" s="2">
        <v>7044</v>
      </c>
      <c r="D501" s="2" t="s">
        <v>147</v>
      </c>
      <c r="E501" s="2" t="s">
        <v>13</v>
      </c>
      <c r="F501" s="2" t="s">
        <v>149</v>
      </c>
      <c r="G501" s="277" t="s">
        <v>493</v>
      </c>
      <c r="H501" s="277" t="s">
        <v>493</v>
      </c>
      <c r="I501" s="277">
        <v>45003</v>
      </c>
      <c r="J501" s="2" t="s">
        <v>1341</v>
      </c>
      <c r="K501" s="2" t="s">
        <v>841</v>
      </c>
      <c r="L501" s="2" t="s">
        <v>493</v>
      </c>
      <c r="M501" s="2"/>
      <c r="N501" s="2" t="str">
        <f>DitrbFlota[[#This Row],[TIPO BUS]]&amp;"-"&amp;DitrbFlota[[#This Row],[MARCA CHASIS]]</f>
        <v>BE-FOTON</v>
      </c>
      <c r="O501" s="2">
        <f>MONTH(DitrbFlota[[#This Row],[Inicio Operación]])</f>
        <v>3</v>
      </c>
      <c r="P501" s="2">
        <f>YEAR(DitrbFlota[[#This Row],[Inicio Operación]])</f>
        <v>2023</v>
      </c>
      <c r="Q501" s="29">
        <v>90</v>
      </c>
      <c r="R501" s="351"/>
    </row>
    <row r="502" spans="1:18" hidden="1">
      <c r="A502" s="7" t="s">
        <v>421</v>
      </c>
      <c r="B502" s="2" t="s">
        <v>593</v>
      </c>
      <c r="C502" s="2">
        <v>7045</v>
      </c>
      <c r="D502" s="2" t="s">
        <v>147</v>
      </c>
      <c r="E502" s="2" t="s">
        <v>13</v>
      </c>
      <c r="F502" s="2" t="s">
        <v>149</v>
      </c>
      <c r="G502" s="277" t="s">
        <v>493</v>
      </c>
      <c r="H502" s="277" t="s">
        <v>493</v>
      </c>
      <c r="I502" s="277">
        <v>45003</v>
      </c>
      <c r="J502" s="2" t="s">
        <v>1341</v>
      </c>
      <c r="K502" s="2" t="s">
        <v>841</v>
      </c>
      <c r="L502" s="2" t="s">
        <v>493</v>
      </c>
      <c r="M502" s="2"/>
      <c r="N502" s="2" t="str">
        <f>DitrbFlota[[#This Row],[TIPO BUS]]&amp;"-"&amp;DitrbFlota[[#This Row],[MARCA CHASIS]]</f>
        <v>BE-FOTON</v>
      </c>
      <c r="O502" s="2">
        <f>MONTH(DitrbFlota[[#This Row],[Inicio Operación]])</f>
        <v>3</v>
      </c>
      <c r="P502" s="2">
        <f>YEAR(DitrbFlota[[#This Row],[Inicio Operación]])</f>
        <v>2023</v>
      </c>
      <c r="Q502" s="29">
        <v>90</v>
      </c>
    </row>
    <row r="503" spans="1:18" hidden="1">
      <c r="A503" s="7" t="s">
        <v>421</v>
      </c>
      <c r="B503" s="2" t="s">
        <v>594</v>
      </c>
      <c r="C503" s="2">
        <v>7046</v>
      </c>
      <c r="D503" s="2" t="s">
        <v>147</v>
      </c>
      <c r="E503" s="2" t="s">
        <v>13</v>
      </c>
      <c r="F503" s="2" t="s">
        <v>149</v>
      </c>
      <c r="G503" s="277" t="s">
        <v>493</v>
      </c>
      <c r="H503" s="277" t="s">
        <v>493</v>
      </c>
      <c r="I503" s="277">
        <v>45003</v>
      </c>
      <c r="J503" s="2" t="s">
        <v>1341</v>
      </c>
      <c r="K503" s="2" t="s">
        <v>841</v>
      </c>
      <c r="L503" s="2" t="s">
        <v>493</v>
      </c>
      <c r="M503" s="2"/>
      <c r="N503" s="2" t="str">
        <f>DitrbFlota[[#This Row],[TIPO BUS]]&amp;"-"&amp;DitrbFlota[[#This Row],[MARCA CHASIS]]</f>
        <v>BE-FOTON</v>
      </c>
      <c r="O503" s="2">
        <f>MONTH(DitrbFlota[[#This Row],[Inicio Operación]])</f>
        <v>3</v>
      </c>
      <c r="P503" s="2">
        <f>YEAR(DitrbFlota[[#This Row],[Inicio Operación]])</f>
        <v>2023</v>
      </c>
      <c r="Q503" s="29">
        <v>90</v>
      </c>
    </row>
    <row r="504" spans="1:18" hidden="1">
      <c r="A504" s="7" t="s">
        <v>421</v>
      </c>
      <c r="B504" s="2" t="s">
        <v>595</v>
      </c>
      <c r="C504" s="2">
        <v>7047</v>
      </c>
      <c r="D504" s="2" t="s">
        <v>147</v>
      </c>
      <c r="E504" s="2" t="s">
        <v>13</v>
      </c>
      <c r="F504" s="2" t="s">
        <v>149</v>
      </c>
      <c r="G504" s="277" t="s">
        <v>493</v>
      </c>
      <c r="H504" s="277" t="s">
        <v>493</v>
      </c>
      <c r="I504" s="277">
        <v>45003</v>
      </c>
      <c r="J504" s="2" t="s">
        <v>1341</v>
      </c>
      <c r="K504" s="2" t="s">
        <v>841</v>
      </c>
      <c r="L504" s="2" t="s">
        <v>493</v>
      </c>
      <c r="M504" s="2"/>
      <c r="N504" s="2" t="str">
        <f>DitrbFlota[[#This Row],[TIPO BUS]]&amp;"-"&amp;DitrbFlota[[#This Row],[MARCA CHASIS]]</f>
        <v>BE-FOTON</v>
      </c>
      <c r="O504" s="2">
        <f>MONTH(DitrbFlota[[#This Row],[Inicio Operación]])</f>
        <v>3</v>
      </c>
      <c r="P504" s="2">
        <f>YEAR(DitrbFlota[[#This Row],[Inicio Operación]])</f>
        <v>2023</v>
      </c>
      <c r="Q504" s="29">
        <v>90</v>
      </c>
    </row>
    <row r="505" spans="1:18" hidden="1">
      <c r="A505" s="7" t="s">
        <v>421</v>
      </c>
      <c r="B505" s="2" t="s">
        <v>597</v>
      </c>
      <c r="C505" s="2">
        <v>7049</v>
      </c>
      <c r="D505" s="2" t="s">
        <v>147</v>
      </c>
      <c r="E505" s="2" t="s">
        <v>13</v>
      </c>
      <c r="F505" s="2" t="s">
        <v>149</v>
      </c>
      <c r="G505" s="277" t="s">
        <v>493</v>
      </c>
      <c r="H505" s="277" t="s">
        <v>493</v>
      </c>
      <c r="I505" s="277">
        <v>45003</v>
      </c>
      <c r="J505" s="2" t="s">
        <v>1341</v>
      </c>
      <c r="K505" s="2" t="s">
        <v>841</v>
      </c>
      <c r="L505" s="2" t="s">
        <v>493</v>
      </c>
      <c r="M505" s="2"/>
      <c r="N505" s="2" t="str">
        <f>DitrbFlota[[#This Row],[TIPO BUS]]&amp;"-"&amp;DitrbFlota[[#This Row],[MARCA CHASIS]]</f>
        <v>BE-FOTON</v>
      </c>
      <c r="O505" s="2">
        <f>MONTH(DitrbFlota[[#This Row],[Inicio Operación]])</f>
        <v>3</v>
      </c>
      <c r="P505" s="2">
        <f>YEAR(DitrbFlota[[#This Row],[Inicio Operación]])</f>
        <v>2023</v>
      </c>
      <c r="Q505" s="29">
        <v>90</v>
      </c>
    </row>
    <row r="506" spans="1:18" hidden="1">
      <c r="A506" s="7" t="s">
        <v>421</v>
      </c>
      <c r="B506" s="2" t="s">
        <v>598</v>
      </c>
      <c r="C506" s="2">
        <v>7050</v>
      </c>
      <c r="D506" s="2" t="s">
        <v>147</v>
      </c>
      <c r="E506" s="2" t="s">
        <v>13</v>
      </c>
      <c r="F506" s="2" t="s">
        <v>149</v>
      </c>
      <c r="G506" s="277" t="s">
        <v>493</v>
      </c>
      <c r="H506" s="277" t="s">
        <v>493</v>
      </c>
      <c r="I506" s="277">
        <v>45003</v>
      </c>
      <c r="J506" s="2" t="s">
        <v>1341</v>
      </c>
      <c r="K506" s="2" t="s">
        <v>841</v>
      </c>
      <c r="L506" s="2" t="s">
        <v>493</v>
      </c>
      <c r="M506" s="2"/>
      <c r="N506" s="2" t="str">
        <f>DitrbFlota[[#This Row],[TIPO BUS]]&amp;"-"&amp;DitrbFlota[[#This Row],[MARCA CHASIS]]</f>
        <v>BE-FOTON</v>
      </c>
      <c r="O506" s="2">
        <f>MONTH(DitrbFlota[[#This Row],[Inicio Operación]])</f>
        <v>3</v>
      </c>
      <c r="P506" s="2">
        <f>YEAR(DitrbFlota[[#This Row],[Inicio Operación]])</f>
        <v>2023</v>
      </c>
      <c r="Q506" s="29">
        <v>90</v>
      </c>
    </row>
    <row r="507" spans="1:18" hidden="1">
      <c r="A507" s="7" t="s">
        <v>421</v>
      </c>
      <c r="B507" s="2" t="s">
        <v>600</v>
      </c>
      <c r="C507" s="2">
        <v>7052</v>
      </c>
      <c r="D507" s="2" t="s">
        <v>147</v>
      </c>
      <c r="E507" s="2" t="s">
        <v>13</v>
      </c>
      <c r="F507" s="2" t="s">
        <v>149</v>
      </c>
      <c r="G507" s="277" t="s">
        <v>493</v>
      </c>
      <c r="H507" s="277" t="s">
        <v>493</v>
      </c>
      <c r="I507" s="277">
        <v>45003</v>
      </c>
      <c r="J507" s="2" t="s">
        <v>1341</v>
      </c>
      <c r="K507" s="2" t="s">
        <v>841</v>
      </c>
      <c r="L507" s="2" t="s">
        <v>493</v>
      </c>
      <c r="M507" s="2"/>
      <c r="N507" s="2" t="str">
        <f>DitrbFlota[[#This Row],[TIPO BUS]]&amp;"-"&amp;DitrbFlota[[#This Row],[MARCA CHASIS]]</f>
        <v>BE-FOTON</v>
      </c>
      <c r="O507" s="2">
        <f>MONTH(DitrbFlota[[#This Row],[Inicio Operación]])</f>
        <v>3</v>
      </c>
      <c r="P507" s="2">
        <f>YEAR(DitrbFlota[[#This Row],[Inicio Operación]])</f>
        <v>2023</v>
      </c>
      <c r="Q507" s="29">
        <v>90</v>
      </c>
    </row>
    <row r="508" spans="1:18" hidden="1">
      <c r="A508" s="7" t="s">
        <v>421</v>
      </c>
      <c r="B508" s="2" t="s">
        <v>601</v>
      </c>
      <c r="C508" s="2">
        <v>7053</v>
      </c>
      <c r="D508" s="2" t="s">
        <v>147</v>
      </c>
      <c r="E508" s="2" t="s">
        <v>13</v>
      </c>
      <c r="F508" s="2" t="s">
        <v>149</v>
      </c>
      <c r="G508" s="277" t="s">
        <v>493</v>
      </c>
      <c r="H508" s="277" t="s">
        <v>493</v>
      </c>
      <c r="I508" s="277">
        <v>45003</v>
      </c>
      <c r="J508" s="2" t="s">
        <v>1341</v>
      </c>
      <c r="K508" s="2" t="s">
        <v>841</v>
      </c>
      <c r="L508" s="2" t="s">
        <v>493</v>
      </c>
      <c r="M508" s="2"/>
      <c r="N508" s="2" t="str">
        <f>DitrbFlota[[#This Row],[TIPO BUS]]&amp;"-"&amp;DitrbFlota[[#This Row],[MARCA CHASIS]]</f>
        <v>BE-FOTON</v>
      </c>
      <c r="O508" s="2">
        <f>MONTH(DitrbFlota[[#This Row],[Inicio Operación]])</f>
        <v>3</v>
      </c>
      <c r="P508" s="2">
        <f>YEAR(DitrbFlota[[#This Row],[Inicio Operación]])</f>
        <v>2023</v>
      </c>
      <c r="Q508" s="29">
        <v>90</v>
      </c>
    </row>
    <row r="509" spans="1:18" hidden="1">
      <c r="A509" s="7" t="s">
        <v>421</v>
      </c>
      <c r="B509" s="2" t="s">
        <v>602</v>
      </c>
      <c r="C509" s="2">
        <v>7054</v>
      </c>
      <c r="D509" s="2" t="s">
        <v>147</v>
      </c>
      <c r="E509" s="2" t="s">
        <v>13</v>
      </c>
      <c r="F509" s="2" t="s">
        <v>149</v>
      </c>
      <c r="G509" s="277" t="s">
        <v>493</v>
      </c>
      <c r="H509" s="277" t="s">
        <v>493</v>
      </c>
      <c r="I509" s="277">
        <v>45003</v>
      </c>
      <c r="J509" s="2" t="s">
        <v>1341</v>
      </c>
      <c r="K509" s="2" t="s">
        <v>841</v>
      </c>
      <c r="L509" s="2" t="s">
        <v>493</v>
      </c>
      <c r="M509" s="2"/>
      <c r="N509" s="2" t="str">
        <f>DitrbFlota[[#This Row],[TIPO BUS]]&amp;"-"&amp;DitrbFlota[[#This Row],[MARCA CHASIS]]</f>
        <v>BE-FOTON</v>
      </c>
      <c r="O509" s="2">
        <f>MONTH(DitrbFlota[[#This Row],[Inicio Operación]])</f>
        <v>3</v>
      </c>
      <c r="P509" s="2">
        <f>YEAR(DitrbFlota[[#This Row],[Inicio Operación]])</f>
        <v>2023</v>
      </c>
      <c r="Q509" s="29">
        <v>90</v>
      </c>
    </row>
    <row r="510" spans="1:18" hidden="1">
      <c r="A510" s="7" t="s">
        <v>421</v>
      </c>
      <c r="B510" s="2" t="s">
        <v>603</v>
      </c>
      <c r="C510" s="2">
        <v>7055</v>
      </c>
      <c r="D510" s="2" t="s">
        <v>147</v>
      </c>
      <c r="E510" s="2" t="s">
        <v>13</v>
      </c>
      <c r="F510" s="2" t="s">
        <v>149</v>
      </c>
      <c r="G510" s="277" t="s">
        <v>493</v>
      </c>
      <c r="H510" s="277" t="s">
        <v>493</v>
      </c>
      <c r="I510" s="277">
        <v>45003</v>
      </c>
      <c r="J510" s="2" t="s">
        <v>1341</v>
      </c>
      <c r="K510" s="2" t="s">
        <v>841</v>
      </c>
      <c r="L510" s="2" t="s">
        <v>493</v>
      </c>
      <c r="M510" s="2"/>
      <c r="N510" s="2" t="str">
        <f>DitrbFlota[[#This Row],[TIPO BUS]]&amp;"-"&amp;DitrbFlota[[#This Row],[MARCA CHASIS]]</f>
        <v>BE-FOTON</v>
      </c>
      <c r="O510" s="2">
        <f>MONTH(DitrbFlota[[#This Row],[Inicio Operación]])</f>
        <v>3</v>
      </c>
      <c r="P510" s="2">
        <f>YEAR(DitrbFlota[[#This Row],[Inicio Operación]])</f>
        <v>2023</v>
      </c>
      <c r="Q510" s="29">
        <v>90</v>
      </c>
    </row>
    <row r="511" spans="1:18" hidden="1">
      <c r="A511" s="7" t="s">
        <v>421</v>
      </c>
      <c r="B511" s="2" t="s">
        <v>604</v>
      </c>
      <c r="C511" s="2">
        <v>7056</v>
      </c>
      <c r="D511" s="2" t="s">
        <v>147</v>
      </c>
      <c r="E511" s="2" t="s">
        <v>13</v>
      </c>
      <c r="F511" s="2" t="s">
        <v>149</v>
      </c>
      <c r="G511" s="277" t="s">
        <v>493</v>
      </c>
      <c r="H511" s="277" t="s">
        <v>493</v>
      </c>
      <c r="I511" s="277">
        <v>45003</v>
      </c>
      <c r="J511" s="2" t="s">
        <v>1341</v>
      </c>
      <c r="K511" s="2" t="s">
        <v>841</v>
      </c>
      <c r="L511" s="2" t="s">
        <v>493</v>
      </c>
      <c r="M511" s="2"/>
      <c r="N511" s="2" t="str">
        <f>DitrbFlota[[#This Row],[TIPO BUS]]&amp;"-"&amp;DitrbFlota[[#This Row],[MARCA CHASIS]]</f>
        <v>BE-FOTON</v>
      </c>
      <c r="O511" s="2">
        <f>MONTH(DitrbFlota[[#This Row],[Inicio Operación]])</f>
        <v>3</v>
      </c>
      <c r="P511" s="2">
        <f>YEAR(DitrbFlota[[#This Row],[Inicio Operación]])</f>
        <v>2023</v>
      </c>
      <c r="Q511" s="29">
        <v>90</v>
      </c>
    </row>
    <row r="512" spans="1:18" hidden="1">
      <c r="A512" s="7" t="s">
        <v>421</v>
      </c>
      <c r="B512" s="2" t="s">
        <v>605</v>
      </c>
      <c r="C512" s="2">
        <v>7057</v>
      </c>
      <c r="D512" s="2" t="s">
        <v>147</v>
      </c>
      <c r="E512" s="2" t="s">
        <v>13</v>
      </c>
      <c r="F512" s="2" t="s">
        <v>149</v>
      </c>
      <c r="G512" s="277" t="s">
        <v>493</v>
      </c>
      <c r="H512" s="277" t="s">
        <v>493</v>
      </c>
      <c r="I512" s="277">
        <v>45003</v>
      </c>
      <c r="J512" s="2" t="s">
        <v>1341</v>
      </c>
      <c r="K512" s="2" t="s">
        <v>841</v>
      </c>
      <c r="L512" s="2" t="s">
        <v>493</v>
      </c>
      <c r="M512" s="2"/>
      <c r="N512" s="2" t="str">
        <f>DitrbFlota[[#This Row],[TIPO BUS]]&amp;"-"&amp;DitrbFlota[[#This Row],[MARCA CHASIS]]</f>
        <v>BE-FOTON</v>
      </c>
      <c r="O512" s="2">
        <f>MONTH(DitrbFlota[[#This Row],[Inicio Operación]])</f>
        <v>3</v>
      </c>
      <c r="P512" s="2">
        <f>YEAR(DitrbFlota[[#This Row],[Inicio Operación]])</f>
        <v>2023</v>
      </c>
      <c r="Q512" s="29">
        <v>90</v>
      </c>
    </row>
    <row r="513" spans="1:18" hidden="1">
      <c r="A513" s="7" t="s">
        <v>421</v>
      </c>
      <c r="B513" s="2" t="s">
        <v>606</v>
      </c>
      <c r="C513" s="2">
        <v>7058</v>
      </c>
      <c r="D513" s="2" t="s">
        <v>147</v>
      </c>
      <c r="E513" s="2" t="s">
        <v>13</v>
      </c>
      <c r="F513" s="2" t="s">
        <v>149</v>
      </c>
      <c r="G513" s="277" t="s">
        <v>493</v>
      </c>
      <c r="H513" s="277" t="s">
        <v>493</v>
      </c>
      <c r="I513" s="277">
        <v>45003</v>
      </c>
      <c r="J513" s="2" t="s">
        <v>1341</v>
      </c>
      <c r="K513" s="2" t="s">
        <v>841</v>
      </c>
      <c r="L513" s="2" t="s">
        <v>493</v>
      </c>
      <c r="M513" s="2"/>
      <c r="N513" s="2" t="str">
        <f>DitrbFlota[[#This Row],[TIPO BUS]]&amp;"-"&amp;DitrbFlota[[#This Row],[MARCA CHASIS]]</f>
        <v>BE-FOTON</v>
      </c>
      <c r="O513" s="2">
        <f>MONTH(DitrbFlota[[#This Row],[Inicio Operación]])</f>
        <v>3</v>
      </c>
      <c r="P513" s="2">
        <f>YEAR(DitrbFlota[[#This Row],[Inicio Operación]])</f>
        <v>2023</v>
      </c>
      <c r="Q513" s="29">
        <v>90</v>
      </c>
    </row>
    <row r="514" spans="1:18" hidden="1">
      <c r="A514" s="7" t="s">
        <v>421</v>
      </c>
      <c r="B514" s="2" t="s">
        <v>607</v>
      </c>
      <c r="C514" s="2">
        <v>7060</v>
      </c>
      <c r="D514" s="2" t="s">
        <v>147</v>
      </c>
      <c r="E514" s="2" t="s">
        <v>13</v>
      </c>
      <c r="F514" s="2" t="s">
        <v>149</v>
      </c>
      <c r="G514" s="277" t="s">
        <v>493</v>
      </c>
      <c r="H514" s="277" t="s">
        <v>493</v>
      </c>
      <c r="I514" s="277">
        <v>45003</v>
      </c>
      <c r="J514" s="2" t="s">
        <v>1341</v>
      </c>
      <c r="K514" s="2" t="s">
        <v>841</v>
      </c>
      <c r="L514" s="2" t="s">
        <v>493</v>
      </c>
      <c r="M514" s="2"/>
      <c r="N514" s="2" t="str">
        <f>DitrbFlota[[#This Row],[TIPO BUS]]&amp;"-"&amp;DitrbFlota[[#This Row],[MARCA CHASIS]]</f>
        <v>BE-FOTON</v>
      </c>
      <c r="O514" s="2">
        <f>MONTH(DitrbFlota[[#This Row],[Inicio Operación]])</f>
        <v>3</v>
      </c>
      <c r="P514" s="2">
        <f>YEAR(DitrbFlota[[#This Row],[Inicio Operación]])</f>
        <v>2023</v>
      </c>
      <c r="Q514" s="29">
        <v>90</v>
      </c>
    </row>
    <row r="515" spans="1:18" hidden="1">
      <c r="A515" s="7" t="s">
        <v>421</v>
      </c>
      <c r="B515" s="2" t="s">
        <v>608</v>
      </c>
      <c r="C515" s="2">
        <v>7061</v>
      </c>
      <c r="D515" s="2" t="s">
        <v>147</v>
      </c>
      <c r="E515" s="2" t="s">
        <v>13</v>
      </c>
      <c r="F515" s="2" t="s">
        <v>149</v>
      </c>
      <c r="G515" s="277" t="s">
        <v>493</v>
      </c>
      <c r="H515" s="277" t="s">
        <v>493</v>
      </c>
      <c r="I515" s="277">
        <v>45003</v>
      </c>
      <c r="J515" s="2" t="s">
        <v>1341</v>
      </c>
      <c r="K515" s="2" t="s">
        <v>841</v>
      </c>
      <c r="L515" s="2" t="s">
        <v>493</v>
      </c>
      <c r="M515" s="2"/>
      <c r="N515" s="2" t="str">
        <f>DitrbFlota[[#This Row],[TIPO BUS]]&amp;"-"&amp;DitrbFlota[[#This Row],[MARCA CHASIS]]</f>
        <v>BE-FOTON</v>
      </c>
      <c r="O515" s="2">
        <f>MONTH(DitrbFlota[[#This Row],[Inicio Operación]])</f>
        <v>3</v>
      </c>
      <c r="P515" s="2">
        <f>YEAR(DitrbFlota[[#This Row],[Inicio Operación]])</f>
        <v>2023</v>
      </c>
      <c r="Q515" s="29">
        <v>90</v>
      </c>
    </row>
    <row r="516" spans="1:18">
      <c r="A516" s="7" t="s">
        <v>421</v>
      </c>
      <c r="B516" s="2" t="s">
        <v>809</v>
      </c>
      <c r="C516" s="2">
        <v>7194</v>
      </c>
      <c r="D516" s="2" t="s">
        <v>147</v>
      </c>
      <c r="E516" s="352" t="s">
        <v>25</v>
      </c>
      <c r="F516" s="2" t="s">
        <v>149</v>
      </c>
      <c r="G516" s="277" t="s">
        <v>674</v>
      </c>
      <c r="H516" s="277" t="s">
        <v>674</v>
      </c>
      <c r="I516" s="277">
        <v>45696</v>
      </c>
      <c r="J516" s="2" t="s">
        <v>830</v>
      </c>
      <c r="K516" s="2" t="s">
        <v>840</v>
      </c>
      <c r="L516" s="277" t="s">
        <v>674</v>
      </c>
      <c r="M516" s="2"/>
      <c r="N516" s="2" t="str">
        <f>DitrbFlota[[#This Row],[TIPO BUS]]&amp;"-"&amp;DitrbFlota[[#This Row],[MARCA CHASIS]]</f>
        <v>BE-FOTON</v>
      </c>
      <c r="O516" s="2">
        <f>MONTH(DitrbFlota[[#This Row],[Inicio Operación]])</f>
        <v>2</v>
      </c>
      <c r="P516" s="2">
        <f>YEAR(DitrbFlota[[#This Row],[Inicio Operación]])</f>
        <v>2025</v>
      </c>
      <c r="Q516" s="29">
        <v>90</v>
      </c>
    </row>
    <row r="517" spans="1:18" hidden="1">
      <c r="A517" s="7" t="s">
        <v>421</v>
      </c>
      <c r="B517" s="2" t="s">
        <v>610</v>
      </c>
      <c r="C517" s="2">
        <v>7063</v>
      </c>
      <c r="D517" s="2" t="s">
        <v>147</v>
      </c>
      <c r="E517" s="2" t="s">
        <v>13</v>
      </c>
      <c r="F517" s="2" t="s">
        <v>149</v>
      </c>
      <c r="G517" s="277" t="s">
        <v>493</v>
      </c>
      <c r="H517" s="277" t="s">
        <v>493</v>
      </c>
      <c r="I517" s="277">
        <v>45003</v>
      </c>
      <c r="J517" s="2" t="s">
        <v>1341</v>
      </c>
      <c r="K517" s="2" t="s">
        <v>841</v>
      </c>
      <c r="L517" s="2" t="s">
        <v>493</v>
      </c>
      <c r="M517" s="2"/>
      <c r="N517" s="2" t="str">
        <f>DitrbFlota[[#This Row],[TIPO BUS]]&amp;"-"&amp;DitrbFlota[[#This Row],[MARCA CHASIS]]</f>
        <v>BE-FOTON</v>
      </c>
      <c r="O517" s="2">
        <f>MONTH(DitrbFlota[[#This Row],[Inicio Operación]])</f>
        <v>3</v>
      </c>
      <c r="P517" s="2">
        <f>YEAR(DitrbFlota[[#This Row],[Inicio Operación]])</f>
        <v>2023</v>
      </c>
      <c r="Q517" s="29">
        <v>90</v>
      </c>
    </row>
    <row r="518" spans="1:18" hidden="1">
      <c r="A518" s="7" t="s">
        <v>421</v>
      </c>
      <c r="B518" s="2" t="s">
        <v>611</v>
      </c>
      <c r="C518" s="2">
        <v>7064</v>
      </c>
      <c r="D518" s="2" t="s">
        <v>147</v>
      </c>
      <c r="E518" s="2" t="s">
        <v>13</v>
      </c>
      <c r="F518" s="2" t="s">
        <v>149</v>
      </c>
      <c r="G518" s="277" t="s">
        <v>493</v>
      </c>
      <c r="H518" s="277" t="s">
        <v>493</v>
      </c>
      <c r="I518" s="277">
        <v>45003</v>
      </c>
      <c r="J518" s="2" t="s">
        <v>1341</v>
      </c>
      <c r="K518" s="2" t="s">
        <v>841</v>
      </c>
      <c r="L518" s="2" t="s">
        <v>493</v>
      </c>
      <c r="M518" s="2"/>
      <c r="N518" s="2" t="str">
        <f>DitrbFlota[[#This Row],[TIPO BUS]]&amp;"-"&amp;DitrbFlota[[#This Row],[MARCA CHASIS]]</f>
        <v>BE-FOTON</v>
      </c>
      <c r="O518" s="2">
        <f>MONTH(DitrbFlota[[#This Row],[Inicio Operación]])</f>
        <v>3</v>
      </c>
      <c r="P518" s="2">
        <f>YEAR(DitrbFlota[[#This Row],[Inicio Operación]])</f>
        <v>2023</v>
      </c>
      <c r="Q518" s="29">
        <v>90</v>
      </c>
    </row>
    <row r="519" spans="1:18" hidden="1">
      <c r="A519" s="7" t="s">
        <v>421</v>
      </c>
      <c r="B519" s="2" t="s">
        <v>817</v>
      </c>
      <c r="C519" s="2">
        <v>7065</v>
      </c>
      <c r="D519" s="2" t="s">
        <v>147</v>
      </c>
      <c r="E519" s="2" t="s">
        <v>13</v>
      </c>
      <c r="F519" s="2" t="s">
        <v>149</v>
      </c>
      <c r="G519" s="277" t="s">
        <v>493</v>
      </c>
      <c r="H519" s="277" t="s">
        <v>493</v>
      </c>
      <c r="I519" s="277">
        <v>45003</v>
      </c>
      <c r="J519" s="2" t="s">
        <v>1341</v>
      </c>
      <c r="K519" s="2" t="s">
        <v>841</v>
      </c>
      <c r="L519" s="2" t="s">
        <v>493</v>
      </c>
      <c r="M519" s="2"/>
      <c r="N519" s="2" t="str">
        <f>DitrbFlota[[#This Row],[TIPO BUS]]&amp;"-"&amp;DitrbFlota[[#This Row],[MARCA CHASIS]]</f>
        <v>BE-FOTON</v>
      </c>
      <c r="O519" s="2">
        <f>MONTH(DitrbFlota[[#This Row],[Inicio Operación]])</f>
        <v>3</v>
      </c>
      <c r="P519" s="2">
        <f>YEAR(DitrbFlota[[#This Row],[Inicio Operación]])</f>
        <v>2023</v>
      </c>
      <c r="Q519" s="29">
        <v>90</v>
      </c>
      <c r="R519" s="351"/>
    </row>
    <row r="520" spans="1:18" hidden="1">
      <c r="A520" s="7" t="s">
        <v>421</v>
      </c>
      <c r="B520" s="2" t="s">
        <v>612</v>
      </c>
      <c r="C520" s="2">
        <v>7067</v>
      </c>
      <c r="D520" s="2" t="s">
        <v>147</v>
      </c>
      <c r="E520" s="2" t="s">
        <v>13</v>
      </c>
      <c r="F520" s="2" t="s">
        <v>149</v>
      </c>
      <c r="G520" s="277" t="s">
        <v>493</v>
      </c>
      <c r="H520" s="277" t="s">
        <v>493</v>
      </c>
      <c r="I520" s="277">
        <v>45003</v>
      </c>
      <c r="J520" s="2" t="s">
        <v>1341</v>
      </c>
      <c r="K520" s="2" t="s">
        <v>841</v>
      </c>
      <c r="L520" s="2" t="s">
        <v>493</v>
      </c>
      <c r="M520" s="2"/>
      <c r="N520" s="2" t="str">
        <f>DitrbFlota[[#This Row],[TIPO BUS]]&amp;"-"&amp;DitrbFlota[[#This Row],[MARCA CHASIS]]</f>
        <v>BE-FOTON</v>
      </c>
      <c r="O520" s="2">
        <f>MONTH(DitrbFlota[[#This Row],[Inicio Operación]])</f>
        <v>3</v>
      </c>
      <c r="P520" s="2">
        <f>YEAR(DitrbFlota[[#This Row],[Inicio Operación]])</f>
        <v>2023</v>
      </c>
      <c r="Q520" s="29">
        <v>90</v>
      </c>
    </row>
    <row r="521" spans="1:18" hidden="1">
      <c r="A521" s="7" t="s">
        <v>421</v>
      </c>
      <c r="B521" s="2" t="s">
        <v>614</v>
      </c>
      <c r="C521" s="2">
        <v>7070</v>
      </c>
      <c r="D521" s="2" t="s">
        <v>147</v>
      </c>
      <c r="E521" s="2" t="s">
        <v>13</v>
      </c>
      <c r="F521" s="2" t="s">
        <v>149</v>
      </c>
      <c r="G521" s="277" t="s">
        <v>493</v>
      </c>
      <c r="H521" s="277" t="s">
        <v>493</v>
      </c>
      <c r="I521" s="277">
        <v>45003</v>
      </c>
      <c r="J521" s="2" t="s">
        <v>1341</v>
      </c>
      <c r="K521" s="2" t="s">
        <v>841</v>
      </c>
      <c r="L521" s="2" t="s">
        <v>493</v>
      </c>
      <c r="M521" s="2"/>
      <c r="N521" s="2" t="str">
        <f>DitrbFlota[[#This Row],[TIPO BUS]]&amp;"-"&amp;DitrbFlota[[#This Row],[MARCA CHASIS]]</f>
        <v>BE-FOTON</v>
      </c>
      <c r="O521" s="2">
        <f>MONTH(DitrbFlota[[#This Row],[Inicio Operación]])</f>
        <v>3</v>
      </c>
      <c r="P521" s="2">
        <f>YEAR(DitrbFlota[[#This Row],[Inicio Operación]])</f>
        <v>2023</v>
      </c>
      <c r="Q521" s="29">
        <v>90</v>
      </c>
    </row>
    <row r="522" spans="1:18" hidden="1">
      <c r="A522" s="7" t="s">
        <v>421</v>
      </c>
      <c r="B522" s="2" t="s">
        <v>615</v>
      </c>
      <c r="C522" s="2">
        <v>7072</v>
      </c>
      <c r="D522" s="2" t="s">
        <v>147</v>
      </c>
      <c r="E522" s="2" t="s">
        <v>13</v>
      </c>
      <c r="F522" s="2" t="s">
        <v>149</v>
      </c>
      <c r="G522" s="277" t="s">
        <v>493</v>
      </c>
      <c r="H522" s="277" t="s">
        <v>493</v>
      </c>
      <c r="I522" s="277">
        <v>45003</v>
      </c>
      <c r="J522" s="2" t="s">
        <v>1341</v>
      </c>
      <c r="K522" s="2" t="s">
        <v>841</v>
      </c>
      <c r="L522" s="2" t="s">
        <v>493</v>
      </c>
      <c r="M522" s="2"/>
      <c r="N522" s="2" t="str">
        <f>DitrbFlota[[#This Row],[TIPO BUS]]&amp;"-"&amp;DitrbFlota[[#This Row],[MARCA CHASIS]]</f>
        <v>BE-FOTON</v>
      </c>
      <c r="O522" s="2">
        <f>MONTH(DitrbFlota[[#This Row],[Inicio Operación]])</f>
        <v>3</v>
      </c>
      <c r="P522" s="2">
        <f>YEAR(DitrbFlota[[#This Row],[Inicio Operación]])</f>
        <v>2023</v>
      </c>
      <c r="Q522" s="29">
        <v>90</v>
      </c>
    </row>
    <row r="523" spans="1:18" hidden="1">
      <c r="A523" s="7" t="s">
        <v>421</v>
      </c>
      <c r="B523" s="2" t="s">
        <v>616</v>
      </c>
      <c r="C523" s="2">
        <v>7073</v>
      </c>
      <c r="D523" s="2" t="s">
        <v>147</v>
      </c>
      <c r="E523" s="2" t="s">
        <v>13</v>
      </c>
      <c r="F523" s="2" t="s">
        <v>149</v>
      </c>
      <c r="G523" s="277" t="s">
        <v>493</v>
      </c>
      <c r="H523" s="277" t="s">
        <v>493</v>
      </c>
      <c r="I523" s="277">
        <v>45003</v>
      </c>
      <c r="J523" s="2" t="s">
        <v>1341</v>
      </c>
      <c r="K523" s="2" t="s">
        <v>841</v>
      </c>
      <c r="L523" s="2" t="s">
        <v>493</v>
      </c>
      <c r="M523" s="2"/>
      <c r="N523" s="2" t="str">
        <f>DitrbFlota[[#This Row],[TIPO BUS]]&amp;"-"&amp;DitrbFlota[[#This Row],[MARCA CHASIS]]</f>
        <v>BE-FOTON</v>
      </c>
      <c r="O523" s="2">
        <f>MONTH(DitrbFlota[[#This Row],[Inicio Operación]])</f>
        <v>3</v>
      </c>
      <c r="P523" s="2">
        <f>YEAR(DitrbFlota[[#This Row],[Inicio Operación]])</f>
        <v>2023</v>
      </c>
      <c r="Q523" s="29">
        <v>90</v>
      </c>
    </row>
    <row r="524" spans="1:18" hidden="1">
      <c r="A524" s="7" t="s">
        <v>421</v>
      </c>
      <c r="B524" s="2" t="s">
        <v>617</v>
      </c>
      <c r="C524" s="2">
        <v>7074</v>
      </c>
      <c r="D524" s="2" t="s">
        <v>147</v>
      </c>
      <c r="E524" s="2" t="s">
        <v>13</v>
      </c>
      <c r="F524" s="2" t="s">
        <v>149</v>
      </c>
      <c r="G524" s="277" t="s">
        <v>493</v>
      </c>
      <c r="H524" s="277" t="s">
        <v>493</v>
      </c>
      <c r="I524" s="277">
        <v>45003</v>
      </c>
      <c r="J524" s="2" t="s">
        <v>1341</v>
      </c>
      <c r="K524" s="2" t="s">
        <v>841</v>
      </c>
      <c r="L524" s="2" t="s">
        <v>493</v>
      </c>
      <c r="M524" s="2"/>
      <c r="N524" s="2" t="str">
        <f>DitrbFlota[[#This Row],[TIPO BUS]]&amp;"-"&amp;DitrbFlota[[#This Row],[MARCA CHASIS]]</f>
        <v>BE-FOTON</v>
      </c>
      <c r="O524" s="2">
        <f>MONTH(DitrbFlota[[#This Row],[Inicio Operación]])</f>
        <v>3</v>
      </c>
      <c r="P524" s="2">
        <f>YEAR(DitrbFlota[[#This Row],[Inicio Operación]])</f>
        <v>2023</v>
      </c>
      <c r="Q524" s="29">
        <v>90</v>
      </c>
    </row>
    <row r="525" spans="1:18" hidden="1">
      <c r="A525" s="7" t="s">
        <v>421</v>
      </c>
      <c r="B525" s="2" t="s">
        <v>618</v>
      </c>
      <c r="C525" s="2">
        <v>7075</v>
      </c>
      <c r="D525" s="2" t="s">
        <v>147</v>
      </c>
      <c r="E525" s="2" t="s">
        <v>13</v>
      </c>
      <c r="F525" s="2" t="s">
        <v>149</v>
      </c>
      <c r="G525" s="277" t="s">
        <v>493</v>
      </c>
      <c r="H525" s="277" t="s">
        <v>493</v>
      </c>
      <c r="I525" s="277">
        <v>45003</v>
      </c>
      <c r="J525" s="2" t="s">
        <v>1341</v>
      </c>
      <c r="K525" s="2" t="s">
        <v>841</v>
      </c>
      <c r="L525" s="2" t="s">
        <v>493</v>
      </c>
      <c r="M525" s="2"/>
      <c r="N525" s="2" t="str">
        <f>DitrbFlota[[#This Row],[TIPO BUS]]&amp;"-"&amp;DitrbFlota[[#This Row],[MARCA CHASIS]]</f>
        <v>BE-FOTON</v>
      </c>
      <c r="O525" s="2">
        <f>MONTH(DitrbFlota[[#This Row],[Inicio Operación]])</f>
        <v>3</v>
      </c>
      <c r="P525" s="2">
        <f>YEAR(DitrbFlota[[#This Row],[Inicio Operación]])</f>
        <v>2023</v>
      </c>
      <c r="Q525" s="29">
        <v>90</v>
      </c>
    </row>
    <row r="526" spans="1:18" hidden="1">
      <c r="A526" s="7" t="s">
        <v>421</v>
      </c>
      <c r="B526" s="2" t="s">
        <v>619</v>
      </c>
      <c r="C526" s="2">
        <v>7076</v>
      </c>
      <c r="D526" s="2" t="s">
        <v>147</v>
      </c>
      <c r="E526" s="2" t="s">
        <v>13</v>
      </c>
      <c r="F526" s="2" t="s">
        <v>149</v>
      </c>
      <c r="G526" s="277" t="s">
        <v>493</v>
      </c>
      <c r="H526" s="277" t="s">
        <v>493</v>
      </c>
      <c r="I526" s="277">
        <v>45003</v>
      </c>
      <c r="J526" s="2" t="s">
        <v>1341</v>
      </c>
      <c r="K526" s="2" t="s">
        <v>841</v>
      </c>
      <c r="L526" s="2" t="s">
        <v>493</v>
      </c>
      <c r="M526" s="2"/>
      <c r="N526" s="2" t="str">
        <f>DitrbFlota[[#This Row],[TIPO BUS]]&amp;"-"&amp;DitrbFlota[[#This Row],[MARCA CHASIS]]</f>
        <v>BE-FOTON</v>
      </c>
      <c r="O526" s="2">
        <f>MONTH(DitrbFlota[[#This Row],[Inicio Operación]])</f>
        <v>3</v>
      </c>
      <c r="P526" s="2">
        <f>YEAR(DitrbFlota[[#This Row],[Inicio Operación]])</f>
        <v>2023</v>
      </c>
      <c r="Q526" s="29">
        <v>90</v>
      </c>
    </row>
    <row r="527" spans="1:18" hidden="1">
      <c r="A527" s="7" t="s">
        <v>421</v>
      </c>
      <c r="B527" s="2" t="s">
        <v>621</v>
      </c>
      <c r="C527" s="2">
        <v>7078</v>
      </c>
      <c r="D527" s="2" t="s">
        <v>147</v>
      </c>
      <c r="E527" s="2" t="s">
        <v>13</v>
      </c>
      <c r="F527" s="2" t="s">
        <v>149</v>
      </c>
      <c r="G527" s="277" t="s">
        <v>493</v>
      </c>
      <c r="H527" s="277" t="s">
        <v>493</v>
      </c>
      <c r="I527" s="277">
        <v>45003</v>
      </c>
      <c r="J527" s="2" t="s">
        <v>1341</v>
      </c>
      <c r="K527" s="2" t="s">
        <v>841</v>
      </c>
      <c r="L527" s="2" t="s">
        <v>493</v>
      </c>
      <c r="M527" s="2"/>
      <c r="N527" s="2" t="str">
        <f>DitrbFlota[[#This Row],[TIPO BUS]]&amp;"-"&amp;DitrbFlota[[#This Row],[MARCA CHASIS]]</f>
        <v>BE-FOTON</v>
      </c>
      <c r="O527" s="2">
        <f>MONTH(DitrbFlota[[#This Row],[Inicio Operación]])</f>
        <v>3</v>
      </c>
      <c r="P527" s="2">
        <f>YEAR(DitrbFlota[[#This Row],[Inicio Operación]])</f>
        <v>2023</v>
      </c>
      <c r="Q527" s="29">
        <v>90</v>
      </c>
    </row>
    <row r="528" spans="1:18" hidden="1">
      <c r="A528" s="7" t="s">
        <v>421</v>
      </c>
      <c r="B528" s="2" t="s">
        <v>622</v>
      </c>
      <c r="C528" s="2">
        <v>7079</v>
      </c>
      <c r="D528" s="2" t="s">
        <v>147</v>
      </c>
      <c r="E528" s="2" t="s">
        <v>13</v>
      </c>
      <c r="F528" s="2" t="s">
        <v>149</v>
      </c>
      <c r="G528" s="277" t="s">
        <v>493</v>
      </c>
      <c r="H528" s="277" t="s">
        <v>493</v>
      </c>
      <c r="I528" s="277">
        <v>45003</v>
      </c>
      <c r="J528" s="2" t="s">
        <v>1341</v>
      </c>
      <c r="K528" s="2" t="s">
        <v>841</v>
      </c>
      <c r="L528" s="2" t="s">
        <v>493</v>
      </c>
      <c r="M528" s="2"/>
      <c r="N528" s="2" t="str">
        <f>DitrbFlota[[#This Row],[TIPO BUS]]&amp;"-"&amp;DitrbFlota[[#This Row],[MARCA CHASIS]]</f>
        <v>BE-FOTON</v>
      </c>
      <c r="O528" s="2">
        <f>MONTH(DitrbFlota[[#This Row],[Inicio Operación]])</f>
        <v>3</v>
      </c>
      <c r="P528" s="2">
        <f>YEAR(DitrbFlota[[#This Row],[Inicio Operación]])</f>
        <v>2023</v>
      </c>
      <c r="Q528" s="29">
        <v>90</v>
      </c>
    </row>
    <row r="529" spans="1:17" hidden="1">
      <c r="A529" s="7" t="s">
        <v>421</v>
      </c>
      <c r="B529" s="2" t="s">
        <v>624</v>
      </c>
      <c r="C529" s="2">
        <v>7081</v>
      </c>
      <c r="D529" s="2" t="s">
        <v>147</v>
      </c>
      <c r="E529" s="2" t="s">
        <v>13</v>
      </c>
      <c r="F529" s="2" t="s">
        <v>149</v>
      </c>
      <c r="G529" s="277" t="s">
        <v>493</v>
      </c>
      <c r="H529" s="277" t="s">
        <v>493</v>
      </c>
      <c r="I529" s="277">
        <v>45003</v>
      </c>
      <c r="J529" s="2" t="s">
        <v>1341</v>
      </c>
      <c r="K529" s="2" t="s">
        <v>841</v>
      </c>
      <c r="L529" s="2" t="s">
        <v>493</v>
      </c>
      <c r="M529" s="2"/>
      <c r="N529" s="2" t="str">
        <f>DitrbFlota[[#This Row],[TIPO BUS]]&amp;"-"&amp;DitrbFlota[[#This Row],[MARCA CHASIS]]</f>
        <v>BE-FOTON</v>
      </c>
      <c r="O529" s="2">
        <f>MONTH(DitrbFlota[[#This Row],[Inicio Operación]])</f>
        <v>3</v>
      </c>
      <c r="P529" s="2">
        <f>YEAR(DitrbFlota[[#This Row],[Inicio Operación]])</f>
        <v>2023</v>
      </c>
      <c r="Q529" s="29">
        <v>90</v>
      </c>
    </row>
    <row r="530" spans="1:17" hidden="1">
      <c r="A530" s="7" t="s">
        <v>421</v>
      </c>
      <c r="B530" s="2" t="s">
        <v>626</v>
      </c>
      <c r="C530" s="2">
        <v>7083</v>
      </c>
      <c r="D530" s="2" t="s">
        <v>147</v>
      </c>
      <c r="E530" s="2" t="s">
        <v>13</v>
      </c>
      <c r="F530" s="2" t="s">
        <v>149</v>
      </c>
      <c r="G530" s="277" t="s">
        <v>493</v>
      </c>
      <c r="H530" s="277" t="s">
        <v>493</v>
      </c>
      <c r="I530" s="277">
        <v>45003</v>
      </c>
      <c r="J530" s="2" t="s">
        <v>1341</v>
      </c>
      <c r="K530" s="2" t="s">
        <v>841</v>
      </c>
      <c r="L530" s="2" t="s">
        <v>493</v>
      </c>
      <c r="M530" s="2"/>
      <c r="N530" s="2" t="str">
        <f>DitrbFlota[[#This Row],[TIPO BUS]]&amp;"-"&amp;DitrbFlota[[#This Row],[MARCA CHASIS]]</f>
        <v>BE-FOTON</v>
      </c>
      <c r="O530" s="2">
        <f>MONTH(DitrbFlota[[#This Row],[Inicio Operación]])</f>
        <v>3</v>
      </c>
      <c r="P530" s="2">
        <f>YEAR(DitrbFlota[[#This Row],[Inicio Operación]])</f>
        <v>2023</v>
      </c>
      <c r="Q530" s="29">
        <v>90</v>
      </c>
    </row>
    <row r="531" spans="1:17" hidden="1">
      <c r="A531" s="7" t="s">
        <v>421</v>
      </c>
      <c r="B531" s="2" t="s">
        <v>628</v>
      </c>
      <c r="C531" s="2">
        <v>7085</v>
      </c>
      <c r="D531" s="2" t="s">
        <v>147</v>
      </c>
      <c r="E531" s="2" t="s">
        <v>13</v>
      </c>
      <c r="F531" s="2" t="s">
        <v>149</v>
      </c>
      <c r="G531" s="277" t="s">
        <v>493</v>
      </c>
      <c r="H531" s="277" t="s">
        <v>493</v>
      </c>
      <c r="I531" s="277">
        <v>45003</v>
      </c>
      <c r="J531" s="2" t="s">
        <v>1341</v>
      </c>
      <c r="K531" s="2" t="s">
        <v>841</v>
      </c>
      <c r="L531" s="2" t="s">
        <v>493</v>
      </c>
      <c r="M531" s="2"/>
      <c r="N531" s="2" t="str">
        <f>DitrbFlota[[#This Row],[TIPO BUS]]&amp;"-"&amp;DitrbFlota[[#This Row],[MARCA CHASIS]]</f>
        <v>BE-FOTON</v>
      </c>
      <c r="O531" s="2">
        <f>MONTH(DitrbFlota[[#This Row],[Inicio Operación]])</f>
        <v>3</v>
      </c>
      <c r="P531" s="2">
        <f>YEAR(DitrbFlota[[#This Row],[Inicio Operación]])</f>
        <v>2023</v>
      </c>
      <c r="Q531" s="29">
        <v>90</v>
      </c>
    </row>
    <row r="532" spans="1:17" hidden="1">
      <c r="A532" s="7" t="s">
        <v>421</v>
      </c>
      <c r="B532" s="2" t="s">
        <v>629</v>
      </c>
      <c r="C532" s="2">
        <v>7087</v>
      </c>
      <c r="D532" s="2" t="s">
        <v>147</v>
      </c>
      <c r="E532" s="2" t="s">
        <v>13</v>
      </c>
      <c r="F532" s="2" t="s">
        <v>149</v>
      </c>
      <c r="G532" s="277" t="s">
        <v>493</v>
      </c>
      <c r="H532" s="277" t="s">
        <v>493</v>
      </c>
      <c r="I532" s="277">
        <v>45003</v>
      </c>
      <c r="J532" s="2" t="s">
        <v>1341</v>
      </c>
      <c r="K532" s="2" t="s">
        <v>841</v>
      </c>
      <c r="L532" s="2" t="s">
        <v>493</v>
      </c>
      <c r="M532" s="2"/>
      <c r="N532" s="2" t="str">
        <f>DitrbFlota[[#This Row],[TIPO BUS]]&amp;"-"&amp;DitrbFlota[[#This Row],[MARCA CHASIS]]</f>
        <v>BE-FOTON</v>
      </c>
      <c r="O532" s="2">
        <f>MONTH(DitrbFlota[[#This Row],[Inicio Operación]])</f>
        <v>3</v>
      </c>
      <c r="P532" s="2">
        <f>YEAR(DitrbFlota[[#This Row],[Inicio Operación]])</f>
        <v>2023</v>
      </c>
      <c r="Q532" s="29">
        <v>90</v>
      </c>
    </row>
    <row r="533" spans="1:17">
      <c r="A533" s="7" t="s">
        <v>421</v>
      </c>
      <c r="B533" s="2" t="s">
        <v>810</v>
      </c>
      <c r="C533" s="2">
        <v>7195</v>
      </c>
      <c r="D533" s="2" t="s">
        <v>147</v>
      </c>
      <c r="E533" s="352" t="s">
        <v>25</v>
      </c>
      <c r="F533" s="2" t="s">
        <v>149</v>
      </c>
      <c r="G533" s="277" t="s">
        <v>674</v>
      </c>
      <c r="H533" s="277" t="s">
        <v>674</v>
      </c>
      <c r="I533" s="277">
        <v>45693</v>
      </c>
      <c r="J533" s="2" t="s">
        <v>830</v>
      </c>
      <c r="K533" s="2" t="s">
        <v>840</v>
      </c>
      <c r="L533" s="277" t="s">
        <v>674</v>
      </c>
      <c r="M533" s="2"/>
      <c r="N533" s="2" t="str">
        <f>DitrbFlota[[#This Row],[TIPO BUS]]&amp;"-"&amp;DitrbFlota[[#This Row],[MARCA CHASIS]]</f>
        <v>BE-FOTON</v>
      </c>
      <c r="O533" s="2">
        <f>MONTH(DitrbFlota[[#This Row],[Inicio Operación]])</f>
        <v>2</v>
      </c>
      <c r="P533" s="2">
        <f>YEAR(DitrbFlota[[#This Row],[Inicio Operación]])</f>
        <v>2025</v>
      </c>
      <c r="Q533" s="29">
        <v>90</v>
      </c>
    </row>
    <row r="534" spans="1:17" hidden="1">
      <c r="A534" s="7" t="s">
        <v>421</v>
      </c>
      <c r="B534" s="2" t="s">
        <v>632</v>
      </c>
      <c r="C534" s="2">
        <v>7091</v>
      </c>
      <c r="D534" s="2" t="s">
        <v>147</v>
      </c>
      <c r="E534" s="2" t="s">
        <v>13</v>
      </c>
      <c r="F534" s="2" t="s">
        <v>149</v>
      </c>
      <c r="G534" s="277" t="s">
        <v>493</v>
      </c>
      <c r="H534" s="277" t="s">
        <v>493</v>
      </c>
      <c r="I534" s="277">
        <v>45003</v>
      </c>
      <c r="J534" s="2" t="s">
        <v>1341</v>
      </c>
      <c r="K534" s="2" t="s">
        <v>841</v>
      </c>
      <c r="L534" s="2" t="s">
        <v>493</v>
      </c>
      <c r="M534" s="2"/>
      <c r="N534" s="2" t="str">
        <f>DitrbFlota[[#This Row],[TIPO BUS]]&amp;"-"&amp;DitrbFlota[[#This Row],[MARCA CHASIS]]</f>
        <v>BE-FOTON</v>
      </c>
      <c r="O534" s="2">
        <f>MONTH(DitrbFlota[[#This Row],[Inicio Operación]])</f>
        <v>3</v>
      </c>
      <c r="P534" s="2">
        <f>YEAR(DitrbFlota[[#This Row],[Inicio Operación]])</f>
        <v>2023</v>
      </c>
      <c r="Q534" s="29">
        <v>90</v>
      </c>
    </row>
    <row r="535" spans="1:17">
      <c r="A535" s="7" t="s">
        <v>421</v>
      </c>
      <c r="B535" s="2" t="s">
        <v>811</v>
      </c>
      <c r="C535" s="2">
        <v>7196</v>
      </c>
      <c r="D535" s="2" t="s">
        <v>147</v>
      </c>
      <c r="E535" s="352" t="s">
        <v>25</v>
      </c>
      <c r="F535" s="2" t="s">
        <v>149</v>
      </c>
      <c r="G535" s="277" t="s">
        <v>674</v>
      </c>
      <c r="H535" s="277" t="s">
        <v>674</v>
      </c>
      <c r="I535" s="277">
        <v>45692</v>
      </c>
      <c r="J535" s="2" t="s">
        <v>830</v>
      </c>
      <c r="K535" s="2" t="s">
        <v>840</v>
      </c>
      <c r="L535" s="277" t="s">
        <v>674</v>
      </c>
      <c r="M535" s="2"/>
      <c r="N535" s="2" t="str">
        <f>DitrbFlota[[#This Row],[TIPO BUS]]&amp;"-"&amp;DitrbFlota[[#This Row],[MARCA CHASIS]]</f>
        <v>BE-FOTON</v>
      </c>
      <c r="O535" s="2">
        <f>MONTH(DitrbFlota[[#This Row],[Inicio Operación]])</f>
        <v>2</v>
      </c>
      <c r="P535" s="2">
        <f>YEAR(DitrbFlota[[#This Row],[Inicio Operación]])</f>
        <v>2025</v>
      </c>
      <c r="Q535" s="29">
        <v>90</v>
      </c>
    </row>
    <row r="536" spans="1:17" hidden="1">
      <c r="A536" s="7" t="s">
        <v>421</v>
      </c>
      <c r="B536" s="2" t="s">
        <v>634</v>
      </c>
      <c r="C536" s="2">
        <v>7093</v>
      </c>
      <c r="D536" s="2" t="s">
        <v>147</v>
      </c>
      <c r="E536" s="2" t="s">
        <v>13</v>
      </c>
      <c r="F536" s="2" t="s">
        <v>149</v>
      </c>
      <c r="G536" s="277" t="s">
        <v>493</v>
      </c>
      <c r="H536" s="277" t="s">
        <v>493</v>
      </c>
      <c r="I536" s="277">
        <v>45003</v>
      </c>
      <c r="J536" s="2" t="s">
        <v>1341</v>
      </c>
      <c r="K536" s="2" t="s">
        <v>841</v>
      </c>
      <c r="L536" s="2" t="s">
        <v>493</v>
      </c>
      <c r="M536" s="2"/>
      <c r="N536" s="2" t="str">
        <f>DitrbFlota[[#This Row],[TIPO BUS]]&amp;"-"&amp;DitrbFlota[[#This Row],[MARCA CHASIS]]</f>
        <v>BE-FOTON</v>
      </c>
      <c r="O536" s="2">
        <f>MONTH(DitrbFlota[[#This Row],[Inicio Operación]])</f>
        <v>3</v>
      </c>
      <c r="P536" s="2">
        <f>YEAR(DitrbFlota[[#This Row],[Inicio Operación]])</f>
        <v>2023</v>
      </c>
      <c r="Q536" s="29">
        <v>90</v>
      </c>
    </row>
    <row r="537" spans="1:17" hidden="1">
      <c r="A537" s="7" t="s">
        <v>421</v>
      </c>
      <c r="B537" s="2" t="s">
        <v>635</v>
      </c>
      <c r="C537" s="2">
        <v>7095</v>
      </c>
      <c r="D537" s="2" t="s">
        <v>147</v>
      </c>
      <c r="E537" s="2" t="s">
        <v>13</v>
      </c>
      <c r="F537" s="2" t="s">
        <v>149</v>
      </c>
      <c r="G537" s="277" t="s">
        <v>493</v>
      </c>
      <c r="H537" s="277" t="s">
        <v>493</v>
      </c>
      <c r="I537" s="277">
        <v>45003</v>
      </c>
      <c r="J537" s="2" t="s">
        <v>1341</v>
      </c>
      <c r="K537" s="2" t="s">
        <v>841</v>
      </c>
      <c r="L537" s="2" t="s">
        <v>493</v>
      </c>
      <c r="M537" s="2"/>
      <c r="N537" s="2" t="str">
        <f>DitrbFlota[[#This Row],[TIPO BUS]]&amp;"-"&amp;DitrbFlota[[#This Row],[MARCA CHASIS]]</f>
        <v>BE-FOTON</v>
      </c>
      <c r="O537" s="2">
        <f>MONTH(DitrbFlota[[#This Row],[Inicio Operación]])</f>
        <v>3</v>
      </c>
      <c r="P537" s="2">
        <f>YEAR(DitrbFlota[[#This Row],[Inicio Operación]])</f>
        <v>2023</v>
      </c>
      <c r="Q537" s="29">
        <v>90</v>
      </c>
    </row>
    <row r="538" spans="1:17" hidden="1">
      <c r="A538" s="7" t="s">
        <v>421</v>
      </c>
      <c r="B538" s="2" t="s">
        <v>636</v>
      </c>
      <c r="C538" s="2">
        <v>7096</v>
      </c>
      <c r="D538" s="2" t="s">
        <v>147</v>
      </c>
      <c r="E538" s="2" t="s">
        <v>13</v>
      </c>
      <c r="F538" s="2" t="s">
        <v>149</v>
      </c>
      <c r="G538" s="277" t="s">
        <v>493</v>
      </c>
      <c r="H538" s="277" t="s">
        <v>493</v>
      </c>
      <c r="I538" s="277">
        <v>45003</v>
      </c>
      <c r="J538" s="2" t="s">
        <v>1341</v>
      </c>
      <c r="K538" s="2" t="s">
        <v>841</v>
      </c>
      <c r="L538" s="2" t="s">
        <v>493</v>
      </c>
      <c r="M538" s="2"/>
      <c r="N538" s="2" t="str">
        <f>DitrbFlota[[#This Row],[TIPO BUS]]&amp;"-"&amp;DitrbFlota[[#This Row],[MARCA CHASIS]]</f>
        <v>BE-FOTON</v>
      </c>
      <c r="O538" s="2">
        <f>MONTH(DitrbFlota[[#This Row],[Inicio Operación]])</f>
        <v>3</v>
      </c>
      <c r="P538" s="2">
        <f>YEAR(DitrbFlota[[#This Row],[Inicio Operación]])</f>
        <v>2023</v>
      </c>
      <c r="Q538" s="29">
        <v>90</v>
      </c>
    </row>
    <row r="539" spans="1:17" hidden="1">
      <c r="A539" s="7" t="s">
        <v>421</v>
      </c>
      <c r="B539" s="2" t="s">
        <v>637</v>
      </c>
      <c r="C539" s="2">
        <v>7097</v>
      </c>
      <c r="D539" s="2" t="s">
        <v>147</v>
      </c>
      <c r="E539" s="2" t="s">
        <v>13</v>
      </c>
      <c r="F539" s="2" t="s">
        <v>149</v>
      </c>
      <c r="G539" s="277" t="s">
        <v>493</v>
      </c>
      <c r="H539" s="277" t="s">
        <v>493</v>
      </c>
      <c r="I539" s="277">
        <v>45003</v>
      </c>
      <c r="J539" s="2" t="s">
        <v>1341</v>
      </c>
      <c r="K539" s="2" t="s">
        <v>841</v>
      </c>
      <c r="L539" s="2" t="s">
        <v>493</v>
      </c>
      <c r="M539" s="2"/>
      <c r="N539" s="2" t="str">
        <f>DitrbFlota[[#This Row],[TIPO BUS]]&amp;"-"&amp;DitrbFlota[[#This Row],[MARCA CHASIS]]</f>
        <v>BE-FOTON</v>
      </c>
      <c r="O539" s="2">
        <f>MONTH(DitrbFlota[[#This Row],[Inicio Operación]])</f>
        <v>3</v>
      </c>
      <c r="P539" s="2">
        <f>YEAR(DitrbFlota[[#This Row],[Inicio Operación]])</f>
        <v>2023</v>
      </c>
      <c r="Q539" s="29">
        <v>90</v>
      </c>
    </row>
    <row r="540" spans="1:17" hidden="1">
      <c r="A540" s="7" t="s">
        <v>421</v>
      </c>
      <c r="B540" s="2" t="s">
        <v>638</v>
      </c>
      <c r="C540" s="2">
        <v>7099</v>
      </c>
      <c r="D540" s="2" t="s">
        <v>147</v>
      </c>
      <c r="E540" s="2" t="s">
        <v>13</v>
      </c>
      <c r="F540" s="2" t="s">
        <v>149</v>
      </c>
      <c r="G540" s="277" t="s">
        <v>493</v>
      </c>
      <c r="H540" s="277" t="s">
        <v>493</v>
      </c>
      <c r="I540" s="277">
        <v>45003</v>
      </c>
      <c r="J540" s="2" t="s">
        <v>1341</v>
      </c>
      <c r="K540" s="2" t="s">
        <v>841</v>
      </c>
      <c r="L540" s="2" t="s">
        <v>493</v>
      </c>
      <c r="M540" s="2"/>
      <c r="N540" s="2" t="str">
        <f>DitrbFlota[[#This Row],[TIPO BUS]]&amp;"-"&amp;DitrbFlota[[#This Row],[MARCA CHASIS]]</f>
        <v>BE-FOTON</v>
      </c>
      <c r="O540" s="2">
        <f>MONTH(DitrbFlota[[#This Row],[Inicio Operación]])</f>
        <v>3</v>
      </c>
      <c r="P540" s="2">
        <f>YEAR(DitrbFlota[[#This Row],[Inicio Operación]])</f>
        <v>2023</v>
      </c>
      <c r="Q540" s="29">
        <v>90</v>
      </c>
    </row>
    <row r="541" spans="1:17" hidden="1">
      <c r="A541" s="7" t="s">
        <v>421</v>
      </c>
      <c r="B541" s="2" t="s">
        <v>639</v>
      </c>
      <c r="C541" s="2">
        <v>7100</v>
      </c>
      <c r="D541" s="2" t="s">
        <v>147</v>
      </c>
      <c r="E541" s="2" t="s">
        <v>13</v>
      </c>
      <c r="F541" s="2" t="s">
        <v>149</v>
      </c>
      <c r="G541" s="277" t="s">
        <v>493</v>
      </c>
      <c r="H541" s="277" t="s">
        <v>493</v>
      </c>
      <c r="I541" s="277">
        <v>45003</v>
      </c>
      <c r="J541" s="2" t="s">
        <v>1341</v>
      </c>
      <c r="K541" s="2" t="s">
        <v>841</v>
      </c>
      <c r="L541" s="2" t="s">
        <v>493</v>
      </c>
      <c r="M541" s="2"/>
      <c r="N541" s="2" t="str">
        <f>DitrbFlota[[#This Row],[TIPO BUS]]&amp;"-"&amp;DitrbFlota[[#This Row],[MARCA CHASIS]]</f>
        <v>BE-FOTON</v>
      </c>
      <c r="O541" s="2">
        <f>MONTH(DitrbFlota[[#This Row],[Inicio Operación]])</f>
        <v>3</v>
      </c>
      <c r="P541" s="2">
        <f>YEAR(DitrbFlota[[#This Row],[Inicio Operación]])</f>
        <v>2023</v>
      </c>
      <c r="Q541" s="29">
        <v>90</v>
      </c>
    </row>
    <row r="542" spans="1:17" hidden="1">
      <c r="A542" s="7" t="s">
        <v>421</v>
      </c>
      <c r="B542" s="2" t="s">
        <v>640</v>
      </c>
      <c r="C542" s="2">
        <v>7101</v>
      </c>
      <c r="D542" s="2" t="s">
        <v>147</v>
      </c>
      <c r="E542" s="2" t="s">
        <v>13</v>
      </c>
      <c r="F542" s="2" t="s">
        <v>149</v>
      </c>
      <c r="G542" s="277" t="s">
        <v>493</v>
      </c>
      <c r="H542" s="277" t="s">
        <v>493</v>
      </c>
      <c r="I542" s="277">
        <v>45003</v>
      </c>
      <c r="J542" s="2" t="s">
        <v>1341</v>
      </c>
      <c r="K542" s="2" t="s">
        <v>841</v>
      </c>
      <c r="L542" s="2" t="s">
        <v>493</v>
      </c>
      <c r="M542" s="2"/>
      <c r="N542" s="2" t="str">
        <f>DitrbFlota[[#This Row],[TIPO BUS]]&amp;"-"&amp;DitrbFlota[[#This Row],[MARCA CHASIS]]</f>
        <v>BE-FOTON</v>
      </c>
      <c r="O542" s="2">
        <f>MONTH(DitrbFlota[[#This Row],[Inicio Operación]])</f>
        <v>3</v>
      </c>
      <c r="P542" s="2">
        <f>YEAR(DitrbFlota[[#This Row],[Inicio Operación]])</f>
        <v>2023</v>
      </c>
      <c r="Q542" s="29">
        <v>90</v>
      </c>
    </row>
    <row r="543" spans="1:17" hidden="1">
      <c r="A543" s="7" t="s">
        <v>421</v>
      </c>
      <c r="B543" s="2" t="s">
        <v>641</v>
      </c>
      <c r="C543" s="2">
        <v>7102</v>
      </c>
      <c r="D543" s="2" t="s">
        <v>147</v>
      </c>
      <c r="E543" s="2" t="s">
        <v>13</v>
      </c>
      <c r="F543" s="2" t="s">
        <v>149</v>
      </c>
      <c r="G543" s="277" t="s">
        <v>493</v>
      </c>
      <c r="H543" s="277" t="s">
        <v>493</v>
      </c>
      <c r="I543" s="277">
        <v>45003</v>
      </c>
      <c r="J543" s="2" t="s">
        <v>1341</v>
      </c>
      <c r="K543" s="2" t="s">
        <v>841</v>
      </c>
      <c r="L543" s="2" t="s">
        <v>493</v>
      </c>
      <c r="M543" s="2"/>
      <c r="N543" s="2" t="str">
        <f>DitrbFlota[[#This Row],[TIPO BUS]]&amp;"-"&amp;DitrbFlota[[#This Row],[MARCA CHASIS]]</f>
        <v>BE-FOTON</v>
      </c>
      <c r="O543" s="2">
        <f>MONTH(DitrbFlota[[#This Row],[Inicio Operación]])</f>
        <v>3</v>
      </c>
      <c r="P543" s="2">
        <f>YEAR(DitrbFlota[[#This Row],[Inicio Operación]])</f>
        <v>2023</v>
      </c>
      <c r="Q543" s="29">
        <v>90</v>
      </c>
    </row>
    <row r="544" spans="1:17" hidden="1">
      <c r="A544" s="7" t="s">
        <v>421</v>
      </c>
      <c r="B544" s="2" t="s">
        <v>642</v>
      </c>
      <c r="C544" s="2">
        <v>7103</v>
      </c>
      <c r="D544" s="2" t="s">
        <v>147</v>
      </c>
      <c r="E544" s="2" t="s">
        <v>13</v>
      </c>
      <c r="F544" s="2" t="s">
        <v>149</v>
      </c>
      <c r="G544" s="277" t="s">
        <v>493</v>
      </c>
      <c r="H544" s="277" t="s">
        <v>493</v>
      </c>
      <c r="I544" s="277">
        <v>45003</v>
      </c>
      <c r="J544" s="2" t="s">
        <v>1341</v>
      </c>
      <c r="K544" s="2" t="s">
        <v>841</v>
      </c>
      <c r="L544" s="2" t="s">
        <v>493</v>
      </c>
      <c r="M544" s="2"/>
      <c r="N544" s="2" t="str">
        <f>DitrbFlota[[#This Row],[TIPO BUS]]&amp;"-"&amp;DitrbFlota[[#This Row],[MARCA CHASIS]]</f>
        <v>BE-FOTON</v>
      </c>
      <c r="O544" s="2">
        <f>MONTH(DitrbFlota[[#This Row],[Inicio Operación]])</f>
        <v>3</v>
      </c>
      <c r="P544" s="2">
        <f>YEAR(DitrbFlota[[#This Row],[Inicio Operación]])</f>
        <v>2023</v>
      </c>
      <c r="Q544" s="29">
        <v>90</v>
      </c>
    </row>
    <row r="545" spans="1:17" hidden="1">
      <c r="A545" s="7" t="s">
        <v>421</v>
      </c>
      <c r="B545" s="2" t="s">
        <v>643</v>
      </c>
      <c r="C545" s="2">
        <v>7104</v>
      </c>
      <c r="D545" s="2" t="s">
        <v>147</v>
      </c>
      <c r="E545" s="2" t="s">
        <v>13</v>
      </c>
      <c r="F545" s="2" t="s">
        <v>149</v>
      </c>
      <c r="G545" s="277" t="s">
        <v>493</v>
      </c>
      <c r="H545" s="277" t="s">
        <v>493</v>
      </c>
      <c r="I545" s="277">
        <v>45003</v>
      </c>
      <c r="J545" s="2" t="s">
        <v>1341</v>
      </c>
      <c r="K545" s="2" t="s">
        <v>841</v>
      </c>
      <c r="L545" s="2" t="s">
        <v>493</v>
      </c>
      <c r="M545" s="2"/>
      <c r="N545" s="2" t="str">
        <f>DitrbFlota[[#This Row],[TIPO BUS]]&amp;"-"&amp;DitrbFlota[[#This Row],[MARCA CHASIS]]</f>
        <v>BE-FOTON</v>
      </c>
      <c r="O545" s="2">
        <f>MONTH(DitrbFlota[[#This Row],[Inicio Operación]])</f>
        <v>3</v>
      </c>
      <c r="P545" s="2">
        <f>YEAR(DitrbFlota[[#This Row],[Inicio Operación]])</f>
        <v>2023</v>
      </c>
      <c r="Q545" s="29">
        <v>90</v>
      </c>
    </row>
    <row r="546" spans="1:17" hidden="1">
      <c r="A546" s="7" t="s">
        <v>421</v>
      </c>
      <c r="B546" s="2" t="s">
        <v>644</v>
      </c>
      <c r="C546" s="2">
        <v>7105</v>
      </c>
      <c r="D546" s="2" t="s">
        <v>147</v>
      </c>
      <c r="E546" s="2" t="s">
        <v>13</v>
      </c>
      <c r="F546" s="2" t="s">
        <v>149</v>
      </c>
      <c r="G546" s="277" t="s">
        <v>493</v>
      </c>
      <c r="H546" s="277" t="s">
        <v>493</v>
      </c>
      <c r="I546" s="277">
        <v>45003</v>
      </c>
      <c r="J546" s="2" t="s">
        <v>1341</v>
      </c>
      <c r="K546" s="2" t="s">
        <v>841</v>
      </c>
      <c r="L546" s="2" t="s">
        <v>493</v>
      </c>
      <c r="M546" s="2"/>
      <c r="N546" s="2" t="str">
        <f>DitrbFlota[[#This Row],[TIPO BUS]]&amp;"-"&amp;DitrbFlota[[#This Row],[MARCA CHASIS]]</f>
        <v>BE-FOTON</v>
      </c>
      <c r="O546" s="2">
        <f>MONTH(DitrbFlota[[#This Row],[Inicio Operación]])</f>
        <v>3</v>
      </c>
      <c r="P546" s="2">
        <f>YEAR(DitrbFlota[[#This Row],[Inicio Operación]])</f>
        <v>2023</v>
      </c>
      <c r="Q546" s="29">
        <v>90</v>
      </c>
    </row>
    <row r="547" spans="1:17" hidden="1">
      <c r="A547" s="7" t="s">
        <v>421</v>
      </c>
      <c r="B547" s="2" t="s">
        <v>645</v>
      </c>
      <c r="C547" s="2">
        <v>7106</v>
      </c>
      <c r="D547" s="2" t="s">
        <v>147</v>
      </c>
      <c r="E547" s="2" t="s">
        <v>13</v>
      </c>
      <c r="F547" s="2" t="s">
        <v>149</v>
      </c>
      <c r="G547" s="277" t="s">
        <v>493</v>
      </c>
      <c r="H547" s="277" t="s">
        <v>493</v>
      </c>
      <c r="I547" s="277">
        <v>45003</v>
      </c>
      <c r="J547" s="2" t="s">
        <v>1341</v>
      </c>
      <c r="K547" s="2" t="s">
        <v>841</v>
      </c>
      <c r="L547" s="2" t="s">
        <v>493</v>
      </c>
      <c r="M547" s="2"/>
      <c r="N547" s="2" t="str">
        <f>DitrbFlota[[#This Row],[TIPO BUS]]&amp;"-"&amp;DitrbFlota[[#This Row],[MARCA CHASIS]]</f>
        <v>BE-FOTON</v>
      </c>
      <c r="O547" s="2">
        <f>MONTH(DitrbFlota[[#This Row],[Inicio Operación]])</f>
        <v>3</v>
      </c>
      <c r="P547" s="2">
        <f>YEAR(DitrbFlota[[#This Row],[Inicio Operación]])</f>
        <v>2023</v>
      </c>
      <c r="Q547" s="29">
        <v>90</v>
      </c>
    </row>
    <row r="548" spans="1:17" hidden="1">
      <c r="A548" s="7" t="s">
        <v>421</v>
      </c>
      <c r="B548" s="2" t="s">
        <v>646</v>
      </c>
      <c r="C548" s="2">
        <v>7107</v>
      </c>
      <c r="D548" s="2" t="s">
        <v>147</v>
      </c>
      <c r="E548" s="2" t="s">
        <v>13</v>
      </c>
      <c r="F548" s="2" t="s">
        <v>149</v>
      </c>
      <c r="G548" s="277" t="s">
        <v>493</v>
      </c>
      <c r="H548" s="277" t="s">
        <v>493</v>
      </c>
      <c r="I548" s="277">
        <v>45003</v>
      </c>
      <c r="J548" s="2" t="s">
        <v>1341</v>
      </c>
      <c r="K548" s="2" t="s">
        <v>841</v>
      </c>
      <c r="L548" s="2" t="s">
        <v>493</v>
      </c>
      <c r="M548" s="2"/>
      <c r="N548" s="2" t="str">
        <f>DitrbFlota[[#This Row],[TIPO BUS]]&amp;"-"&amp;DitrbFlota[[#This Row],[MARCA CHASIS]]</f>
        <v>BE-FOTON</v>
      </c>
      <c r="O548" s="2">
        <f>MONTH(DitrbFlota[[#This Row],[Inicio Operación]])</f>
        <v>3</v>
      </c>
      <c r="P548" s="2">
        <f>YEAR(DitrbFlota[[#This Row],[Inicio Operación]])</f>
        <v>2023</v>
      </c>
      <c r="Q548" s="29">
        <v>90</v>
      </c>
    </row>
    <row r="549" spans="1:17" hidden="1">
      <c r="A549" s="7" t="s">
        <v>421</v>
      </c>
      <c r="B549" s="2" t="s">
        <v>647</v>
      </c>
      <c r="C549" s="2">
        <v>7109</v>
      </c>
      <c r="D549" s="2" t="s">
        <v>147</v>
      </c>
      <c r="E549" s="2" t="s">
        <v>13</v>
      </c>
      <c r="F549" s="2" t="s">
        <v>149</v>
      </c>
      <c r="G549" s="277" t="s">
        <v>493</v>
      </c>
      <c r="H549" s="277" t="s">
        <v>493</v>
      </c>
      <c r="I549" s="277">
        <v>45003</v>
      </c>
      <c r="J549" s="2" t="s">
        <v>1341</v>
      </c>
      <c r="K549" s="2" t="s">
        <v>841</v>
      </c>
      <c r="L549" s="2" t="s">
        <v>493</v>
      </c>
      <c r="M549" s="2"/>
      <c r="N549" s="2" t="str">
        <f>DitrbFlota[[#This Row],[TIPO BUS]]&amp;"-"&amp;DitrbFlota[[#This Row],[MARCA CHASIS]]</f>
        <v>BE-FOTON</v>
      </c>
      <c r="O549" s="2">
        <f>MONTH(DitrbFlota[[#This Row],[Inicio Operación]])</f>
        <v>3</v>
      </c>
      <c r="P549" s="2">
        <f>YEAR(DitrbFlota[[#This Row],[Inicio Operación]])</f>
        <v>2023</v>
      </c>
      <c r="Q549" s="29">
        <v>90</v>
      </c>
    </row>
    <row r="550" spans="1:17" hidden="1">
      <c r="A550" s="7" t="s">
        <v>421</v>
      </c>
      <c r="B550" s="2" t="s">
        <v>648</v>
      </c>
      <c r="C550" s="2">
        <v>7110</v>
      </c>
      <c r="D550" s="2" t="s">
        <v>147</v>
      </c>
      <c r="E550" s="2" t="s">
        <v>13</v>
      </c>
      <c r="F550" s="2" t="s">
        <v>149</v>
      </c>
      <c r="G550" s="277" t="s">
        <v>493</v>
      </c>
      <c r="H550" s="277" t="s">
        <v>493</v>
      </c>
      <c r="I550" s="277">
        <v>45003</v>
      </c>
      <c r="J550" s="2" t="s">
        <v>1341</v>
      </c>
      <c r="K550" s="2" t="s">
        <v>841</v>
      </c>
      <c r="L550" s="2" t="s">
        <v>493</v>
      </c>
      <c r="M550" s="2"/>
      <c r="N550" s="2" t="str">
        <f>DitrbFlota[[#This Row],[TIPO BUS]]&amp;"-"&amp;DitrbFlota[[#This Row],[MARCA CHASIS]]</f>
        <v>BE-FOTON</v>
      </c>
      <c r="O550" s="2">
        <f>MONTH(DitrbFlota[[#This Row],[Inicio Operación]])</f>
        <v>3</v>
      </c>
      <c r="P550" s="2">
        <f>YEAR(DitrbFlota[[#This Row],[Inicio Operación]])</f>
        <v>2023</v>
      </c>
      <c r="Q550" s="29">
        <v>90</v>
      </c>
    </row>
    <row r="551" spans="1:17" hidden="1">
      <c r="A551" s="7" t="s">
        <v>421</v>
      </c>
      <c r="B551" s="2" t="s">
        <v>649</v>
      </c>
      <c r="C551" s="2">
        <v>7111</v>
      </c>
      <c r="D551" s="2" t="s">
        <v>147</v>
      </c>
      <c r="E551" s="2" t="s">
        <v>13</v>
      </c>
      <c r="F551" s="2" t="s">
        <v>149</v>
      </c>
      <c r="G551" s="277" t="s">
        <v>493</v>
      </c>
      <c r="H551" s="277" t="s">
        <v>493</v>
      </c>
      <c r="I551" s="277">
        <v>45003</v>
      </c>
      <c r="J551" s="2" t="s">
        <v>1341</v>
      </c>
      <c r="K551" s="2" t="s">
        <v>841</v>
      </c>
      <c r="L551" s="2" t="s">
        <v>493</v>
      </c>
      <c r="M551" s="2"/>
      <c r="N551" s="2" t="str">
        <f>DitrbFlota[[#This Row],[TIPO BUS]]&amp;"-"&amp;DitrbFlota[[#This Row],[MARCA CHASIS]]</f>
        <v>BE-FOTON</v>
      </c>
      <c r="O551" s="2">
        <f>MONTH(DitrbFlota[[#This Row],[Inicio Operación]])</f>
        <v>3</v>
      </c>
      <c r="P551" s="2">
        <f>YEAR(DitrbFlota[[#This Row],[Inicio Operación]])</f>
        <v>2023</v>
      </c>
      <c r="Q551" s="29">
        <v>90</v>
      </c>
    </row>
    <row r="552" spans="1:17" hidden="1">
      <c r="A552" s="7" t="s">
        <v>421</v>
      </c>
      <c r="B552" s="2" t="s">
        <v>650</v>
      </c>
      <c r="C552" s="2">
        <v>7112</v>
      </c>
      <c r="D552" s="2" t="s">
        <v>147</v>
      </c>
      <c r="E552" s="2" t="s">
        <v>13</v>
      </c>
      <c r="F552" s="2" t="s">
        <v>149</v>
      </c>
      <c r="G552" s="277" t="s">
        <v>493</v>
      </c>
      <c r="H552" s="277" t="s">
        <v>493</v>
      </c>
      <c r="I552" s="277">
        <v>45003</v>
      </c>
      <c r="J552" s="2" t="s">
        <v>1341</v>
      </c>
      <c r="K552" s="2" t="s">
        <v>841</v>
      </c>
      <c r="L552" s="2" t="s">
        <v>493</v>
      </c>
      <c r="M552" s="2"/>
      <c r="N552" s="2" t="str">
        <f>DitrbFlota[[#This Row],[TIPO BUS]]&amp;"-"&amp;DitrbFlota[[#This Row],[MARCA CHASIS]]</f>
        <v>BE-FOTON</v>
      </c>
      <c r="O552" s="2">
        <f>MONTH(DitrbFlota[[#This Row],[Inicio Operación]])</f>
        <v>3</v>
      </c>
      <c r="P552" s="2">
        <f>YEAR(DitrbFlota[[#This Row],[Inicio Operación]])</f>
        <v>2023</v>
      </c>
      <c r="Q552" s="29">
        <v>90</v>
      </c>
    </row>
    <row r="553" spans="1:17" hidden="1">
      <c r="A553" s="7" t="s">
        <v>421</v>
      </c>
      <c r="B553" s="2" t="s">
        <v>651</v>
      </c>
      <c r="C553" s="2">
        <v>7113</v>
      </c>
      <c r="D553" s="2" t="s">
        <v>147</v>
      </c>
      <c r="E553" s="2" t="s">
        <v>13</v>
      </c>
      <c r="F553" s="2" t="s">
        <v>149</v>
      </c>
      <c r="G553" s="277" t="s">
        <v>493</v>
      </c>
      <c r="H553" s="277" t="s">
        <v>493</v>
      </c>
      <c r="I553" s="277">
        <v>45003</v>
      </c>
      <c r="J553" s="2" t="s">
        <v>1341</v>
      </c>
      <c r="K553" s="2" t="s">
        <v>841</v>
      </c>
      <c r="L553" s="2" t="s">
        <v>493</v>
      </c>
      <c r="M553" s="2"/>
      <c r="N553" s="2" t="str">
        <f>DitrbFlota[[#This Row],[TIPO BUS]]&amp;"-"&amp;DitrbFlota[[#This Row],[MARCA CHASIS]]</f>
        <v>BE-FOTON</v>
      </c>
      <c r="O553" s="2">
        <f>MONTH(DitrbFlota[[#This Row],[Inicio Operación]])</f>
        <v>3</v>
      </c>
      <c r="P553" s="2">
        <f>YEAR(DitrbFlota[[#This Row],[Inicio Operación]])</f>
        <v>2023</v>
      </c>
      <c r="Q553" s="29">
        <v>90</v>
      </c>
    </row>
    <row r="554" spans="1:17" hidden="1">
      <c r="A554" s="7" t="s">
        <v>421</v>
      </c>
      <c r="B554" s="2" t="s">
        <v>652</v>
      </c>
      <c r="C554" s="2">
        <v>7114</v>
      </c>
      <c r="D554" s="2" t="s">
        <v>147</v>
      </c>
      <c r="E554" s="2" t="s">
        <v>13</v>
      </c>
      <c r="F554" s="2" t="s">
        <v>149</v>
      </c>
      <c r="G554" s="277" t="s">
        <v>493</v>
      </c>
      <c r="H554" s="277" t="s">
        <v>493</v>
      </c>
      <c r="I554" s="277">
        <v>45003</v>
      </c>
      <c r="J554" s="2" t="s">
        <v>1341</v>
      </c>
      <c r="K554" s="2" t="s">
        <v>841</v>
      </c>
      <c r="L554" s="2" t="s">
        <v>493</v>
      </c>
      <c r="M554" s="2"/>
      <c r="N554" s="2" t="str">
        <f>DitrbFlota[[#This Row],[TIPO BUS]]&amp;"-"&amp;DitrbFlota[[#This Row],[MARCA CHASIS]]</f>
        <v>BE-FOTON</v>
      </c>
      <c r="O554" s="2">
        <f>MONTH(DitrbFlota[[#This Row],[Inicio Operación]])</f>
        <v>3</v>
      </c>
      <c r="P554" s="2">
        <f>YEAR(DitrbFlota[[#This Row],[Inicio Operación]])</f>
        <v>2023</v>
      </c>
      <c r="Q554" s="29">
        <v>90</v>
      </c>
    </row>
    <row r="555" spans="1:17" hidden="1">
      <c r="A555" s="7" t="s">
        <v>421</v>
      </c>
      <c r="B555" s="2" t="s">
        <v>653</v>
      </c>
      <c r="C555" s="2">
        <v>7115</v>
      </c>
      <c r="D555" s="2" t="s">
        <v>147</v>
      </c>
      <c r="E555" s="2" t="s">
        <v>13</v>
      </c>
      <c r="F555" s="2" t="s">
        <v>149</v>
      </c>
      <c r="G555" s="277" t="s">
        <v>493</v>
      </c>
      <c r="H555" s="277" t="s">
        <v>493</v>
      </c>
      <c r="I555" s="277">
        <v>45003</v>
      </c>
      <c r="J555" s="2" t="s">
        <v>1341</v>
      </c>
      <c r="K555" s="2" t="s">
        <v>841</v>
      </c>
      <c r="L555" s="2" t="s">
        <v>493</v>
      </c>
      <c r="M555" s="2"/>
      <c r="N555" s="2" t="str">
        <f>DitrbFlota[[#This Row],[TIPO BUS]]&amp;"-"&amp;DitrbFlota[[#This Row],[MARCA CHASIS]]</f>
        <v>BE-FOTON</v>
      </c>
      <c r="O555" s="2">
        <f>MONTH(DitrbFlota[[#This Row],[Inicio Operación]])</f>
        <v>3</v>
      </c>
      <c r="P555" s="2">
        <f>YEAR(DitrbFlota[[#This Row],[Inicio Operación]])</f>
        <v>2023</v>
      </c>
      <c r="Q555" s="29">
        <v>90</v>
      </c>
    </row>
    <row r="556" spans="1:17" hidden="1">
      <c r="A556" s="7" t="s">
        <v>421</v>
      </c>
      <c r="B556" s="2" t="s">
        <v>654</v>
      </c>
      <c r="C556" s="2">
        <v>7116</v>
      </c>
      <c r="D556" s="2" t="s">
        <v>147</v>
      </c>
      <c r="E556" s="2" t="s">
        <v>13</v>
      </c>
      <c r="F556" s="2" t="s">
        <v>149</v>
      </c>
      <c r="G556" s="277" t="s">
        <v>493</v>
      </c>
      <c r="H556" s="277" t="s">
        <v>493</v>
      </c>
      <c r="I556" s="277">
        <v>45003</v>
      </c>
      <c r="J556" s="2" t="s">
        <v>1341</v>
      </c>
      <c r="K556" s="2" t="s">
        <v>841</v>
      </c>
      <c r="L556" s="2" t="s">
        <v>493</v>
      </c>
      <c r="M556" s="2"/>
      <c r="N556" s="2" t="str">
        <f>DitrbFlota[[#This Row],[TIPO BUS]]&amp;"-"&amp;DitrbFlota[[#This Row],[MARCA CHASIS]]</f>
        <v>BE-FOTON</v>
      </c>
      <c r="O556" s="2">
        <f>MONTH(DitrbFlota[[#This Row],[Inicio Operación]])</f>
        <v>3</v>
      </c>
      <c r="P556" s="2">
        <f>YEAR(DitrbFlota[[#This Row],[Inicio Operación]])</f>
        <v>2023</v>
      </c>
      <c r="Q556" s="29">
        <v>90</v>
      </c>
    </row>
    <row r="557" spans="1:17" hidden="1">
      <c r="A557" s="7" t="s">
        <v>421</v>
      </c>
      <c r="B557" s="2" t="s">
        <v>655</v>
      </c>
      <c r="C557" s="2">
        <v>7117</v>
      </c>
      <c r="D557" s="2" t="s">
        <v>147</v>
      </c>
      <c r="E557" s="2" t="s">
        <v>13</v>
      </c>
      <c r="F557" s="2" t="s">
        <v>149</v>
      </c>
      <c r="G557" s="277" t="s">
        <v>493</v>
      </c>
      <c r="H557" s="277" t="s">
        <v>493</v>
      </c>
      <c r="I557" s="277">
        <v>45003</v>
      </c>
      <c r="J557" s="2" t="s">
        <v>1341</v>
      </c>
      <c r="K557" s="2" t="s">
        <v>841</v>
      </c>
      <c r="L557" s="2" t="s">
        <v>493</v>
      </c>
      <c r="M557" s="2"/>
      <c r="N557" s="2" t="str">
        <f>DitrbFlota[[#This Row],[TIPO BUS]]&amp;"-"&amp;DitrbFlota[[#This Row],[MARCA CHASIS]]</f>
        <v>BE-FOTON</v>
      </c>
      <c r="O557" s="2">
        <f>MONTH(DitrbFlota[[#This Row],[Inicio Operación]])</f>
        <v>3</v>
      </c>
      <c r="P557" s="2">
        <f>YEAR(DitrbFlota[[#This Row],[Inicio Operación]])</f>
        <v>2023</v>
      </c>
      <c r="Q557" s="29">
        <v>90</v>
      </c>
    </row>
    <row r="558" spans="1:17" hidden="1">
      <c r="A558" s="7" t="s">
        <v>421</v>
      </c>
      <c r="B558" s="2" t="s">
        <v>656</v>
      </c>
      <c r="C558" s="2">
        <v>7118</v>
      </c>
      <c r="D558" s="2" t="s">
        <v>147</v>
      </c>
      <c r="E558" s="2" t="s">
        <v>13</v>
      </c>
      <c r="F558" s="2" t="s">
        <v>149</v>
      </c>
      <c r="G558" s="277" t="s">
        <v>493</v>
      </c>
      <c r="H558" s="277" t="s">
        <v>493</v>
      </c>
      <c r="I558" s="277">
        <v>45003</v>
      </c>
      <c r="J558" s="2" t="s">
        <v>1341</v>
      </c>
      <c r="K558" s="2" t="s">
        <v>841</v>
      </c>
      <c r="L558" s="2" t="s">
        <v>493</v>
      </c>
      <c r="M558" s="2"/>
      <c r="N558" s="2" t="str">
        <f>DitrbFlota[[#This Row],[TIPO BUS]]&amp;"-"&amp;DitrbFlota[[#This Row],[MARCA CHASIS]]</f>
        <v>BE-FOTON</v>
      </c>
      <c r="O558" s="2">
        <f>MONTH(DitrbFlota[[#This Row],[Inicio Operación]])</f>
        <v>3</v>
      </c>
      <c r="P558" s="2">
        <f>YEAR(DitrbFlota[[#This Row],[Inicio Operación]])</f>
        <v>2023</v>
      </c>
      <c r="Q558" s="29">
        <v>90</v>
      </c>
    </row>
    <row r="559" spans="1:17" hidden="1">
      <c r="A559" s="7" t="s">
        <v>421</v>
      </c>
      <c r="B559" s="2" t="s">
        <v>657</v>
      </c>
      <c r="C559" s="2">
        <v>7119</v>
      </c>
      <c r="D559" s="2" t="s">
        <v>147</v>
      </c>
      <c r="E559" s="2" t="s">
        <v>13</v>
      </c>
      <c r="F559" s="2" t="s">
        <v>149</v>
      </c>
      <c r="G559" s="277" t="s">
        <v>493</v>
      </c>
      <c r="H559" s="277" t="s">
        <v>493</v>
      </c>
      <c r="I559" s="277">
        <v>45003</v>
      </c>
      <c r="J559" s="2" t="s">
        <v>1341</v>
      </c>
      <c r="K559" s="2" t="s">
        <v>841</v>
      </c>
      <c r="L559" s="2" t="s">
        <v>493</v>
      </c>
      <c r="M559" s="2"/>
      <c r="N559" s="2" t="str">
        <f>DitrbFlota[[#This Row],[TIPO BUS]]&amp;"-"&amp;DitrbFlota[[#This Row],[MARCA CHASIS]]</f>
        <v>BE-FOTON</v>
      </c>
      <c r="O559" s="2">
        <f>MONTH(DitrbFlota[[#This Row],[Inicio Operación]])</f>
        <v>3</v>
      </c>
      <c r="P559" s="2">
        <f>YEAR(DitrbFlota[[#This Row],[Inicio Operación]])</f>
        <v>2023</v>
      </c>
      <c r="Q559" s="29">
        <v>90</v>
      </c>
    </row>
    <row r="560" spans="1:17" hidden="1">
      <c r="A560" s="7" t="s">
        <v>421</v>
      </c>
      <c r="B560" s="2" t="s">
        <v>658</v>
      </c>
      <c r="C560" s="2">
        <v>7120</v>
      </c>
      <c r="D560" s="2" t="s">
        <v>147</v>
      </c>
      <c r="E560" s="2" t="s">
        <v>13</v>
      </c>
      <c r="F560" s="2" t="s">
        <v>149</v>
      </c>
      <c r="G560" s="277" t="s">
        <v>493</v>
      </c>
      <c r="H560" s="277" t="s">
        <v>493</v>
      </c>
      <c r="I560" s="277">
        <v>45003</v>
      </c>
      <c r="J560" s="2" t="s">
        <v>1341</v>
      </c>
      <c r="K560" s="2" t="s">
        <v>841</v>
      </c>
      <c r="L560" s="2" t="s">
        <v>493</v>
      </c>
      <c r="M560" s="2"/>
      <c r="N560" s="2" t="str">
        <f>DitrbFlota[[#This Row],[TIPO BUS]]&amp;"-"&amp;DitrbFlota[[#This Row],[MARCA CHASIS]]</f>
        <v>BE-FOTON</v>
      </c>
      <c r="O560" s="2">
        <f>MONTH(DitrbFlota[[#This Row],[Inicio Operación]])</f>
        <v>3</v>
      </c>
      <c r="P560" s="2">
        <f>YEAR(DitrbFlota[[#This Row],[Inicio Operación]])</f>
        <v>2023</v>
      </c>
      <c r="Q560" s="29">
        <v>90</v>
      </c>
    </row>
    <row r="561" spans="1:17" hidden="1">
      <c r="A561" s="7" t="s">
        <v>421</v>
      </c>
      <c r="B561" s="2" t="s">
        <v>660</v>
      </c>
      <c r="C561" s="2">
        <v>7197</v>
      </c>
      <c r="D561" s="2" t="s">
        <v>147</v>
      </c>
      <c r="E561" s="352" t="s">
        <v>25</v>
      </c>
      <c r="F561" s="2" t="s">
        <v>149</v>
      </c>
      <c r="G561" s="277" t="s">
        <v>493</v>
      </c>
      <c r="H561" s="277" t="s">
        <v>493</v>
      </c>
      <c r="I561" s="277">
        <v>45695</v>
      </c>
      <c r="J561" s="2" t="s">
        <v>830</v>
      </c>
      <c r="K561" s="2" t="s">
        <v>841</v>
      </c>
      <c r="L561" s="277" t="s">
        <v>493</v>
      </c>
      <c r="M561" s="2"/>
      <c r="N561" s="2" t="str">
        <f>DitrbFlota[[#This Row],[TIPO BUS]]&amp;"-"&amp;DitrbFlota[[#This Row],[MARCA CHASIS]]</f>
        <v>BE-FOTON</v>
      </c>
      <c r="O561" s="2">
        <f>MONTH(DitrbFlota[[#This Row],[Inicio Operación]])</f>
        <v>2</v>
      </c>
      <c r="P561" s="2">
        <f>YEAR(DitrbFlota[[#This Row],[Inicio Operación]])</f>
        <v>2025</v>
      </c>
      <c r="Q561" s="29">
        <v>90</v>
      </c>
    </row>
    <row r="562" spans="1:17" hidden="1">
      <c r="A562" s="7" t="s">
        <v>421</v>
      </c>
      <c r="B562" s="2" t="s">
        <v>661</v>
      </c>
      <c r="C562" s="2">
        <v>7198</v>
      </c>
      <c r="D562" s="2" t="s">
        <v>147</v>
      </c>
      <c r="E562" s="352" t="s">
        <v>13</v>
      </c>
      <c r="F562" s="2" t="s">
        <v>149</v>
      </c>
      <c r="G562" s="277" t="s">
        <v>493</v>
      </c>
      <c r="H562" s="277" t="s">
        <v>493</v>
      </c>
      <c r="I562" s="277">
        <v>45694</v>
      </c>
      <c r="J562" s="2" t="s">
        <v>830</v>
      </c>
      <c r="K562" s="2" t="s">
        <v>841</v>
      </c>
      <c r="L562" s="277" t="s">
        <v>493</v>
      </c>
      <c r="M562" s="2"/>
      <c r="N562" s="2" t="str">
        <f>DitrbFlota[[#This Row],[TIPO BUS]]&amp;"-"&amp;DitrbFlota[[#This Row],[MARCA CHASIS]]</f>
        <v>BE-FOTON</v>
      </c>
      <c r="O562" s="2">
        <f>MONTH(DitrbFlota[[#This Row],[Inicio Operación]])</f>
        <v>2</v>
      </c>
      <c r="P562" s="2">
        <f>YEAR(DitrbFlota[[#This Row],[Inicio Operación]])</f>
        <v>2025</v>
      </c>
      <c r="Q562" s="29">
        <v>90</v>
      </c>
    </row>
    <row r="563" spans="1:17" hidden="1">
      <c r="A563" s="7" t="s">
        <v>421</v>
      </c>
      <c r="B563" s="2" t="s">
        <v>662</v>
      </c>
      <c r="C563" s="2">
        <v>7199</v>
      </c>
      <c r="D563" s="2" t="s">
        <v>147</v>
      </c>
      <c r="E563" s="2" t="s">
        <v>13</v>
      </c>
      <c r="F563" s="2" t="s">
        <v>149</v>
      </c>
      <c r="G563" s="277" t="s">
        <v>493</v>
      </c>
      <c r="H563" s="277" t="s">
        <v>493</v>
      </c>
      <c r="I563" s="277">
        <v>45695</v>
      </c>
      <c r="J563" s="2" t="s">
        <v>830</v>
      </c>
      <c r="K563" s="2" t="s">
        <v>841</v>
      </c>
      <c r="L563" s="277" t="s">
        <v>493</v>
      </c>
      <c r="M563" s="2"/>
      <c r="N563" s="2" t="str">
        <f>DitrbFlota[[#This Row],[TIPO BUS]]&amp;"-"&amp;DitrbFlota[[#This Row],[MARCA CHASIS]]</f>
        <v>BE-FOTON</v>
      </c>
      <c r="O563" s="2">
        <f>MONTH(DitrbFlota[[#This Row],[Inicio Operación]])</f>
        <v>2</v>
      </c>
      <c r="P563" s="2">
        <f>YEAR(DitrbFlota[[#This Row],[Inicio Operación]])</f>
        <v>2025</v>
      </c>
      <c r="Q563" s="29">
        <v>90</v>
      </c>
    </row>
    <row r="564" spans="1:17" hidden="1">
      <c r="A564" s="7" t="s">
        <v>10</v>
      </c>
      <c r="B564" s="2" t="s">
        <v>88</v>
      </c>
      <c r="C564" s="2">
        <v>2046</v>
      </c>
      <c r="D564" s="2" t="s">
        <v>34</v>
      </c>
      <c r="E564" s="2" t="s">
        <v>13</v>
      </c>
      <c r="F564" s="2" t="s">
        <v>36</v>
      </c>
      <c r="G564" s="277" t="s">
        <v>89</v>
      </c>
      <c r="H564" s="277" t="s">
        <v>89</v>
      </c>
      <c r="I564" s="277">
        <v>44912</v>
      </c>
      <c r="J564" s="2" t="s">
        <v>830</v>
      </c>
      <c r="K564" s="2" t="s">
        <v>837</v>
      </c>
      <c r="L564" s="2" t="s">
        <v>130</v>
      </c>
      <c r="M564" s="2"/>
      <c r="N564" s="2" t="str">
        <f>DitrbFlota[[#This Row],[TIPO BUS]]&amp;"-"&amp;DitrbFlota[[#This Row],[MARCA CHASIS]]</f>
        <v>B2-SCANIA</v>
      </c>
      <c r="O564" s="2">
        <f>MONTH(DitrbFlota[[#This Row],[Inicio Operación]])</f>
        <v>12</v>
      </c>
      <c r="P564" s="2">
        <f>YEAR(DitrbFlota[[#This Row],[Inicio Operación]])</f>
        <v>2022</v>
      </c>
      <c r="Q564" s="29">
        <v>96</v>
      </c>
    </row>
    <row r="565" spans="1:17" hidden="1">
      <c r="A565" s="7" t="s">
        <v>10</v>
      </c>
      <c r="B565" s="2" t="s">
        <v>92</v>
      </c>
      <c r="C565" s="2">
        <v>2065</v>
      </c>
      <c r="D565" s="2" t="s">
        <v>34</v>
      </c>
      <c r="E565" s="2" t="s">
        <v>13</v>
      </c>
      <c r="F565" s="2" t="s">
        <v>36</v>
      </c>
      <c r="G565" s="277" t="s">
        <v>89</v>
      </c>
      <c r="H565" s="277" t="s">
        <v>89</v>
      </c>
      <c r="I565" s="277">
        <v>44933</v>
      </c>
      <c r="J565" s="2" t="s">
        <v>830</v>
      </c>
      <c r="K565" s="2" t="s">
        <v>837</v>
      </c>
      <c r="L565" s="2" t="s">
        <v>130</v>
      </c>
      <c r="M565" s="2"/>
      <c r="N565" s="2" t="str">
        <f>DitrbFlota[[#This Row],[TIPO BUS]]&amp;"-"&amp;DitrbFlota[[#This Row],[MARCA CHASIS]]</f>
        <v>B2-SCANIA</v>
      </c>
      <c r="O565" s="2">
        <f>MONTH(DitrbFlota[[#This Row],[Inicio Operación]])</f>
        <v>1</v>
      </c>
      <c r="P565" s="2">
        <f>YEAR(DitrbFlota[[#This Row],[Inicio Operación]])</f>
        <v>2023</v>
      </c>
      <c r="Q565" s="29">
        <v>96</v>
      </c>
    </row>
    <row r="566" spans="1:17" hidden="1">
      <c r="A566" s="7" t="s">
        <v>10</v>
      </c>
      <c r="B566" s="2" t="s">
        <v>93</v>
      </c>
      <c r="C566" s="2">
        <v>2066</v>
      </c>
      <c r="D566" s="2" t="s">
        <v>34</v>
      </c>
      <c r="E566" s="2" t="s">
        <v>13</v>
      </c>
      <c r="F566" s="2" t="s">
        <v>36</v>
      </c>
      <c r="G566" s="277" t="s">
        <v>89</v>
      </c>
      <c r="H566" s="277" t="s">
        <v>89</v>
      </c>
      <c r="I566" s="277">
        <v>44928</v>
      </c>
      <c r="J566" s="2" t="s">
        <v>830</v>
      </c>
      <c r="K566" s="2" t="s">
        <v>837</v>
      </c>
      <c r="L566" s="2" t="s">
        <v>130</v>
      </c>
      <c r="M566" s="2"/>
      <c r="N566" s="2" t="str">
        <f>DitrbFlota[[#This Row],[TIPO BUS]]&amp;"-"&amp;DitrbFlota[[#This Row],[MARCA CHASIS]]</f>
        <v>B2-SCANIA</v>
      </c>
      <c r="O566" s="2">
        <f>MONTH(DitrbFlota[[#This Row],[Inicio Operación]])</f>
        <v>1</v>
      </c>
      <c r="P566" s="2">
        <f>YEAR(DitrbFlota[[#This Row],[Inicio Operación]])</f>
        <v>2023</v>
      </c>
      <c r="Q566" s="29">
        <v>96</v>
      </c>
    </row>
    <row r="567" spans="1:17" hidden="1">
      <c r="A567" s="7" t="s">
        <v>10</v>
      </c>
      <c r="B567" s="2" t="s">
        <v>94</v>
      </c>
      <c r="C567" s="2">
        <v>2074</v>
      </c>
      <c r="D567" s="2" t="s">
        <v>34</v>
      </c>
      <c r="E567" s="2" t="s">
        <v>13</v>
      </c>
      <c r="F567" s="2" t="s">
        <v>36</v>
      </c>
      <c r="G567" s="277" t="s">
        <v>89</v>
      </c>
      <c r="H567" s="277" t="s">
        <v>89</v>
      </c>
      <c r="I567" s="277">
        <v>44933</v>
      </c>
      <c r="J567" s="2" t="s">
        <v>830</v>
      </c>
      <c r="K567" s="2" t="s">
        <v>837</v>
      </c>
      <c r="L567" s="2" t="s">
        <v>130</v>
      </c>
      <c r="M567" s="2"/>
      <c r="N567" s="2" t="str">
        <f>DitrbFlota[[#This Row],[TIPO BUS]]&amp;"-"&amp;DitrbFlota[[#This Row],[MARCA CHASIS]]</f>
        <v>B2-SCANIA</v>
      </c>
      <c r="O567" s="2">
        <f>MONTH(DitrbFlota[[#This Row],[Inicio Operación]])</f>
        <v>1</v>
      </c>
      <c r="P567" s="2">
        <f>YEAR(DitrbFlota[[#This Row],[Inicio Operación]])</f>
        <v>2023</v>
      </c>
      <c r="Q567" s="29">
        <v>96</v>
      </c>
    </row>
    <row r="568" spans="1:17" hidden="1">
      <c r="A568" s="7" t="s">
        <v>10</v>
      </c>
      <c r="B568" s="2" t="s">
        <v>95</v>
      </c>
      <c r="C568" s="2">
        <v>2075</v>
      </c>
      <c r="D568" s="2" t="s">
        <v>34</v>
      </c>
      <c r="E568" s="2" t="s">
        <v>13</v>
      </c>
      <c r="F568" s="2" t="s">
        <v>36</v>
      </c>
      <c r="G568" s="277" t="s">
        <v>89</v>
      </c>
      <c r="H568" s="277" t="s">
        <v>89</v>
      </c>
      <c r="I568" s="277">
        <v>44933</v>
      </c>
      <c r="J568" s="2" t="s">
        <v>830</v>
      </c>
      <c r="K568" s="2" t="s">
        <v>837</v>
      </c>
      <c r="L568" s="2" t="s">
        <v>130</v>
      </c>
      <c r="M568" s="2"/>
      <c r="N568" s="2" t="str">
        <f>DitrbFlota[[#This Row],[TIPO BUS]]&amp;"-"&amp;DitrbFlota[[#This Row],[MARCA CHASIS]]</f>
        <v>B2-SCANIA</v>
      </c>
      <c r="O568" s="2">
        <f>MONTH(DitrbFlota[[#This Row],[Inicio Operación]])</f>
        <v>1</v>
      </c>
      <c r="P568" s="2">
        <f>YEAR(DitrbFlota[[#This Row],[Inicio Operación]])</f>
        <v>2023</v>
      </c>
      <c r="Q568" s="29">
        <v>96</v>
      </c>
    </row>
    <row r="569" spans="1:17" hidden="1">
      <c r="A569" s="7" t="s">
        <v>10</v>
      </c>
      <c r="B569" s="2" t="s">
        <v>90</v>
      </c>
      <c r="C569" s="2">
        <v>2076</v>
      </c>
      <c r="D569" s="2" t="s">
        <v>34</v>
      </c>
      <c r="E569" s="2" t="s">
        <v>13</v>
      </c>
      <c r="F569" s="2" t="s">
        <v>36</v>
      </c>
      <c r="G569" s="277" t="s">
        <v>89</v>
      </c>
      <c r="H569" s="277" t="s">
        <v>89</v>
      </c>
      <c r="I569" s="277">
        <v>44928</v>
      </c>
      <c r="J569" s="2" t="s">
        <v>830</v>
      </c>
      <c r="K569" s="2" t="s">
        <v>837</v>
      </c>
      <c r="L569" s="2" t="s">
        <v>130</v>
      </c>
      <c r="M569" s="2"/>
      <c r="N569" s="2" t="str">
        <f>DitrbFlota[[#This Row],[TIPO BUS]]&amp;"-"&amp;DitrbFlota[[#This Row],[MARCA CHASIS]]</f>
        <v>B2-SCANIA</v>
      </c>
      <c r="O569" s="2">
        <f>MONTH(DitrbFlota[[#This Row],[Inicio Operación]])</f>
        <v>1</v>
      </c>
      <c r="P569" s="2">
        <f>YEAR(DitrbFlota[[#This Row],[Inicio Operación]])</f>
        <v>2023</v>
      </c>
      <c r="Q569" s="29">
        <v>96</v>
      </c>
    </row>
    <row r="570" spans="1:17" hidden="1">
      <c r="A570" s="7" t="s">
        <v>10</v>
      </c>
      <c r="B570" s="2" t="s">
        <v>98</v>
      </c>
      <c r="C570" s="2">
        <v>2077</v>
      </c>
      <c r="D570" s="2" t="s">
        <v>34</v>
      </c>
      <c r="E570" s="2" t="s">
        <v>13</v>
      </c>
      <c r="F570" s="2" t="s">
        <v>36</v>
      </c>
      <c r="G570" s="277" t="s">
        <v>89</v>
      </c>
      <c r="H570" s="277" t="s">
        <v>89</v>
      </c>
      <c r="I570" s="277">
        <v>44933</v>
      </c>
      <c r="J570" s="2" t="s">
        <v>830</v>
      </c>
      <c r="K570" s="2" t="s">
        <v>837</v>
      </c>
      <c r="L570" s="2" t="s">
        <v>130</v>
      </c>
      <c r="M570" s="2"/>
      <c r="N570" s="2" t="str">
        <f>DitrbFlota[[#This Row],[TIPO BUS]]&amp;"-"&amp;DitrbFlota[[#This Row],[MARCA CHASIS]]</f>
        <v>B2-SCANIA</v>
      </c>
      <c r="O570" s="2">
        <f>MONTH(DitrbFlota[[#This Row],[Inicio Operación]])</f>
        <v>1</v>
      </c>
      <c r="P570" s="2">
        <f>YEAR(DitrbFlota[[#This Row],[Inicio Operación]])</f>
        <v>2023</v>
      </c>
      <c r="Q570" s="29">
        <v>96</v>
      </c>
    </row>
    <row r="571" spans="1:17" hidden="1">
      <c r="A571" s="7" t="s">
        <v>10</v>
      </c>
      <c r="B571" s="2" t="s">
        <v>91</v>
      </c>
      <c r="C571" s="2">
        <v>2078</v>
      </c>
      <c r="D571" s="2" t="s">
        <v>34</v>
      </c>
      <c r="E571" s="2" t="s">
        <v>13</v>
      </c>
      <c r="F571" s="2" t="s">
        <v>36</v>
      </c>
      <c r="G571" s="277" t="s">
        <v>89</v>
      </c>
      <c r="H571" s="277" t="s">
        <v>89</v>
      </c>
      <c r="I571" s="277">
        <v>44928</v>
      </c>
      <c r="J571" s="2" t="s">
        <v>830</v>
      </c>
      <c r="K571" s="2" t="s">
        <v>837</v>
      </c>
      <c r="L571" s="2" t="s">
        <v>130</v>
      </c>
      <c r="M571" s="2"/>
      <c r="N571" s="2" t="str">
        <f>DitrbFlota[[#This Row],[TIPO BUS]]&amp;"-"&amp;DitrbFlota[[#This Row],[MARCA CHASIS]]</f>
        <v>B2-SCANIA</v>
      </c>
      <c r="O571" s="2">
        <f>MONTH(DitrbFlota[[#This Row],[Inicio Operación]])</f>
        <v>1</v>
      </c>
      <c r="P571" s="2">
        <f>YEAR(DitrbFlota[[#This Row],[Inicio Operación]])</f>
        <v>2023</v>
      </c>
      <c r="Q571" s="29">
        <v>96</v>
      </c>
    </row>
    <row r="572" spans="1:17" hidden="1">
      <c r="A572" s="7" t="s">
        <v>10</v>
      </c>
      <c r="B572" s="2" t="s">
        <v>99</v>
      </c>
      <c r="C572" s="2">
        <v>2079</v>
      </c>
      <c r="D572" s="2" t="s">
        <v>34</v>
      </c>
      <c r="E572" s="2" t="s">
        <v>13</v>
      </c>
      <c r="F572" s="2" t="s">
        <v>36</v>
      </c>
      <c r="G572" s="277" t="s">
        <v>89</v>
      </c>
      <c r="H572" s="277" t="s">
        <v>89</v>
      </c>
      <c r="I572" s="277">
        <v>44928</v>
      </c>
      <c r="J572" s="2" t="s">
        <v>830</v>
      </c>
      <c r="K572" s="2" t="s">
        <v>837</v>
      </c>
      <c r="L572" s="2" t="s">
        <v>130</v>
      </c>
      <c r="M572" s="2"/>
      <c r="N572" s="2" t="str">
        <f>DitrbFlota[[#This Row],[TIPO BUS]]&amp;"-"&amp;DitrbFlota[[#This Row],[MARCA CHASIS]]</f>
        <v>B2-SCANIA</v>
      </c>
      <c r="O572" s="2">
        <f>MONTH(DitrbFlota[[#This Row],[Inicio Operación]])</f>
        <v>1</v>
      </c>
      <c r="P572" s="2">
        <f>YEAR(DitrbFlota[[#This Row],[Inicio Operación]])</f>
        <v>2023</v>
      </c>
      <c r="Q572" s="29">
        <v>96</v>
      </c>
    </row>
    <row r="573" spans="1:17" hidden="1">
      <c r="A573" s="7" t="s">
        <v>10</v>
      </c>
      <c r="B573" s="2" t="s">
        <v>101</v>
      </c>
      <c r="C573" s="2">
        <v>4025</v>
      </c>
      <c r="D573" s="2" t="s">
        <v>38</v>
      </c>
      <c r="E573" s="2" t="s">
        <v>13</v>
      </c>
      <c r="F573" s="2" t="s">
        <v>14</v>
      </c>
      <c r="G573" s="356" t="s">
        <v>89</v>
      </c>
      <c r="H573" s="356" t="s">
        <v>89</v>
      </c>
      <c r="I573" s="277">
        <v>44928</v>
      </c>
      <c r="J573" s="2" t="s">
        <v>1341</v>
      </c>
      <c r="K573" s="2" t="s">
        <v>837</v>
      </c>
      <c r="L573" s="2" t="s">
        <v>15</v>
      </c>
      <c r="M573" s="2"/>
      <c r="N573" s="2" t="str">
        <f>DitrbFlota[[#This Row],[TIPO BUS]]&amp;"-"&amp;DitrbFlota[[#This Row],[MARCA CHASIS]]</f>
        <v>C2-VOLVO</v>
      </c>
      <c r="O573" s="2">
        <f>MONTH(DitrbFlota[[#This Row],[Inicio Operación]])</f>
        <v>1</v>
      </c>
      <c r="P573" s="2">
        <f>YEAR(DitrbFlota[[#This Row],[Inicio Operación]])</f>
        <v>2023</v>
      </c>
      <c r="Q573" s="29">
        <v>156</v>
      </c>
    </row>
    <row r="574" spans="1:17" hidden="1">
      <c r="A574" s="7" t="s">
        <v>10</v>
      </c>
      <c r="B574" s="2" t="s">
        <v>102</v>
      </c>
      <c r="C574" s="2">
        <v>4026</v>
      </c>
      <c r="D574" s="2" t="s">
        <v>38</v>
      </c>
      <c r="E574" s="2" t="s">
        <v>13</v>
      </c>
      <c r="F574" s="2" t="s">
        <v>14</v>
      </c>
      <c r="G574" s="277" t="s">
        <v>89</v>
      </c>
      <c r="H574" s="277" t="s">
        <v>89</v>
      </c>
      <c r="I574" s="277">
        <v>44928</v>
      </c>
      <c r="J574" s="2" t="s">
        <v>1341</v>
      </c>
      <c r="K574" s="2" t="s">
        <v>837</v>
      </c>
      <c r="L574" s="2" t="s">
        <v>15</v>
      </c>
      <c r="M574" s="2"/>
      <c r="N574" s="2" t="str">
        <f>DitrbFlota[[#This Row],[TIPO BUS]]&amp;"-"&amp;DitrbFlota[[#This Row],[MARCA CHASIS]]</f>
        <v>C2-VOLVO</v>
      </c>
      <c r="O574" s="2">
        <f>MONTH(DitrbFlota[[#This Row],[Inicio Operación]])</f>
        <v>1</v>
      </c>
      <c r="P574" s="2">
        <f>YEAR(DitrbFlota[[#This Row],[Inicio Operación]])</f>
        <v>2023</v>
      </c>
      <c r="Q574" s="29">
        <v>156</v>
      </c>
    </row>
    <row r="575" spans="1:17" hidden="1">
      <c r="A575" s="7" t="s">
        <v>10</v>
      </c>
      <c r="B575" s="2" t="s">
        <v>100</v>
      </c>
      <c r="C575" s="2">
        <v>4027</v>
      </c>
      <c r="D575" s="2" t="s">
        <v>38</v>
      </c>
      <c r="E575" s="2" t="s">
        <v>13</v>
      </c>
      <c r="F575" s="2" t="s">
        <v>14</v>
      </c>
      <c r="G575" s="356" t="s">
        <v>89</v>
      </c>
      <c r="H575" s="356" t="s">
        <v>89</v>
      </c>
      <c r="I575" s="277">
        <v>44928</v>
      </c>
      <c r="J575" s="2" t="s">
        <v>1341</v>
      </c>
      <c r="K575" s="2" t="s">
        <v>837</v>
      </c>
      <c r="L575" s="2" t="s">
        <v>15</v>
      </c>
      <c r="M575" s="2"/>
      <c r="N575" s="2" t="str">
        <f>DitrbFlota[[#This Row],[TIPO BUS]]&amp;"-"&amp;DitrbFlota[[#This Row],[MARCA CHASIS]]</f>
        <v>C2-VOLVO</v>
      </c>
      <c r="O575" s="2">
        <f>MONTH(DitrbFlota[[#This Row],[Inicio Operación]])</f>
        <v>1</v>
      </c>
      <c r="P575" s="2">
        <f>YEAR(DitrbFlota[[#This Row],[Inicio Operación]])</f>
        <v>2023</v>
      </c>
      <c r="Q575" s="29">
        <v>156</v>
      </c>
    </row>
    <row r="576" spans="1:17" hidden="1">
      <c r="A576" s="7" t="s">
        <v>10</v>
      </c>
      <c r="B576" s="2" t="s">
        <v>103</v>
      </c>
      <c r="C576" s="2">
        <v>4028</v>
      </c>
      <c r="D576" s="2" t="s">
        <v>38</v>
      </c>
      <c r="E576" s="2" t="s">
        <v>13</v>
      </c>
      <c r="F576" s="2" t="s">
        <v>14</v>
      </c>
      <c r="G576" s="356" t="s">
        <v>89</v>
      </c>
      <c r="H576" s="356" t="s">
        <v>89</v>
      </c>
      <c r="I576" s="277">
        <v>44928</v>
      </c>
      <c r="J576" s="2" t="s">
        <v>1341</v>
      </c>
      <c r="K576" s="2" t="s">
        <v>837</v>
      </c>
      <c r="L576" s="2" t="s">
        <v>15</v>
      </c>
      <c r="M576" s="2"/>
      <c r="N576" s="2" t="str">
        <f>DitrbFlota[[#This Row],[TIPO BUS]]&amp;"-"&amp;DitrbFlota[[#This Row],[MARCA CHASIS]]</f>
        <v>C2-VOLVO</v>
      </c>
      <c r="O576" s="2">
        <f>MONTH(DitrbFlota[[#This Row],[Inicio Operación]])</f>
        <v>1</v>
      </c>
      <c r="P576" s="2">
        <f>YEAR(DitrbFlota[[#This Row],[Inicio Operación]])</f>
        <v>2023</v>
      </c>
      <c r="Q576" s="29">
        <v>156</v>
      </c>
    </row>
    <row r="577" spans="1:17" hidden="1">
      <c r="A577" s="7" t="s">
        <v>10</v>
      </c>
      <c r="B577" s="2" t="s">
        <v>104</v>
      </c>
      <c r="C577" s="2">
        <v>4029</v>
      </c>
      <c r="D577" s="2" t="s">
        <v>38</v>
      </c>
      <c r="E577" s="2" t="s">
        <v>13</v>
      </c>
      <c r="F577" s="2" t="s">
        <v>14</v>
      </c>
      <c r="G577" s="356" t="s">
        <v>89</v>
      </c>
      <c r="H577" s="356" t="s">
        <v>89</v>
      </c>
      <c r="I577" s="277">
        <v>44928</v>
      </c>
      <c r="J577" s="2" t="s">
        <v>1341</v>
      </c>
      <c r="K577" s="2" t="s">
        <v>837</v>
      </c>
      <c r="L577" s="2" t="s">
        <v>15</v>
      </c>
      <c r="M577" s="2"/>
      <c r="N577" s="2" t="str">
        <f>DitrbFlota[[#This Row],[TIPO BUS]]&amp;"-"&amp;DitrbFlota[[#This Row],[MARCA CHASIS]]</f>
        <v>C2-VOLVO</v>
      </c>
      <c r="O577" s="2">
        <f>MONTH(DitrbFlota[[#This Row],[Inicio Operación]])</f>
        <v>1</v>
      </c>
      <c r="P577" s="2">
        <f>YEAR(DitrbFlota[[#This Row],[Inicio Operación]])</f>
        <v>2023</v>
      </c>
      <c r="Q577" s="29">
        <v>156</v>
      </c>
    </row>
    <row r="578" spans="1:17" hidden="1">
      <c r="A578" s="7" t="s">
        <v>10</v>
      </c>
      <c r="B578" s="2" t="s">
        <v>110</v>
      </c>
      <c r="C578" s="2">
        <v>4030</v>
      </c>
      <c r="D578" s="2" t="s">
        <v>38</v>
      </c>
      <c r="E578" s="2" t="s">
        <v>13</v>
      </c>
      <c r="F578" s="2" t="s">
        <v>14</v>
      </c>
      <c r="G578" s="356" t="s">
        <v>89</v>
      </c>
      <c r="H578" s="356" t="s">
        <v>89</v>
      </c>
      <c r="I578" s="277">
        <v>44928</v>
      </c>
      <c r="J578" s="2" t="s">
        <v>1341</v>
      </c>
      <c r="K578" s="2" t="s">
        <v>837</v>
      </c>
      <c r="L578" s="2" t="s">
        <v>15</v>
      </c>
      <c r="M578" s="2"/>
      <c r="N578" s="2" t="str">
        <f>DitrbFlota[[#This Row],[TIPO BUS]]&amp;"-"&amp;DitrbFlota[[#This Row],[MARCA CHASIS]]</f>
        <v>C2-VOLVO</v>
      </c>
      <c r="O578" s="2">
        <f>MONTH(DitrbFlota[[#This Row],[Inicio Operación]])</f>
        <v>1</v>
      </c>
      <c r="P578" s="2">
        <f>YEAR(DitrbFlota[[#This Row],[Inicio Operación]])</f>
        <v>2023</v>
      </c>
      <c r="Q578" s="29">
        <v>156</v>
      </c>
    </row>
    <row r="579" spans="1:17" hidden="1">
      <c r="A579" s="7" t="s">
        <v>10</v>
      </c>
      <c r="B579" s="2" t="s">
        <v>105</v>
      </c>
      <c r="C579" s="2">
        <v>4032</v>
      </c>
      <c r="D579" s="2" t="s">
        <v>38</v>
      </c>
      <c r="E579" s="2" t="s">
        <v>13</v>
      </c>
      <c r="F579" s="2" t="s">
        <v>14</v>
      </c>
      <c r="G579" s="356" t="s">
        <v>89</v>
      </c>
      <c r="H579" s="356" t="s">
        <v>89</v>
      </c>
      <c r="I579" s="277">
        <v>44928</v>
      </c>
      <c r="J579" s="2" t="s">
        <v>1341</v>
      </c>
      <c r="K579" s="2" t="s">
        <v>837</v>
      </c>
      <c r="L579" s="2" t="s">
        <v>15</v>
      </c>
      <c r="M579" s="2"/>
      <c r="N579" s="2" t="str">
        <f>DitrbFlota[[#This Row],[TIPO BUS]]&amp;"-"&amp;DitrbFlota[[#This Row],[MARCA CHASIS]]</f>
        <v>C2-VOLVO</v>
      </c>
      <c r="O579" s="2">
        <f>MONTH(DitrbFlota[[#This Row],[Inicio Operación]])</f>
        <v>1</v>
      </c>
      <c r="P579" s="2">
        <f>YEAR(DitrbFlota[[#This Row],[Inicio Operación]])</f>
        <v>2023</v>
      </c>
      <c r="Q579" s="29">
        <v>156</v>
      </c>
    </row>
    <row r="580" spans="1:17" hidden="1">
      <c r="A580" s="7" t="s">
        <v>10</v>
      </c>
      <c r="B580" s="2" t="s">
        <v>106</v>
      </c>
      <c r="C580" s="2">
        <v>4033</v>
      </c>
      <c r="D580" s="2" t="s">
        <v>38</v>
      </c>
      <c r="E580" s="2" t="s">
        <v>13</v>
      </c>
      <c r="F580" s="2" t="s">
        <v>14</v>
      </c>
      <c r="G580" s="356" t="s">
        <v>89</v>
      </c>
      <c r="H580" s="356" t="s">
        <v>89</v>
      </c>
      <c r="I580" s="277">
        <v>44928</v>
      </c>
      <c r="J580" s="2" t="s">
        <v>1341</v>
      </c>
      <c r="K580" s="2" t="s">
        <v>837</v>
      </c>
      <c r="L580" s="2" t="s">
        <v>15</v>
      </c>
      <c r="M580" s="2"/>
      <c r="N580" s="2" t="str">
        <f>DitrbFlota[[#This Row],[TIPO BUS]]&amp;"-"&amp;DitrbFlota[[#This Row],[MARCA CHASIS]]</f>
        <v>C2-VOLVO</v>
      </c>
      <c r="O580" s="2">
        <f>MONTH(DitrbFlota[[#This Row],[Inicio Operación]])</f>
        <v>1</v>
      </c>
      <c r="P580" s="2">
        <f>YEAR(DitrbFlota[[#This Row],[Inicio Operación]])</f>
        <v>2023</v>
      </c>
      <c r="Q580" s="29">
        <v>156</v>
      </c>
    </row>
    <row r="581" spans="1:17" hidden="1">
      <c r="A581" s="7" t="s">
        <v>10</v>
      </c>
      <c r="B581" s="2" t="s">
        <v>107</v>
      </c>
      <c r="C581" s="2">
        <v>4034</v>
      </c>
      <c r="D581" s="2" t="s">
        <v>38</v>
      </c>
      <c r="E581" s="2" t="s">
        <v>13</v>
      </c>
      <c r="F581" s="2" t="s">
        <v>14</v>
      </c>
      <c r="G581" s="356" t="s">
        <v>89</v>
      </c>
      <c r="H581" s="356" t="s">
        <v>89</v>
      </c>
      <c r="I581" s="277">
        <v>44928</v>
      </c>
      <c r="J581" s="2" t="s">
        <v>1341</v>
      </c>
      <c r="K581" s="2" t="s">
        <v>837</v>
      </c>
      <c r="L581" s="2" t="s">
        <v>15</v>
      </c>
      <c r="M581" s="2"/>
      <c r="N581" s="2" t="str">
        <f>DitrbFlota[[#This Row],[TIPO BUS]]&amp;"-"&amp;DitrbFlota[[#This Row],[MARCA CHASIS]]</f>
        <v>C2-VOLVO</v>
      </c>
      <c r="O581" s="2">
        <f>MONTH(DitrbFlota[[#This Row],[Inicio Operación]])</f>
        <v>1</v>
      </c>
      <c r="P581" s="2">
        <f>YEAR(DitrbFlota[[#This Row],[Inicio Operación]])</f>
        <v>2023</v>
      </c>
      <c r="Q581" s="29">
        <v>156</v>
      </c>
    </row>
    <row r="582" spans="1:17" hidden="1">
      <c r="A582" s="7" t="s">
        <v>10</v>
      </c>
      <c r="B582" s="2" t="s">
        <v>111</v>
      </c>
      <c r="C582" s="2">
        <v>4037</v>
      </c>
      <c r="D582" s="2" t="s">
        <v>38</v>
      </c>
      <c r="E582" s="2" t="s">
        <v>13</v>
      </c>
      <c r="F582" s="2" t="s">
        <v>14</v>
      </c>
      <c r="G582" s="356" t="s">
        <v>89</v>
      </c>
      <c r="H582" s="356" t="s">
        <v>89</v>
      </c>
      <c r="I582" s="277">
        <v>44928</v>
      </c>
      <c r="J582" s="2" t="s">
        <v>1341</v>
      </c>
      <c r="K582" s="2" t="s">
        <v>837</v>
      </c>
      <c r="L582" s="2" t="s">
        <v>15</v>
      </c>
      <c r="M582" s="2"/>
      <c r="N582" s="2" t="str">
        <f>DitrbFlota[[#This Row],[TIPO BUS]]&amp;"-"&amp;DitrbFlota[[#This Row],[MARCA CHASIS]]</f>
        <v>C2-VOLVO</v>
      </c>
      <c r="O582" s="2">
        <f>MONTH(DitrbFlota[[#This Row],[Inicio Operación]])</f>
        <v>1</v>
      </c>
      <c r="P582" s="2">
        <f>YEAR(DitrbFlota[[#This Row],[Inicio Operación]])</f>
        <v>2023</v>
      </c>
      <c r="Q582" s="29">
        <v>156</v>
      </c>
    </row>
    <row r="583" spans="1:17" hidden="1">
      <c r="A583" s="7" t="s">
        <v>10</v>
      </c>
      <c r="B583" s="2" t="s">
        <v>108</v>
      </c>
      <c r="C583" s="2">
        <v>4039</v>
      </c>
      <c r="D583" s="2" t="s">
        <v>38</v>
      </c>
      <c r="E583" s="2" t="s">
        <v>13</v>
      </c>
      <c r="F583" s="2" t="s">
        <v>14</v>
      </c>
      <c r="G583" s="356" t="s">
        <v>89</v>
      </c>
      <c r="H583" s="356" t="s">
        <v>89</v>
      </c>
      <c r="I583" s="277">
        <v>44928</v>
      </c>
      <c r="J583" s="2" t="s">
        <v>1341</v>
      </c>
      <c r="K583" s="2" t="s">
        <v>837</v>
      </c>
      <c r="L583" s="2" t="s">
        <v>15</v>
      </c>
      <c r="M583" s="2"/>
      <c r="N583" s="2" t="str">
        <f>DitrbFlota[[#This Row],[TIPO BUS]]&amp;"-"&amp;DitrbFlota[[#This Row],[MARCA CHASIS]]</f>
        <v>C2-VOLVO</v>
      </c>
      <c r="O583" s="2">
        <f>MONTH(DitrbFlota[[#This Row],[Inicio Operación]])</f>
        <v>1</v>
      </c>
      <c r="P583" s="2">
        <f>YEAR(DitrbFlota[[#This Row],[Inicio Operación]])</f>
        <v>2023</v>
      </c>
      <c r="Q583" s="29">
        <v>156</v>
      </c>
    </row>
    <row r="584" spans="1:17" hidden="1">
      <c r="A584" s="7" t="s">
        <v>10</v>
      </c>
      <c r="B584" s="2" t="s">
        <v>109</v>
      </c>
      <c r="C584" s="2">
        <v>4045</v>
      </c>
      <c r="D584" s="2" t="s">
        <v>38</v>
      </c>
      <c r="E584" s="2" t="s">
        <v>13</v>
      </c>
      <c r="F584" s="2" t="s">
        <v>14</v>
      </c>
      <c r="G584" s="356" t="s">
        <v>89</v>
      </c>
      <c r="H584" s="356" t="s">
        <v>89</v>
      </c>
      <c r="I584" s="277">
        <v>44928</v>
      </c>
      <c r="J584" s="2" t="s">
        <v>1341</v>
      </c>
      <c r="K584" s="2" t="s">
        <v>837</v>
      </c>
      <c r="L584" s="2" t="s">
        <v>15</v>
      </c>
      <c r="M584" s="2"/>
      <c r="N584" s="2" t="str">
        <f>DitrbFlota[[#This Row],[TIPO BUS]]&amp;"-"&amp;DitrbFlota[[#This Row],[MARCA CHASIS]]</f>
        <v>C2-VOLVO</v>
      </c>
      <c r="O584" s="2">
        <f>MONTH(DitrbFlota[[#This Row],[Inicio Operación]])</f>
        <v>1</v>
      </c>
      <c r="P584" s="2">
        <f>YEAR(DitrbFlota[[#This Row],[Inicio Operación]])</f>
        <v>2023</v>
      </c>
      <c r="Q584" s="29">
        <v>156</v>
      </c>
    </row>
    <row r="585" spans="1:17" hidden="1">
      <c r="A585" s="7" t="s">
        <v>10</v>
      </c>
      <c r="B585" s="2" t="s">
        <v>112</v>
      </c>
      <c r="C585" s="2">
        <v>4047</v>
      </c>
      <c r="D585" s="2" t="s">
        <v>38</v>
      </c>
      <c r="E585" s="2" t="s">
        <v>13</v>
      </c>
      <c r="F585" s="2" t="s">
        <v>14</v>
      </c>
      <c r="G585" s="356" t="s">
        <v>89</v>
      </c>
      <c r="H585" s="356" t="s">
        <v>89</v>
      </c>
      <c r="I585" s="277">
        <v>44928</v>
      </c>
      <c r="J585" s="2" t="s">
        <v>1341</v>
      </c>
      <c r="K585" s="2" t="s">
        <v>837</v>
      </c>
      <c r="L585" s="2" t="s">
        <v>15</v>
      </c>
      <c r="M585" s="2"/>
      <c r="N585" s="2" t="str">
        <f>DitrbFlota[[#This Row],[TIPO BUS]]&amp;"-"&amp;DitrbFlota[[#This Row],[MARCA CHASIS]]</f>
        <v>C2-VOLVO</v>
      </c>
      <c r="O585" s="2">
        <f>MONTH(DitrbFlota[[#This Row],[Inicio Operación]])</f>
        <v>1</v>
      </c>
      <c r="P585" s="2">
        <f>YEAR(DitrbFlota[[#This Row],[Inicio Operación]])</f>
        <v>2023</v>
      </c>
      <c r="Q585" s="29">
        <v>156</v>
      </c>
    </row>
    <row r="586" spans="1:17" hidden="1">
      <c r="A586" s="7" t="s">
        <v>10</v>
      </c>
      <c r="B586" s="2" t="s">
        <v>113</v>
      </c>
      <c r="C586" s="2">
        <v>4053</v>
      </c>
      <c r="D586" s="2" t="s">
        <v>38</v>
      </c>
      <c r="E586" s="2" t="s">
        <v>13</v>
      </c>
      <c r="F586" s="2" t="s">
        <v>14</v>
      </c>
      <c r="G586" s="356" t="s">
        <v>89</v>
      </c>
      <c r="H586" s="356" t="s">
        <v>89</v>
      </c>
      <c r="I586" s="277">
        <v>44928</v>
      </c>
      <c r="J586" s="2" t="s">
        <v>1341</v>
      </c>
      <c r="K586" s="2" t="s">
        <v>837</v>
      </c>
      <c r="L586" s="2" t="s">
        <v>15</v>
      </c>
      <c r="M586" s="2"/>
      <c r="N586" s="2" t="str">
        <f>DitrbFlota[[#This Row],[TIPO BUS]]&amp;"-"&amp;DitrbFlota[[#This Row],[MARCA CHASIS]]</f>
        <v>C2-VOLVO</v>
      </c>
      <c r="O586" s="2">
        <f>MONTH(DitrbFlota[[#This Row],[Inicio Operación]])</f>
        <v>1</v>
      </c>
      <c r="P586" s="2">
        <f>YEAR(DitrbFlota[[#This Row],[Inicio Operación]])</f>
        <v>2023</v>
      </c>
      <c r="Q586" s="29">
        <v>156</v>
      </c>
    </row>
    <row r="587" spans="1:17" hidden="1">
      <c r="A587" s="7" t="s">
        <v>10</v>
      </c>
      <c r="B587" s="2" t="s">
        <v>114</v>
      </c>
      <c r="C587" s="2">
        <v>4054</v>
      </c>
      <c r="D587" s="2" t="s">
        <v>38</v>
      </c>
      <c r="E587" s="2" t="s">
        <v>13</v>
      </c>
      <c r="F587" s="2" t="s">
        <v>14</v>
      </c>
      <c r="G587" s="356" t="s">
        <v>89</v>
      </c>
      <c r="H587" s="356" t="s">
        <v>89</v>
      </c>
      <c r="I587" s="277">
        <v>44928</v>
      </c>
      <c r="J587" s="2" t="s">
        <v>1341</v>
      </c>
      <c r="K587" s="2" t="s">
        <v>837</v>
      </c>
      <c r="L587" s="2" t="s">
        <v>15</v>
      </c>
      <c r="M587" s="2"/>
      <c r="N587" s="2" t="str">
        <f>DitrbFlota[[#This Row],[TIPO BUS]]&amp;"-"&amp;DitrbFlota[[#This Row],[MARCA CHASIS]]</f>
        <v>C2-VOLVO</v>
      </c>
      <c r="O587" s="2">
        <f>MONTH(DitrbFlota[[#This Row],[Inicio Operación]])</f>
        <v>1</v>
      </c>
      <c r="P587" s="2">
        <f>YEAR(DitrbFlota[[#This Row],[Inicio Operación]])</f>
        <v>2023</v>
      </c>
      <c r="Q587" s="29">
        <v>156</v>
      </c>
    </row>
    <row r="588" spans="1:17" hidden="1">
      <c r="A588" s="7" t="s">
        <v>10</v>
      </c>
      <c r="B588" s="2" t="s">
        <v>115</v>
      </c>
      <c r="C588" s="2">
        <v>4055</v>
      </c>
      <c r="D588" s="2" t="s">
        <v>38</v>
      </c>
      <c r="E588" s="2" t="s">
        <v>13</v>
      </c>
      <c r="F588" s="2" t="s">
        <v>14</v>
      </c>
      <c r="G588" s="277" t="s">
        <v>89</v>
      </c>
      <c r="H588" s="277" t="s">
        <v>89</v>
      </c>
      <c r="I588" s="277">
        <v>44928</v>
      </c>
      <c r="J588" s="2" t="s">
        <v>1341</v>
      </c>
      <c r="K588" s="2" t="s">
        <v>837</v>
      </c>
      <c r="L588" s="2" t="s">
        <v>15</v>
      </c>
      <c r="M588" s="2"/>
      <c r="N588" s="2" t="str">
        <f>DitrbFlota[[#This Row],[TIPO BUS]]&amp;"-"&amp;DitrbFlota[[#This Row],[MARCA CHASIS]]</f>
        <v>C2-VOLVO</v>
      </c>
      <c r="O588" s="2">
        <f>MONTH(DitrbFlota[[#This Row],[Inicio Operación]])</f>
        <v>1</v>
      </c>
      <c r="P588" s="2">
        <f>YEAR(DitrbFlota[[#This Row],[Inicio Operación]])</f>
        <v>2023</v>
      </c>
      <c r="Q588" s="29">
        <v>156</v>
      </c>
    </row>
    <row r="589" spans="1:17" hidden="1">
      <c r="A589" s="7" t="s">
        <v>10</v>
      </c>
      <c r="B589" s="2" t="s">
        <v>116</v>
      </c>
      <c r="C589" s="2">
        <v>4060</v>
      </c>
      <c r="D589" s="2" t="s">
        <v>38</v>
      </c>
      <c r="E589" s="2" t="s">
        <v>13</v>
      </c>
      <c r="F589" s="2" t="s">
        <v>14</v>
      </c>
      <c r="G589" s="277" t="s">
        <v>89</v>
      </c>
      <c r="H589" s="277" t="s">
        <v>89</v>
      </c>
      <c r="I589" s="277">
        <v>44928</v>
      </c>
      <c r="J589" s="2" t="s">
        <v>1341</v>
      </c>
      <c r="K589" s="2" t="s">
        <v>837</v>
      </c>
      <c r="L589" s="2" t="s">
        <v>15</v>
      </c>
      <c r="M589" s="2"/>
      <c r="N589" s="2" t="str">
        <f>DitrbFlota[[#This Row],[TIPO BUS]]&amp;"-"&amp;DitrbFlota[[#This Row],[MARCA CHASIS]]</f>
        <v>C2-VOLVO</v>
      </c>
      <c r="O589" s="2">
        <f>MONTH(DitrbFlota[[#This Row],[Inicio Operación]])</f>
        <v>1</v>
      </c>
      <c r="P589" s="2">
        <f>YEAR(DitrbFlota[[#This Row],[Inicio Operación]])</f>
        <v>2023</v>
      </c>
      <c r="Q589" s="29">
        <v>156</v>
      </c>
    </row>
    <row r="590" spans="1:17" hidden="1">
      <c r="A590" s="7" t="s">
        <v>10</v>
      </c>
      <c r="B590" s="2" t="s">
        <v>117</v>
      </c>
      <c r="C590" s="2">
        <v>4062</v>
      </c>
      <c r="D590" s="2" t="s">
        <v>38</v>
      </c>
      <c r="E590" s="2" t="s">
        <v>13</v>
      </c>
      <c r="F590" s="2" t="s">
        <v>14</v>
      </c>
      <c r="G590" s="277" t="s">
        <v>89</v>
      </c>
      <c r="H590" s="277" t="s">
        <v>89</v>
      </c>
      <c r="I590" s="277">
        <v>44928</v>
      </c>
      <c r="J590" s="2" t="s">
        <v>1341</v>
      </c>
      <c r="K590" s="2" t="s">
        <v>837</v>
      </c>
      <c r="L590" s="2" t="s">
        <v>15</v>
      </c>
      <c r="M590" s="2"/>
      <c r="N590" s="2" t="str">
        <f>DitrbFlota[[#This Row],[TIPO BUS]]&amp;"-"&amp;DitrbFlota[[#This Row],[MARCA CHASIS]]</f>
        <v>C2-VOLVO</v>
      </c>
      <c r="O590" s="2">
        <f>MONTH(DitrbFlota[[#This Row],[Inicio Operación]])</f>
        <v>1</v>
      </c>
      <c r="P590" s="2">
        <f>YEAR(DitrbFlota[[#This Row],[Inicio Operación]])</f>
        <v>2023</v>
      </c>
      <c r="Q590" s="29">
        <v>156</v>
      </c>
    </row>
    <row r="591" spans="1:17" hidden="1">
      <c r="A591" s="7" t="s">
        <v>10</v>
      </c>
      <c r="B591" s="2" t="s">
        <v>118</v>
      </c>
      <c r="C591" s="2">
        <v>4065</v>
      </c>
      <c r="D591" s="2" t="s">
        <v>38</v>
      </c>
      <c r="E591" s="2" t="s">
        <v>13</v>
      </c>
      <c r="F591" s="2" t="s">
        <v>14</v>
      </c>
      <c r="G591" s="277" t="s">
        <v>89</v>
      </c>
      <c r="H591" s="277" t="s">
        <v>89</v>
      </c>
      <c r="I591" s="277">
        <v>44928</v>
      </c>
      <c r="J591" s="2" t="s">
        <v>1341</v>
      </c>
      <c r="K591" s="2" t="s">
        <v>837</v>
      </c>
      <c r="L591" s="2" t="s">
        <v>15</v>
      </c>
      <c r="M591" s="2"/>
      <c r="N591" s="2" t="str">
        <f>DitrbFlota[[#This Row],[TIPO BUS]]&amp;"-"&amp;DitrbFlota[[#This Row],[MARCA CHASIS]]</f>
        <v>C2-VOLVO</v>
      </c>
      <c r="O591" s="2">
        <f>MONTH(DitrbFlota[[#This Row],[Inicio Operación]])</f>
        <v>1</v>
      </c>
      <c r="P591" s="2">
        <f>YEAR(DitrbFlota[[#This Row],[Inicio Operación]])</f>
        <v>2023</v>
      </c>
      <c r="Q591" s="29">
        <v>156</v>
      </c>
    </row>
    <row r="592" spans="1:17" hidden="1">
      <c r="A592" s="7" t="s">
        <v>10</v>
      </c>
      <c r="B592" s="2" t="s">
        <v>266</v>
      </c>
      <c r="C592" s="2">
        <v>1006</v>
      </c>
      <c r="D592" s="2" t="s">
        <v>12</v>
      </c>
      <c r="E592" s="2" t="s">
        <v>13</v>
      </c>
      <c r="F592" s="2" t="s">
        <v>14</v>
      </c>
      <c r="G592" s="277" t="s">
        <v>267</v>
      </c>
      <c r="H592" s="277" t="s">
        <v>267</v>
      </c>
      <c r="I592" s="277">
        <v>45038</v>
      </c>
      <c r="J592" s="2" t="s">
        <v>1341</v>
      </c>
      <c r="K592" s="2" t="s">
        <v>838</v>
      </c>
      <c r="L592" s="2" t="s">
        <v>267</v>
      </c>
      <c r="M592" s="2"/>
      <c r="N592" s="2" t="str">
        <f>DitrbFlota[[#This Row],[TIPO BUS]]&amp;"-"&amp;DitrbFlota[[#This Row],[MARCA CHASIS]]</f>
        <v>A2-VOLVO</v>
      </c>
      <c r="O592" s="2">
        <f>MONTH(DitrbFlota[[#This Row],[Inicio Operación]])</f>
        <v>4</v>
      </c>
      <c r="P592" s="2">
        <f>YEAR(DitrbFlota[[#This Row],[Inicio Operación]])</f>
        <v>2023</v>
      </c>
      <c r="Q592" s="29">
        <v>77</v>
      </c>
    </row>
    <row r="593" spans="1:17" hidden="1">
      <c r="A593" s="7" t="s">
        <v>10</v>
      </c>
      <c r="B593" s="2" t="s">
        <v>269</v>
      </c>
      <c r="C593" s="2">
        <v>1007</v>
      </c>
      <c r="D593" s="2" t="s">
        <v>12</v>
      </c>
      <c r="E593" s="2" t="s">
        <v>13</v>
      </c>
      <c r="F593" s="2" t="s">
        <v>14</v>
      </c>
      <c r="G593" s="277" t="s">
        <v>267</v>
      </c>
      <c r="H593" s="277" t="s">
        <v>267</v>
      </c>
      <c r="I593" s="277">
        <v>45038</v>
      </c>
      <c r="J593" s="2" t="s">
        <v>1341</v>
      </c>
      <c r="K593" s="2" t="s">
        <v>838</v>
      </c>
      <c r="L593" s="2" t="s">
        <v>267</v>
      </c>
      <c r="M593" s="2"/>
      <c r="N593" s="2" t="str">
        <f>DitrbFlota[[#This Row],[TIPO BUS]]&amp;"-"&amp;DitrbFlota[[#This Row],[MARCA CHASIS]]</f>
        <v>A2-VOLVO</v>
      </c>
      <c r="O593" s="2">
        <f>MONTH(DitrbFlota[[#This Row],[Inicio Operación]])</f>
        <v>4</v>
      </c>
      <c r="P593" s="2">
        <f>YEAR(DitrbFlota[[#This Row],[Inicio Operación]])</f>
        <v>2023</v>
      </c>
      <c r="Q593" s="29">
        <v>77</v>
      </c>
    </row>
    <row r="594" spans="1:17" hidden="1">
      <c r="A594" s="7" t="s">
        <v>10</v>
      </c>
      <c r="B594" s="2" t="s">
        <v>271</v>
      </c>
      <c r="C594" s="2">
        <v>1014</v>
      </c>
      <c r="D594" s="2" t="s">
        <v>12</v>
      </c>
      <c r="E594" s="2" t="s">
        <v>13</v>
      </c>
      <c r="F594" s="2" t="s">
        <v>14</v>
      </c>
      <c r="G594" s="277" t="s">
        <v>267</v>
      </c>
      <c r="H594" s="277" t="s">
        <v>267</v>
      </c>
      <c r="I594" s="277">
        <v>45038</v>
      </c>
      <c r="J594" s="2" t="s">
        <v>1341</v>
      </c>
      <c r="K594" s="2" t="s">
        <v>838</v>
      </c>
      <c r="L594" s="2" t="s">
        <v>267</v>
      </c>
      <c r="M594" s="2"/>
      <c r="N594" s="2" t="str">
        <f>DitrbFlota[[#This Row],[TIPO BUS]]&amp;"-"&amp;DitrbFlota[[#This Row],[MARCA CHASIS]]</f>
        <v>A2-VOLVO</v>
      </c>
      <c r="O594" s="2">
        <f>MONTH(DitrbFlota[[#This Row],[Inicio Operación]])</f>
        <v>4</v>
      </c>
      <c r="P594" s="2">
        <f>YEAR(DitrbFlota[[#This Row],[Inicio Operación]])</f>
        <v>2023</v>
      </c>
      <c r="Q594" s="29">
        <v>77</v>
      </c>
    </row>
    <row r="595" spans="1:17" hidden="1">
      <c r="A595" s="7" t="s">
        <v>10</v>
      </c>
      <c r="B595" s="2" t="s">
        <v>273</v>
      </c>
      <c r="C595" s="2">
        <v>1016</v>
      </c>
      <c r="D595" s="2" t="s">
        <v>12</v>
      </c>
      <c r="E595" s="2" t="s">
        <v>13</v>
      </c>
      <c r="F595" s="2" t="s">
        <v>14</v>
      </c>
      <c r="G595" s="277" t="s">
        <v>267</v>
      </c>
      <c r="H595" s="277" t="s">
        <v>267</v>
      </c>
      <c r="I595" s="277">
        <v>45038</v>
      </c>
      <c r="J595" s="2" t="s">
        <v>1341</v>
      </c>
      <c r="K595" s="2" t="s">
        <v>838</v>
      </c>
      <c r="L595" s="2" t="s">
        <v>267</v>
      </c>
      <c r="M595" s="2"/>
      <c r="N595" s="2" t="str">
        <f>DitrbFlota[[#This Row],[TIPO BUS]]&amp;"-"&amp;DitrbFlota[[#This Row],[MARCA CHASIS]]</f>
        <v>A2-VOLVO</v>
      </c>
      <c r="O595" s="2">
        <f>MONTH(DitrbFlota[[#This Row],[Inicio Operación]])</f>
        <v>4</v>
      </c>
      <c r="P595" s="2">
        <f>YEAR(DitrbFlota[[#This Row],[Inicio Operación]])</f>
        <v>2023</v>
      </c>
      <c r="Q595" s="29">
        <v>77</v>
      </c>
    </row>
    <row r="596" spans="1:17" hidden="1">
      <c r="A596" s="7" t="s">
        <v>10</v>
      </c>
      <c r="B596" s="2" t="s">
        <v>275</v>
      </c>
      <c r="C596" s="2">
        <v>1017</v>
      </c>
      <c r="D596" s="2" t="s">
        <v>12</v>
      </c>
      <c r="E596" s="2" t="s">
        <v>13</v>
      </c>
      <c r="F596" s="2" t="s">
        <v>14</v>
      </c>
      <c r="G596" s="277" t="s">
        <v>267</v>
      </c>
      <c r="H596" s="277" t="s">
        <v>267</v>
      </c>
      <c r="I596" s="277">
        <v>45038</v>
      </c>
      <c r="J596" s="2" t="s">
        <v>1341</v>
      </c>
      <c r="K596" s="2" t="s">
        <v>838</v>
      </c>
      <c r="L596" s="2" t="s">
        <v>267</v>
      </c>
      <c r="M596" s="2"/>
      <c r="N596" s="2" t="str">
        <f>DitrbFlota[[#This Row],[TIPO BUS]]&amp;"-"&amp;DitrbFlota[[#This Row],[MARCA CHASIS]]</f>
        <v>A2-VOLVO</v>
      </c>
      <c r="O596" s="2">
        <f>MONTH(DitrbFlota[[#This Row],[Inicio Operación]])</f>
        <v>4</v>
      </c>
      <c r="P596" s="2">
        <f>YEAR(DitrbFlota[[#This Row],[Inicio Operación]])</f>
        <v>2023</v>
      </c>
      <c r="Q596" s="29">
        <v>77</v>
      </c>
    </row>
    <row r="597" spans="1:17" hidden="1">
      <c r="A597" s="7" t="s">
        <v>10</v>
      </c>
      <c r="B597" s="2" t="s">
        <v>277</v>
      </c>
      <c r="C597" s="2">
        <v>1024</v>
      </c>
      <c r="D597" s="2" t="s">
        <v>12</v>
      </c>
      <c r="E597" s="2" t="s">
        <v>13</v>
      </c>
      <c r="F597" s="2" t="s">
        <v>14</v>
      </c>
      <c r="G597" s="277" t="s">
        <v>267</v>
      </c>
      <c r="H597" s="277" t="s">
        <v>267</v>
      </c>
      <c r="I597" s="277">
        <v>45038</v>
      </c>
      <c r="J597" s="2" t="s">
        <v>1341</v>
      </c>
      <c r="K597" s="2" t="s">
        <v>838</v>
      </c>
      <c r="L597" s="2" t="s">
        <v>267</v>
      </c>
      <c r="M597" s="2"/>
      <c r="N597" s="2" t="str">
        <f>DitrbFlota[[#This Row],[TIPO BUS]]&amp;"-"&amp;DitrbFlota[[#This Row],[MARCA CHASIS]]</f>
        <v>A2-VOLVO</v>
      </c>
      <c r="O597" s="2">
        <f>MONTH(DitrbFlota[[#This Row],[Inicio Operación]])</f>
        <v>4</v>
      </c>
      <c r="P597" s="2">
        <f>YEAR(DitrbFlota[[#This Row],[Inicio Operación]])</f>
        <v>2023</v>
      </c>
      <c r="Q597" s="29">
        <v>77</v>
      </c>
    </row>
    <row r="598" spans="1:17" hidden="1">
      <c r="A598" s="7" t="s">
        <v>10</v>
      </c>
      <c r="B598" s="2" t="s">
        <v>278</v>
      </c>
      <c r="C598" s="2">
        <v>1025</v>
      </c>
      <c r="D598" s="2" t="s">
        <v>12</v>
      </c>
      <c r="E598" s="2" t="s">
        <v>13</v>
      </c>
      <c r="F598" s="2" t="s">
        <v>14</v>
      </c>
      <c r="G598" s="277" t="s">
        <v>267</v>
      </c>
      <c r="H598" s="277" t="s">
        <v>267</v>
      </c>
      <c r="I598" s="277">
        <v>45038</v>
      </c>
      <c r="J598" s="2" t="s">
        <v>1341</v>
      </c>
      <c r="K598" s="2" t="s">
        <v>838</v>
      </c>
      <c r="L598" s="2" t="s">
        <v>267</v>
      </c>
      <c r="M598" s="2"/>
      <c r="N598" s="2" t="str">
        <f>DitrbFlota[[#This Row],[TIPO BUS]]&amp;"-"&amp;DitrbFlota[[#This Row],[MARCA CHASIS]]</f>
        <v>A2-VOLVO</v>
      </c>
      <c r="O598" s="2">
        <f>MONTH(DitrbFlota[[#This Row],[Inicio Operación]])</f>
        <v>4</v>
      </c>
      <c r="P598" s="2">
        <f>YEAR(DitrbFlota[[#This Row],[Inicio Operación]])</f>
        <v>2023</v>
      </c>
      <c r="Q598" s="29">
        <v>77</v>
      </c>
    </row>
    <row r="599" spans="1:17" hidden="1">
      <c r="A599" s="7" t="s">
        <v>10</v>
      </c>
      <c r="B599" s="2" t="s">
        <v>279</v>
      </c>
      <c r="C599" s="2">
        <v>1026</v>
      </c>
      <c r="D599" s="2" t="s">
        <v>12</v>
      </c>
      <c r="E599" s="2" t="s">
        <v>13</v>
      </c>
      <c r="F599" s="2" t="s">
        <v>14</v>
      </c>
      <c r="G599" s="277" t="s">
        <v>267</v>
      </c>
      <c r="H599" s="277" t="s">
        <v>267</v>
      </c>
      <c r="I599" s="277">
        <v>45038</v>
      </c>
      <c r="J599" s="2" t="s">
        <v>1341</v>
      </c>
      <c r="K599" s="2" t="s">
        <v>838</v>
      </c>
      <c r="L599" s="2" t="s">
        <v>267</v>
      </c>
      <c r="M599" s="2"/>
      <c r="N599" s="2" t="str">
        <f>DitrbFlota[[#This Row],[TIPO BUS]]&amp;"-"&amp;DitrbFlota[[#This Row],[MARCA CHASIS]]</f>
        <v>A2-VOLVO</v>
      </c>
      <c r="O599" s="2">
        <f>MONTH(DitrbFlota[[#This Row],[Inicio Operación]])</f>
        <v>4</v>
      </c>
      <c r="P599" s="2">
        <f>YEAR(DitrbFlota[[#This Row],[Inicio Operación]])</f>
        <v>2023</v>
      </c>
      <c r="Q599" s="29">
        <v>77</v>
      </c>
    </row>
    <row r="600" spans="1:17" hidden="1">
      <c r="A600" s="7" t="s">
        <v>10</v>
      </c>
      <c r="B600" s="2" t="s">
        <v>280</v>
      </c>
      <c r="C600" s="2">
        <v>1027</v>
      </c>
      <c r="D600" s="2" t="s">
        <v>12</v>
      </c>
      <c r="E600" s="2" t="s">
        <v>13</v>
      </c>
      <c r="F600" s="2" t="s">
        <v>14</v>
      </c>
      <c r="G600" s="277" t="s">
        <v>267</v>
      </c>
      <c r="H600" s="277" t="s">
        <v>267</v>
      </c>
      <c r="I600" s="277">
        <v>45038</v>
      </c>
      <c r="J600" s="2" t="s">
        <v>1341</v>
      </c>
      <c r="K600" s="2" t="s">
        <v>838</v>
      </c>
      <c r="L600" s="2" t="s">
        <v>267</v>
      </c>
      <c r="M600" s="2"/>
      <c r="N600" s="2" t="str">
        <f>DitrbFlota[[#This Row],[TIPO BUS]]&amp;"-"&amp;DitrbFlota[[#This Row],[MARCA CHASIS]]</f>
        <v>A2-VOLVO</v>
      </c>
      <c r="O600" s="2">
        <f>MONTH(DitrbFlota[[#This Row],[Inicio Operación]])</f>
        <v>4</v>
      </c>
      <c r="P600" s="2">
        <f>YEAR(DitrbFlota[[#This Row],[Inicio Operación]])</f>
        <v>2023</v>
      </c>
      <c r="Q600" s="29">
        <v>77</v>
      </c>
    </row>
    <row r="601" spans="1:17" hidden="1">
      <c r="A601" s="7" t="s">
        <v>10</v>
      </c>
      <c r="B601" s="2" t="s">
        <v>281</v>
      </c>
      <c r="C601" s="2">
        <v>1030</v>
      </c>
      <c r="D601" s="2" t="s">
        <v>12</v>
      </c>
      <c r="E601" s="2" t="s">
        <v>13</v>
      </c>
      <c r="F601" s="2" t="s">
        <v>14</v>
      </c>
      <c r="G601" s="277" t="s">
        <v>267</v>
      </c>
      <c r="H601" s="277" t="s">
        <v>267</v>
      </c>
      <c r="I601" s="277">
        <v>45038</v>
      </c>
      <c r="J601" s="2" t="s">
        <v>1341</v>
      </c>
      <c r="K601" s="2" t="s">
        <v>838</v>
      </c>
      <c r="L601" s="2" t="s">
        <v>267</v>
      </c>
      <c r="M601" s="2"/>
      <c r="N601" s="2" t="str">
        <f>DitrbFlota[[#This Row],[TIPO BUS]]&amp;"-"&amp;DitrbFlota[[#This Row],[MARCA CHASIS]]</f>
        <v>A2-VOLVO</v>
      </c>
      <c r="O601" s="2">
        <f>MONTH(DitrbFlota[[#This Row],[Inicio Operación]])</f>
        <v>4</v>
      </c>
      <c r="P601" s="2">
        <f>YEAR(DitrbFlota[[#This Row],[Inicio Operación]])</f>
        <v>2023</v>
      </c>
      <c r="Q601" s="29">
        <v>77</v>
      </c>
    </row>
    <row r="602" spans="1:17" hidden="1">
      <c r="A602" s="7" t="s">
        <v>10</v>
      </c>
      <c r="B602" s="2" t="s">
        <v>282</v>
      </c>
      <c r="C602" s="2">
        <v>1031</v>
      </c>
      <c r="D602" s="2" t="s">
        <v>12</v>
      </c>
      <c r="E602" s="2" t="s">
        <v>13</v>
      </c>
      <c r="F602" s="2" t="s">
        <v>14</v>
      </c>
      <c r="G602" s="277" t="s">
        <v>267</v>
      </c>
      <c r="H602" s="277" t="s">
        <v>267</v>
      </c>
      <c r="I602" s="277">
        <v>45038</v>
      </c>
      <c r="J602" s="2" t="s">
        <v>1341</v>
      </c>
      <c r="K602" s="2" t="s">
        <v>838</v>
      </c>
      <c r="L602" s="2" t="s">
        <v>267</v>
      </c>
      <c r="M602" s="2"/>
      <c r="N602" s="2" t="str">
        <f>DitrbFlota[[#This Row],[TIPO BUS]]&amp;"-"&amp;DitrbFlota[[#This Row],[MARCA CHASIS]]</f>
        <v>A2-VOLVO</v>
      </c>
      <c r="O602" s="2">
        <f>MONTH(DitrbFlota[[#This Row],[Inicio Operación]])</f>
        <v>4</v>
      </c>
      <c r="P602" s="2">
        <f>YEAR(DitrbFlota[[#This Row],[Inicio Operación]])</f>
        <v>2023</v>
      </c>
      <c r="Q602" s="29">
        <v>77</v>
      </c>
    </row>
    <row r="603" spans="1:17" hidden="1">
      <c r="A603" s="7" t="s">
        <v>10</v>
      </c>
      <c r="B603" s="2" t="s">
        <v>283</v>
      </c>
      <c r="C603" s="2">
        <v>1032</v>
      </c>
      <c r="D603" s="2" t="s">
        <v>12</v>
      </c>
      <c r="E603" s="2" t="s">
        <v>13</v>
      </c>
      <c r="F603" s="2" t="s">
        <v>14</v>
      </c>
      <c r="G603" s="277" t="s">
        <v>267</v>
      </c>
      <c r="H603" s="277" t="s">
        <v>267</v>
      </c>
      <c r="I603" s="277">
        <v>45038</v>
      </c>
      <c r="J603" s="2" t="s">
        <v>1341</v>
      </c>
      <c r="K603" s="2" t="s">
        <v>838</v>
      </c>
      <c r="L603" s="2" t="s">
        <v>267</v>
      </c>
      <c r="M603" s="2"/>
      <c r="N603" s="2" t="str">
        <f>DitrbFlota[[#This Row],[TIPO BUS]]&amp;"-"&amp;DitrbFlota[[#This Row],[MARCA CHASIS]]</f>
        <v>A2-VOLVO</v>
      </c>
      <c r="O603" s="2">
        <f>MONTH(DitrbFlota[[#This Row],[Inicio Operación]])</f>
        <v>4</v>
      </c>
      <c r="P603" s="2">
        <f>YEAR(DitrbFlota[[#This Row],[Inicio Operación]])</f>
        <v>2023</v>
      </c>
      <c r="Q603" s="29">
        <v>77</v>
      </c>
    </row>
    <row r="604" spans="1:17" hidden="1">
      <c r="A604" s="7" t="s">
        <v>10</v>
      </c>
      <c r="B604" s="2" t="s">
        <v>284</v>
      </c>
      <c r="C604" s="2">
        <v>1033</v>
      </c>
      <c r="D604" s="2" t="s">
        <v>12</v>
      </c>
      <c r="E604" s="2" t="s">
        <v>13</v>
      </c>
      <c r="F604" s="2" t="s">
        <v>14</v>
      </c>
      <c r="G604" s="277" t="s">
        <v>267</v>
      </c>
      <c r="H604" s="277" t="s">
        <v>267</v>
      </c>
      <c r="I604" s="277">
        <v>45038</v>
      </c>
      <c r="J604" s="2" t="s">
        <v>1341</v>
      </c>
      <c r="K604" s="2" t="s">
        <v>838</v>
      </c>
      <c r="L604" s="2" t="s">
        <v>267</v>
      </c>
      <c r="M604" s="2"/>
      <c r="N604" s="2" t="str">
        <f>DitrbFlota[[#This Row],[TIPO BUS]]&amp;"-"&amp;DitrbFlota[[#This Row],[MARCA CHASIS]]</f>
        <v>A2-VOLVO</v>
      </c>
      <c r="O604" s="2">
        <f>MONTH(DitrbFlota[[#This Row],[Inicio Operación]])</f>
        <v>4</v>
      </c>
      <c r="P604" s="2">
        <f>YEAR(DitrbFlota[[#This Row],[Inicio Operación]])</f>
        <v>2023</v>
      </c>
      <c r="Q604" s="29">
        <v>77</v>
      </c>
    </row>
    <row r="605" spans="1:17" hidden="1">
      <c r="A605" s="7" t="s">
        <v>10</v>
      </c>
      <c r="B605" s="2" t="s">
        <v>286</v>
      </c>
      <c r="C605" s="2">
        <v>1034</v>
      </c>
      <c r="D605" s="2" t="s">
        <v>12</v>
      </c>
      <c r="E605" s="2" t="s">
        <v>13</v>
      </c>
      <c r="F605" s="2" t="s">
        <v>14</v>
      </c>
      <c r="G605" s="277" t="s">
        <v>267</v>
      </c>
      <c r="H605" s="277" t="s">
        <v>267</v>
      </c>
      <c r="I605" s="277">
        <v>45038</v>
      </c>
      <c r="J605" s="2" t="s">
        <v>1341</v>
      </c>
      <c r="K605" s="2" t="s">
        <v>838</v>
      </c>
      <c r="L605" s="2" t="s">
        <v>267</v>
      </c>
      <c r="M605" s="2"/>
      <c r="N605" s="2" t="str">
        <f>DitrbFlota[[#This Row],[TIPO BUS]]&amp;"-"&amp;DitrbFlota[[#This Row],[MARCA CHASIS]]</f>
        <v>A2-VOLVO</v>
      </c>
      <c r="O605" s="2">
        <f>MONTH(DitrbFlota[[#This Row],[Inicio Operación]])</f>
        <v>4</v>
      </c>
      <c r="P605" s="2">
        <f>YEAR(DitrbFlota[[#This Row],[Inicio Operación]])</f>
        <v>2023</v>
      </c>
      <c r="Q605" s="29">
        <v>77</v>
      </c>
    </row>
    <row r="606" spans="1:17" hidden="1">
      <c r="A606" s="7" t="s">
        <v>10</v>
      </c>
      <c r="B606" s="2" t="s">
        <v>287</v>
      </c>
      <c r="C606" s="2">
        <v>1035</v>
      </c>
      <c r="D606" s="2" t="s">
        <v>12</v>
      </c>
      <c r="E606" s="2" t="s">
        <v>13</v>
      </c>
      <c r="F606" s="2" t="s">
        <v>14</v>
      </c>
      <c r="G606" s="277" t="s">
        <v>267</v>
      </c>
      <c r="H606" s="277" t="s">
        <v>267</v>
      </c>
      <c r="I606" s="277">
        <v>45038</v>
      </c>
      <c r="J606" s="2" t="s">
        <v>1341</v>
      </c>
      <c r="K606" s="2" t="s">
        <v>838</v>
      </c>
      <c r="L606" s="2" t="s">
        <v>267</v>
      </c>
      <c r="M606" s="2"/>
      <c r="N606" s="2" t="str">
        <f>DitrbFlota[[#This Row],[TIPO BUS]]&amp;"-"&amp;DitrbFlota[[#This Row],[MARCA CHASIS]]</f>
        <v>A2-VOLVO</v>
      </c>
      <c r="O606" s="2">
        <f>MONTH(DitrbFlota[[#This Row],[Inicio Operación]])</f>
        <v>4</v>
      </c>
      <c r="P606" s="2">
        <f>YEAR(DitrbFlota[[#This Row],[Inicio Operación]])</f>
        <v>2023</v>
      </c>
      <c r="Q606" s="29">
        <v>77</v>
      </c>
    </row>
    <row r="607" spans="1:17" hidden="1">
      <c r="A607" s="7" t="s">
        <v>10</v>
      </c>
      <c r="B607" s="2" t="s">
        <v>288</v>
      </c>
      <c r="C607" s="2">
        <v>1036</v>
      </c>
      <c r="D607" s="2" t="s">
        <v>12</v>
      </c>
      <c r="E607" s="2" t="s">
        <v>13</v>
      </c>
      <c r="F607" s="2" t="s">
        <v>14</v>
      </c>
      <c r="G607" s="277" t="s">
        <v>267</v>
      </c>
      <c r="H607" s="277" t="s">
        <v>267</v>
      </c>
      <c r="I607" s="277">
        <v>45038</v>
      </c>
      <c r="J607" s="2" t="s">
        <v>1341</v>
      </c>
      <c r="K607" s="2" t="s">
        <v>838</v>
      </c>
      <c r="L607" s="2" t="s">
        <v>267</v>
      </c>
      <c r="M607" s="2"/>
      <c r="N607" s="2" t="str">
        <f>DitrbFlota[[#This Row],[TIPO BUS]]&amp;"-"&amp;DitrbFlota[[#This Row],[MARCA CHASIS]]</f>
        <v>A2-VOLVO</v>
      </c>
      <c r="O607" s="2">
        <f>MONTH(DitrbFlota[[#This Row],[Inicio Operación]])</f>
        <v>4</v>
      </c>
      <c r="P607" s="2">
        <f>YEAR(DitrbFlota[[#This Row],[Inicio Operación]])</f>
        <v>2023</v>
      </c>
      <c r="Q607" s="29">
        <v>77</v>
      </c>
    </row>
    <row r="608" spans="1:17" hidden="1">
      <c r="A608" s="7" t="s">
        <v>10</v>
      </c>
      <c r="B608" s="2" t="s">
        <v>289</v>
      </c>
      <c r="C608" s="2">
        <v>2000</v>
      </c>
      <c r="D608" s="2" t="s">
        <v>285</v>
      </c>
      <c r="E608" s="2" t="s">
        <v>13</v>
      </c>
      <c r="F608" s="2" t="s">
        <v>145</v>
      </c>
      <c r="G608" s="277" t="s">
        <v>267</v>
      </c>
      <c r="H608" s="277" t="s">
        <v>267</v>
      </c>
      <c r="I608" s="277">
        <v>45038</v>
      </c>
      <c r="J608" s="2" t="s">
        <v>830</v>
      </c>
      <c r="K608" s="2" t="s">
        <v>838</v>
      </c>
      <c r="L608" s="2" t="s">
        <v>267</v>
      </c>
      <c r="M608" s="2"/>
      <c r="N608" s="2" t="str">
        <f>DitrbFlota[[#This Row],[TIPO BUS]]&amp;"-"&amp;DitrbFlota[[#This Row],[MARCA CHASIS]]</f>
        <v>BPAL-MERCEDES BENZ</v>
      </c>
      <c r="O608" s="2">
        <f>MONTH(DitrbFlota[[#This Row],[Inicio Operación]])</f>
        <v>4</v>
      </c>
      <c r="P608" s="2">
        <f>YEAR(DitrbFlota[[#This Row],[Inicio Operación]])</f>
        <v>2023</v>
      </c>
      <c r="Q608" s="29">
        <v>90</v>
      </c>
    </row>
    <row r="609" spans="1:17" hidden="1">
      <c r="A609" s="7" t="s">
        <v>10</v>
      </c>
      <c r="B609" s="2" t="s">
        <v>290</v>
      </c>
      <c r="C609" s="2">
        <v>2001</v>
      </c>
      <c r="D609" s="2" t="s">
        <v>285</v>
      </c>
      <c r="E609" s="2" t="s">
        <v>13</v>
      </c>
      <c r="F609" s="2" t="s">
        <v>145</v>
      </c>
      <c r="G609" s="277" t="s">
        <v>267</v>
      </c>
      <c r="H609" s="277" t="s">
        <v>267</v>
      </c>
      <c r="I609" s="277">
        <v>45038</v>
      </c>
      <c r="J609" s="2" t="s">
        <v>830</v>
      </c>
      <c r="K609" s="2" t="s">
        <v>838</v>
      </c>
      <c r="L609" s="2" t="s">
        <v>267</v>
      </c>
      <c r="M609" s="2"/>
      <c r="N609" s="2" t="str">
        <f>DitrbFlota[[#This Row],[TIPO BUS]]&amp;"-"&amp;DitrbFlota[[#This Row],[MARCA CHASIS]]</f>
        <v>BPAL-MERCEDES BENZ</v>
      </c>
      <c r="O609" s="2">
        <f>MONTH(DitrbFlota[[#This Row],[Inicio Operación]])</f>
        <v>4</v>
      </c>
      <c r="P609" s="2">
        <f>YEAR(DitrbFlota[[#This Row],[Inicio Operación]])</f>
        <v>2023</v>
      </c>
      <c r="Q609" s="29">
        <v>90</v>
      </c>
    </row>
    <row r="610" spans="1:17" hidden="1">
      <c r="A610" s="7" t="s">
        <v>10</v>
      </c>
      <c r="B610" s="2" t="s">
        <v>291</v>
      </c>
      <c r="C610" s="2">
        <v>2002</v>
      </c>
      <c r="D610" s="2" t="s">
        <v>285</v>
      </c>
      <c r="E610" s="2" t="s">
        <v>13</v>
      </c>
      <c r="F610" s="2" t="s">
        <v>145</v>
      </c>
      <c r="G610" s="277" t="s">
        <v>267</v>
      </c>
      <c r="H610" s="277" t="s">
        <v>267</v>
      </c>
      <c r="I610" s="277">
        <v>45038</v>
      </c>
      <c r="J610" s="2" t="s">
        <v>830</v>
      </c>
      <c r="K610" s="2" t="s">
        <v>838</v>
      </c>
      <c r="L610" s="2" t="s">
        <v>267</v>
      </c>
      <c r="M610" s="2"/>
      <c r="N610" s="2" t="str">
        <f>DitrbFlota[[#This Row],[TIPO BUS]]&amp;"-"&amp;DitrbFlota[[#This Row],[MARCA CHASIS]]</f>
        <v>BPAL-MERCEDES BENZ</v>
      </c>
      <c r="O610" s="2">
        <f>MONTH(DitrbFlota[[#This Row],[Inicio Operación]])</f>
        <v>4</v>
      </c>
      <c r="P610" s="2">
        <f>YEAR(DitrbFlota[[#This Row],[Inicio Operación]])</f>
        <v>2023</v>
      </c>
      <c r="Q610" s="29">
        <v>90</v>
      </c>
    </row>
    <row r="611" spans="1:17" hidden="1">
      <c r="A611" s="7" t="s">
        <v>10</v>
      </c>
      <c r="B611" s="2" t="s">
        <v>292</v>
      </c>
      <c r="C611" s="2">
        <v>2003</v>
      </c>
      <c r="D611" s="2" t="s">
        <v>285</v>
      </c>
      <c r="E611" s="2" t="s">
        <v>13</v>
      </c>
      <c r="F611" s="2" t="s">
        <v>145</v>
      </c>
      <c r="G611" s="277" t="s">
        <v>267</v>
      </c>
      <c r="H611" s="277" t="s">
        <v>267</v>
      </c>
      <c r="I611" s="277">
        <v>45038</v>
      </c>
      <c r="J611" s="2" t="s">
        <v>830</v>
      </c>
      <c r="K611" s="2" t="s">
        <v>838</v>
      </c>
      <c r="L611" s="2" t="s">
        <v>267</v>
      </c>
      <c r="M611" s="2"/>
      <c r="N611" s="2" t="str">
        <f>DitrbFlota[[#This Row],[TIPO BUS]]&amp;"-"&amp;DitrbFlota[[#This Row],[MARCA CHASIS]]</f>
        <v>BPAL-MERCEDES BENZ</v>
      </c>
      <c r="O611" s="2">
        <f>MONTH(DitrbFlota[[#This Row],[Inicio Operación]])</f>
        <v>4</v>
      </c>
      <c r="P611" s="2">
        <f>YEAR(DitrbFlota[[#This Row],[Inicio Operación]])</f>
        <v>2023</v>
      </c>
      <c r="Q611" s="29">
        <v>90</v>
      </c>
    </row>
    <row r="612" spans="1:17" hidden="1">
      <c r="A612" s="7" t="s">
        <v>10</v>
      </c>
      <c r="B612" s="2" t="s">
        <v>293</v>
      </c>
      <c r="C612" s="2">
        <v>2004</v>
      </c>
      <c r="D612" s="2" t="s">
        <v>285</v>
      </c>
      <c r="E612" s="2" t="s">
        <v>13</v>
      </c>
      <c r="F612" s="2" t="s">
        <v>145</v>
      </c>
      <c r="G612" s="277" t="s">
        <v>267</v>
      </c>
      <c r="H612" s="277" t="s">
        <v>267</v>
      </c>
      <c r="I612" s="277">
        <v>45038</v>
      </c>
      <c r="J612" s="2" t="s">
        <v>830</v>
      </c>
      <c r="K612" s="2" t="s">
        <v>838</v>
      </c>
      <c r="L612" s="2" t="s">
        <v>267</v>
      </c>
      <c r="M612" s="2"/>
      <c r="N612" s="2" t="str">
        <f>DitrbFlota[[#This Row],[TIPO BUS]]&amp;"-"&amp;DitrbFlota[[#This Row],[MARCA CHASIS]]</f>
        <v>BPAL-MERCEDES BENZ</v>
      </c>
      <c r="O612" s="2">
        <f>MONTH(DitrbFlota[[#This Row],[Inicio Operación]])</f>
        <v>4</v>
      </c>
      <c r="P612" s="2">
        <f>YEAR(DitrbFlota[[#This Row],[Inicio Operación]])</f>
        <v>2023</v>
      </c>
      <c r="Q612" s="29">
        <v>90</v>
      </c>
    </row>
    <row r="613" spans="1:17" hidden="1">
      <c r="A613" s="7" t="s">
        <v>10</v>
      </c>
      <c r="B613" s="2" t="s">
        <v>294</v>
      </c>
      <c r="C613" s="2">
        <v>2005</v>
      </c>
      <c r="D613" s="2" t="s">
        <v>285</v>
      </c>
      <c r="E613" s="2" t="s">
        <v>13</v>
      </c>
      <c r="F613" s="2" t="s">
        <v>145</v>
      </c>
      <c r="G613" s="277" t="s">
        <v>267</v>
      </c>
      <c r="H613" s="277" t="s">
        <v>267</v>
      </c>
      <c r="I613" s="277">
        <v>45038</v>
      </c>
      <c r="J613" s="2" t="s">
        <v>830</v>
      </c>
      <c r="K613" s="2" t="s">
        <v>838</v>
      </c>
      <c r="L613" s="2" t="s">
        <v>267</v>
      </c>
      <c r="M613" s="2"/>
      <c r="N613" s="2" t="str">
        <f>DitrbFlota[[#This Row],[TIPO BUS]]&amp;"-"&amp;DitrbFlota[[#This Row],[MARCA CHASIS]]</f>
        <v>BPAL-MERCEDES BENZ</v>
      </c>
      <c r="O613" s="2">
        <f>MONTH(DitrbFlota[[#This Row],[Inicio Operación]])</f>
        <v>4</v>
      </c>
      <c r="P613" s="2">
        <f>YEAR(DitrbFlota[[#This Row],[Inicio Operación]])</f>
        <v>2023</v>
      </c>
      <c r="Q613" s="29">
        <v>90</v>
      </c>
    </row>
    <row r="614" spans="1:17" hidden="1">
      <c r="A614" s="7" t="s">
        <v>10</v>
      </c>
      <c r="B614" s="2" t="s">
        <v>295</v>
      </c>
      <c r="C614" s="2">
        <v>2006</v>
      </c>
      <c r="D614" s="2" t="s">
        <v>285</v>
      </c>
      <c r="E614" s="2" t="s">
        <v>13</v>
      </c>
      <c r="F614" s="2" t="s">
        <v>145</v>
      </c>
      <c r="G614" s="277" t="s">
        <v>267</v>
      </c>
      <c r="H614" s="277" t="s">
        <v>267</v>
      </c>
      <c r="I614" s="277">
        <v>45038</v>
      </c>
      <c r="J614" s="2" t="s">
        <v>830</v>
      </c>
      <c r="K614" s="2" t="s">
        <v>838</v>
      </c>
      <c r="L614" s="2" t="s">
        <v>267</v>
      </c>
      <c r="M614" s="2"/>
      <c r="N614" s="2" t="str">
        <f>DitrbFlota[[#This Row],[TIPO BUS]]&amp;"-"&amp;DitrbFlota[[#This Row],[MARCA CHASIS]]</f>
        <v>BPAL-MERCEDES BENZ</v>
      </c>
      <c r="O614" s="2">
        <f>MONTH(DitrbFlota[[#This Row],[Inicio Operación]])</f>
        <v>4</v>
      </c>
      <c r="P614" s="2">
        <f>YEAR(DitrbFlota[[#This Row],[Inicio Operación]])</f>
        <v>2023</v>
      </c>
      <c r="Q614" s="29">
        <v>90</v>
      </c>
    </row>
    <row r="615" spans="1:17" hidden="1">
      <c r="A615" s="7" t="s">
        <v>10</v>
      </c>
      <c r="B615" s="2" t="s">
        <v>296</v>
      </c>
      <c r="C615" s="2">
        <v>2007</v>
      </c>
      <c r="D615" s="2" t="s">
        <v>285</v>
      </c>
      <c r="E615" s="2" t="s">
        <v>13</v>
      </c>
      <c r="F615" s="2" t="s">
        <v>145</v>
      </c>
      <c r="G615" s="277" t="s">
        <v>267</v>
      </c>
      <c r="H615" s="277" t="s">
        <v>267</v>
      </c>
      <c r="I615" s="277">
        <v>45038</v>
      </c>
      <c r="J615" s="2" t="s">
        <v>830</v>
      </c>
      <c r="K615" s="2" t="s">
        <v>838</v>
      </c>
      <c r="L615" s="2" t="s">
        <v>267</v>
      </c>
      <c r="M615" s="2"/>
      <c r="N615" s="2" t="str">
        <f>DitrbFlota[[#This Row],[TIPO BUS]]&amp;"-"&amp;DitrbFlota[[#This Row],[MARCA CHASIS]]</f>
        <v>BPAL-MERCEDES BENZ</v>
      </c>
      <c r="O615" s="2">
        <f>MONTH(DitrbFlota[[#This Row],[Inicio Operación]])</f>
        <v>4</v>
      </c>
      <c r="P615" s="2">
        <f>YEAR(DitrbFlota[[#This Row],[Inicio Operación]])</f>
        <v>2023</v>
      </c>
      <c r="Q615" s="29">
        <v>90</v>
      </c>
    </row>
    <row r="616" spans="1:17" hidden="1">
      <c r="A616" s="7" t="s">
        <v>10</v>
      </c>
      <c r="B616" s="2" t="s">
        <v>297</v>
      </c>
      <c r="C616" s="2">
        <v>2008</v>
      </c>
      <c r="D616" s="2" t="s">
        <v>285</v>
      </c>
      <c r="E616" s="2" t="s">
        <v>13</v>
      </c>
      <c r="F616" s="2" t="s">
        <v>145</v>
      </c>
      <c r="G616" s="277" t="s">
        <v>267</v>
      </c>
      <c r="H616" s="277" t="s">
        <v>267</v>
      </c>
      <c r="I616" s="277">
        <v>45038</v>
      </c>
      <c r="J616" s="2" t="s">
        <v>830</v>
      </c>
      <c r="K616" s="2" t="s">
        <v>838</v>
      </c>
      <c r="L616" s="2" t="s">
        <v>267</v>
      </c>
      <c r="M616" s="2"/>
      <c r="N616" s="2" t="str">
        <f>DitrbFlota[[#This Row],[TIPO BUS]]&amp;"-"&amp;DitrbFlota[[#This Row],[MARCA CHASIS]]</f>
        <v>BPAL-MERCEDES BENZ</v>
      </c>
      <c r="O616" s="2">
        <f>MONTH(DitrbFlota[[#This Row],[Inicio Operación]])</f>
        <v>4</v>
      </c>
      <c r="P616" s="2">
        <f>YEAR(DitrbFlota[[#This Row],[Inicio Operación]])</f>
        <v>2023</v>
      </c>
      <c r="Q616" s="29">
        <v>90</v>
      </c>
    </row>
    <row r="617" spans="1:17" hidden="1">
      <c r="A617" s="7" t="s">
        <v>10</v>
      </c>
      <c r="B617" s="2" t="s">
        <v>298</v>
      </c>
      <c r="C617" s="2">
        <v>2009</v>
      </c>
      <c r="D617" s="2" t="s">
        <v>285</v>
      </c>
      <c r="E617" s="2" t="s">
        <v>13</v>
      </c>
      <c r="F617" s="2" t="s">
        <v>145</v>
      </c>
      <c r="G617" s="277" t="s">
        <v>267</v>
      </c>
      <c r="H617" s="277" t="s">
        <v>267</v>
      </c>
      <c r="I617" s="277">
        <v>45038</v>
      </c>
      <c r="J617" s="2" t="s">
        <v>830</v>
      </c>
      <c r="K617" s="2" t="s">
        <v>838</v>
      </c>
      <c r="L617" s="2" t="s">
        <v>267</v>
      </c>
      <c r="M617" s="2"/>
      <c r="N617" s="2" t="str">
        <f>DitrbFlota[[#This Row],[TIPO BUS]]&amp;"-"&amp;DitrbFlota[[#This Row],[MARCA CHASIS]]</f>
        <v>BPAL-MERCEDES BENZ</v>
      </c>
      <c r="O617" s="2">
        <f>MONTH(DitrbFlota[[#This Row],[Inicio Operación]])</f>
        <v>4</v>
      </c>
      <c r="P617" s="2">
        <f>YEAR(DitrbFlota[[#This Row],[Inicio Operación]])</f>
        <v>2023</v>
      </c>
      <c r="Q617" s="29">
        <v>90</v>
      </c>
    </row>
    <row r="618" spans="1:17" hidden="1">
      <c r="A618" s="7" t="s">
        <v>10</v>
      </c>
      <c r="B618" s="2" t="s">
        <v>299</v>
      </c>
      <c r="C618" s="2">
        <v>2010</v>
      </c>
      <c r="D618" s="2" t="s">
        <v>285</v>
      </c>
      <c r="E618" s="2" t="s">
        <v>13</v>
      </c>
      <c r="F618" s="2" t="s">
        <v>145</v>
      </c>
      <c r="G618" s="277" t="s">
        <v>267</v>
      </c>
      <c r="H618" s="277" t="s">
        <v>267</v>
      </c>
      <c r="I618" s="277">
        <v>45038</v>
      </c>
      <c r="J618" s="2" t="s">
        <v>830</v>
      </c>
      <c r="K618" s="2" t="s">
        <v>838</v>
      </c>
      <c r="L618" s="2" t="s">
        <v>267</v>
      </c>
      <c r="M618" s="2"/>
      <c r="N618" s="2" t="str">
        <f>DitrbFlota[[#This Row],[TIPO BUS]]&amp;"-"&amp;DitrbFlota[[#This Row],[MARCA CHASIS]]</f>
        <v>BPAL-MERCEDES BENZ</v>
      </c>
      <c r="O618" s="2">
        <f>MONTH(DitrbFlota[[#This Row],[Inicio Operación]])</f>
        <v>4</v>
      </c>
      <c r="P618" s="2">
        <f>YEAR(DitrbFlota[[#This Row],[Inicio Operación]])</f>
        <v>2023</v>
      </c>
      <c r="Q618" s="29">
        <v>90</v>
      </c>
    </row>
    <row r="619" spans="1:17" hidden="1">
      <c r="A619" s="7" t="s">
        <v>10</v>
      </c>
      <c r="B619" s="2" t="s">
        <v>300</v>
      </c>
      <c r="C619" s="2">
        <v>2011</v>
      </c>
      <c r="D619" s="2" t="s">
        <v>285</v>
      </c>
      <c r="E619" s="2" t="s">
        <v>13</v>
      </c>
      <c r="F619" s="2" t="s">
        <v>145</v>
      </c>
      <c r="G619" s="277" t="s">
        <v>267</v>
      </c>
      <c r="H619" s="277" t="s">
        <v>267</v>
      </c>
      <c r="I619" s="277">
        <v>45038</v>
      </c>
      <c r="J619" s="2" t="s">
        <v>830</v>
      </c>
      <c r="K619" s="2" t="s">
        <v>838</v>
      </c>
      <c r="L619" s="2" t="s">
        <v>267</v>
      </c>
      <c r="M619" s="2"/>
      <c r="N619" s="2" t="str">
        <f>DitrbFlota[[#This Row],[TIPO BUS]]&amp;"-"&amp;DitrbFlota[[#This Row],[MARCA CHASIS]]</f>
        <v>BPAL-MERCEDES BENZ</v>
      </c>
      <c r="O619" s="2">
        <f>MONTH(DitrbFlota[[#This Row],[Inicio Operación]])</f>
        <v>4</v>
      </c>
      <c r="P619" s="2">
        <f>YEAR(DitrbFlota[[#This Row],[Inicio Operación]])</f>
        <v>2023</v>
      </c>
      <c r="Q619" s="29">
        <v>90</v>
      </c>
    </row>
    <row r="620" spans="1:17" hidden="1">
      <c r="A620" s="7" t="s">
        <v>10</v>
      </c>
      <c r="B620" s="2" t="s">
        <v>301</v>
      </c>
      <c r="C620" s="2">
        <v>2012</v>
      </c>
      <c r="D620" s="2" t="s">
        <v>285</v>
      </c>
      <c r="E620" s="2" t="s">
        <v>13</v>
      </c>
      <c r="F620" s="2" t="s">
        <v>145</v>
      </c>
      <c r="G620" s="277" t="s">
        <v>267</v>
      </c>
      <c r="H620" s="277" t="s">
        <v>267</v>
      </c>
      <c r="I620" s="277">
        <v>45038</v>
      </c>
      <c r="J620" s="2" t="s">
        <v>830</v>
      </c>
      <c r="K620" s="2" t="s">
        <v>838</v>
      </c>
      <c r="L620" s="2" t="s">
        <v>267</v>
      </c>
      <c r="M620" s="2"/>
      <c r="N620" s="2" t="str">
        <f>DitrbFlota[[#This Row],[TIPO BUS]]&amp;"-"&amp;DitrbFlota[[#This Row],[MARCA CHASIS]]</f>
        <v>BPAL-MERCEDES BENZ</v>
      </c>
      <c r="O620" s="2">
        <f>MONTH(DitrbFlota[[#This Row],[Inicio Operación]])</f>
        <v>4</v>
      </c>
      <c r="P620" s="2">
        <f>YEAR(DitrbFlota[[#This Row],[Inicio Operación]])</f>
        <v>2023</v>
      </c>
      <c r="Q620" s="29">
        <v>90</v>
      </c>
    </row>
    <row r="621" spans="1:17" hidden="1">
      <c r="A621" s="7" t="s">
        <v>10</v>
      </c>
      <c r="B621" s="2" t="s">
        <v>302</v>
      </c>
      <c r="C621" s="2">
        <v>2013</v>
      </c>
      <c r="D621" s="2" t="s">
        <v>285</v>
      </c>
      <c r="E621" s="2" t="s">
        <v>13</v>
      </c>
      <c r="F621" s="2" t="s">
        <v>145</v>
      </c>
      <c r="G621" s="277" t="s">
        <v>267</v>
      </c>
      <c r="H621" s="277" t="s">
        <v>267</v>
      </c>
      <c r="I621" s="277">
        <v>45038</v>
      </c>
      <c r="J621" s="2" t="s">
        <v>830</v>
      </c>
      <c r="K621" s="2" t="s">
        <v>838</v>
      </c>
      <c r="L621" s="2" t="s">
        <v>267</v>
      </c>
      <c r="M621" s="2"/>
      <c r="N621" s="2" t="str">
        <f>DitrbFlota[[#This Row],[TIPO BUS]]&amp;"-"&amp;DitrbFlota[[#This Row],[MARCA CHASIS]]</f>
        <v>BPAL-MERCEDES BENZ</v>
      </c>
      <c r="O621" s="2">
        <f>MONTH(DitrbFlota[[#This Row],[Inicio Operación]])</f>
        <v>4</v>
      </c>
      <c r="P621" s="2">
        <f>YEAR(DitrbFlota[[#This Row],[Inicio Operación]])</f>
        <v>2023</v>
      </c>
      <c r="Q621" s="29">
        <v>90</v>
      </c>
    </row>
    <row r="622" spans="1:17" hidden="1">
      <c r="A622" s="7" t="s">
        <v>10</v>
      </c>
      <c r="B622" s="2" t="s">
        <v>303</v>
      </c>
      <c r="C622" s="2">
        <v>2014</v>
      </c>
      <c r="D622" s="2" t="s">
        <v>285</v>
      </c>
      <c r="E622" s="2" t="s">
        <v>13</v>
      </c>
      <c r="F622" s="2" t="s">
        <v>145</v>
      </c>
      <c r="G622" s="277" t="s">
        <v>267</v>
      </c>
      <c r="H622" s="277" t="s">
        <v>267</v>
      </c>
      <c r="I622" s="277">
        <v>45038</v>
      </c>
      <c r="J622" s="2" t="s">
        <v>830</v>
      </c>
      <c r="K622" s="2" t="s">
        <v>838</v>
      </c>
      <c r="L622" s="2" t="s">
        <v>267</v>
      </c>
      <c r="M622" s="2"/>
      <c r="N622" s="2" t="str">
        <f>DitrbFlota[[#This Row],[TIPO BUS]]&amp;"-"&amp;DitrbFlota[[#This Row],[MARCA CHASIS]]</f>
        <v>BPAL-MERCEDES BENZ</v>
      </c>
      <c r="O622" s="2">
        <f>MONTH(DitrbFlota[[#This Row],[Inicio Operación]])</f>
        <v>4</v>
      </c>
      <c r="P622" s="2">
        <f>YEAR(DitrbFlota[[#This Row],[Inicio Operación]])</f>
        <v>2023</v>
      </c>
      <c r="Q622" s="29">
        <v>90</v>
      </c>
    </row>
    <row r="623" spans="1:17" hidden="1">
      <c r="A623" s="7" t="s">
        <v>10</v>
      </c>
      <c r="B623" s="2" t="s">
        <v>304</v>
      </c>
      <c r="C623" s="2">
        <v>2015</v>
      </c>
      <c r="D623" s="2" t="s">
        <v>285</v>
      </c>
      <c r="E623" s="2" t="s">
        <v>13</v>
      </c>
      <c r="F623" s="2" t="s">
        <v>145</v>
      </c>
      <c r="G623" s="277" t="s">
        <v>267</v>
      </c>
      <c r="H623" s="277" t="s">
        <v>267</v>
      </c>
      <c r="I623" s="277">
        <v>45038</v>
      </c>
      <c r="J623" s="2" t="s">
        <v>830</v>
      </c>
      <c r="K623" s="2" t="s">
        <v>838</v>
      </c>
      <c r="L623" s="2" t="s">
        <v>267</v>
      </c>
      <c r="M623" s="2"/>
      <c r="N623" s="2" t="str">
        <f>DitrbFlota[[#This Row],[TIPO BUS]]&amp;"-"&amp;DitrbFlota[[#This Row],[MARCA CHASIS]]</f>
        <v>BPAL-MERCEDES BENZ</v>
      </c>
      <c r="O623" s="2">
        <f>MONTH(DitrbFlota[[#This Row],[Inicio Operación]])</f>
        <v>4</v>
      </c>
      <c r="P623" s="2">
        <f>YEAR(DitrbFlota[[#This Row],[Inicio Operación]])</f>
        <v>2023</v>
      </c>
      <c r="Q623" s="29">
        <v>90</v>
      </c>
    </row>
    <row r="624" spans="1:17" hidden="1">
      <c r="A624" s="7" t="s">
        <v>10</v>
      </c>
      <c r="B624" s="2" t="s">
        <v>305</v>
      </c>
      <c r="C624" s="2">
        <v>2016</v>
      </c>
      <c r="D624" s="2" t="s">
        <v>285</v>
      </c>
      <c r="E624" s="2" t="s">
        <v>13</v>
      </c>
      <c r="F624" s="2" t="s">
        <v>145</v>
      </c>
      <c r="G624" s="277" t="s">
        <v>267</v>
      </c>
      <c r="H624" s="277" t="s">
        <v>267</v>
      </c>
      <c r="I624" s="277">
        <v>45038</v>
      </c>
      <c r="J624" s="2" t="s">
        <v>830</v>
      </c>
      <c r="K624" s="2" t="s">
        <v>838</v>
      </c>
      <c r="L624" s="2" t="s">
        <v>267</v>
      </c>
      <c r="M624" s="2"/>
      <c r="N624" s="2" t="str">
        <f>DitrbFlota[[#This Row],[TIPO BUS]]&amp;"-"&amp;DitrbFlota[[#This Row],[MARCA CHASIS]]</f>
        <v>BPAL-MERCEDES BENZ</v>
      </c>
      <c r="O624" s="2">
        <f>MONTH(DitrbFlota[[#This Row],[Inicio Operación]])</f>
        <v>4</v>
      </c>
      <c r="P624" s="2">
        <f>YEAR(DitrbFlota[[#This Row],[Inicio Operación]])</f>
        <v>2023</v>
      </c>
      <c r="Q624" s="29">
        <v>90</v>
      </c>
    </row>
    <row r="625" spans="1:17" hidden="1">
      <c r="A625" s="7" t="s">
        <v>10</v>
      </c>
      <c r="B625" s="2" t="s">
        <v>306</v>
      </c>
      <c r="C625" s="2">
        <v>2018</v>
      </c>
      <c r="D625" s="2" t="s">
        <v>285</v>
      </c>
      <c r="E625" s="2" t="s">
        <v>13</v>
      </c>
      <c r="F625" s="2" t="s">
        <v>145</v>
      </c>
      <c r="G625" s="277" t="s">
        <v>267</v>
      </c>
      <c r="H625" s="277" t="s">
        <v>267</v>
      </c>
      <c r="I625" s="277">
        <v>45038</v>
      </c>
      <c r="J625" s="2" t="s">
        <v>830</v>
      </c>
      <c r="K625" s="2" t="s">
        <v>838</v>
      </c>
      <c r="L625" s="2" t="s">
        <v>267</v>
      </c>
      <c r="M625" s="2"/>
      <c r="N625" s="2" t="str">
        <f>DitrbFlota[[#This Row],[TIPO BUS]]&amp;"-"&amp;DitrbFlota[[#This Row],[MARCA CHASIS]]</f>
        <v>BPAL-MERCEDES BENZ</v>
      </c>
      <c r="O625" s="2">
        <f>MONTH(DitrbFlota[[#This Row],[Inicio Operación]])</f>
        <v>4</v>
      </c>
      <c r="P625" s="2">
        <f>YEAR(DitrbFlota[[#This Row],[Inicio Operación]])</f>
        <v>2023</v>
      </c>
      <c r="Q625" s="29">
        <v>90</v>
      </c>
    </row>
    <row r="626" spans="1:17" hidden="1">
      <c r="A626" s="7" t="s">
        <v>10</v>
      </c>
      <c r="B626" s="2" t="s">
        <v>307</v>
      </c>
      <c r="C626" s="2">
        <v>2020</v>
      </c>
      <c r="D626" s="2" t="s">
        <v>285</v>
      </c>
      <c r="E626" s="2" t="s">
        <v>13</v>
      </c>
      <c r="F626" s="2" t="s">
        <v>145</v>
      </c>
      <c r="G626" s="277" t="s">
        <v>267</v>
      </c>
      <c r="H626" s="277" t="s">
        <v>267</v>
      </c>
      <c r="I626" s="277">
        <v>45038</v>
      </c>
      <c r="J626" s="2" t="s">
        <v>830</v>
      </c>
      <c r="K626" s="2" t="s">
        <v>838</v>
      </c>
      <c r="L626" s="2" t="s">
        <v>267</v>
      </c>
      <c r="M626" s="2"/>
      <c r="N626" s="2" t="str">
        <f>DitrbFlota[[#This Row],[TIPO BUS]]&amp;"-"&amp;DitrbFlota[[#This Row],[MARCA CHASIS]]</f>
        <v>BPAL-MERCEDES BENZ</v>
      </c>
      <c r="O626" s="2">
        <f>MONTH(DitrbFlota[[#This Row],[Inicio Operación]])</f>
        <v>4</v>
      </c>
      <c r="P626" s="2">
        <f>YEAR(DitrbFlota[[#This Row],[Inicio Operación]])</f>
        <v>2023</v>
      </c>
      <c r="Q626" s="29">
        <v>90</v>
      </c>
    </row>
    <row r="627" spans="1:17" hidden="1">
      <c r="A627" s="7" t="s">
        <v>10</v>
      </c>
      <c r="B627" s="2" t="s">
        <v>308</v>
      </c>
      <c r="C627" s="2">
        <v>2021</v>
      </c>
      <c r="D627" s="2" t="s">
        <v>285</v>
      </c>
      <c r="E627" s="2" t="s">
        <v>25</v>
      </c>
      <c r="F627" s="2" t="s">
        <v>145</v>
      </c>
      <c r="G627" s="277" t="s">
        <v>267</v>
      </c>
      <c r="H627" s="277" t="s">
        <v>267</v>
      </c>
      <c r="I627" s="277">
        <v>45038</v>
      </c>
      <c r="J627" s="2" t="s">
        <v>830</v>
      </c>
      <c r="K627" s="2" t="s">
        <v>838</v>
      </c>
      <c r="L627" s="2" t="s">
        <v>267</v>
      </c>
      <c r="M627" s="2"/>
      <c r="N627" s="2" t="str">
        <f>DitrbFlota[[#This Row],[TIPO BUS]]&amp;"-"&amp;DitrbFlota[[#This Row],[MARCA CHASIS]]</f>
        <v>BPAL-MERCEDES BENZ</v>
      </c>
      <c r="O627" s="2">
        <f>MONTH(DitrbFlota[[#This Row],[Inicio Operación]])</f>
        <v>4</v>
      </c>
      <c r="P627" s="2">
        <f>YEAR(DitrbFlota[[#This Row],[Inicio Operación]])</f>
        <v>2023</v>
      </c>
      <c r="Q627" s="29">
        <v>90</v>
      </c>
    </row>
    <row r="628" spans="1:17" hidden="1">
      <c r="A628" s="7" t="s">
        <v>10</v>
      </c>
      <c r="B628" s="2" t="s">
        <v>309</v>
      </c>
      <c r="C628" s="2">
        <v>2022</v>
      </c>
      <c r="D628" s="2" t="s">
        <v>285</v>
      </c>
      <c r="E628" s="2" t="s">
        <v>25</v>
      </c>
      <c r="F628" s="2" t="s">
        <v>145</v>
      </c>
      <c r="G628" s="277" t="s">
        <v>267</v>
      </c>
      <c r="H628" s="277" t="s">
        <v>267</v>
      </c>
      <c r="I628" s="277">
        <v>45038</v>
      </c>
      <c r="J628" s="2" t="s">
        <v>830</v>
      </c>
      <c r="K628" s="2" t="s">
        <v>838</v>
      </c>
      <c r="L628" s="2" t="s">
        <v>267</v>
      </c>
      <c r="M628" s="2"/>
      <c r="N628" s="2" t="str">
        <f>DitrbFlota[[#This Row],[TIPO BUS]]&amp;"-"&amp;DitrbFlota[[#This Row],[MARCA CHASIS]]</f>
        <v>BPAL-MERCEDES BENZ</v>
      </c>
      <c r="O628" s="2">
        <f>MONTH(DitrbFlota[[#This Row],[Inicio Operación]])</f>
        <v>4</v>
      </c>
      <c r="P628" s="2">
        <f>YEAR(DitrbFlota[[#This Row],[Inicio Operación]])</f>
        <v>2023</v>
      </c>
      <c r="Q628" s="29">
        <v>90</v>
      </c>
    </row>
    <row r="629" spans="1:17" hidden="1">
      <c r="A629" s="7" t="s">
        <v>10</v>
      </c>
      <c r="B629" s="2" t="s">
        <v>310</v>
      </c>
      <c r="C629" s="2">
        <v>2023</v>
      </c>
      <c r="D629" s="2" t="s">
        <v>285</v>
      </c>
      <c r="E629" s="2" t="s">
        <v>13</v>
      </c>
      <c r="F629" s="2" t="s">
        <v>145</v>
      </c>
      <c r="G629" s="277" t="s">
        <v>267</v>
      </c>
      <c r="H629" s="277" t="s">
        <v>267</v>
      </c>
      <c r="I629" s="277">
        <v>45038</v>
      </c>
      <c r="J629" s="2" t="s">
        <v>830</v>
      </c>
      <c r="K629" s="2" t="s">
        <v>838</v>
      </c>
      <c r="L629" s="2" t="s">
        <v>267</v>
      </c>
      <c r="M629" s="2"/>
      <c r="N629" s="2" t="str">
        <f>DitrbFlota[[#This Row],[TIPO BUS]]&amp;"-"&amp;DitrbFlota[[#This Row],[MARCA CHASIS]]</f>
        <v>BPAL-MERCEDES BENZ</v>
      </c>
      <c r="O629" s="2">
        <f>MONTH(DitrbFlota[[#This Row],[Inicio Operación]])</f>
        <v>4</v>
      </c>
      <c r="P629" s="2">
        <f>YEAR(DitrbFlota[[#This Row],[Inicio Operación]])</f>
        <v>2023</v>
      </c>
      <c r="Q629" s="29">
        <v>90</v>
      </c>
    </row>
    <row r="630" spans="1:17" hidden="1">
      <c r="A630" s="7" t="s">
        <v>10</v>
      </c>
      <c r="B630" s="2" t="s">
        <v>311</v>
      </c>
      <c r="C630" s="2">
        <v>2024</v>
      </c>
      <c r="D630" s="2" t="s">
        <v>285</v>
      </c>
      <c r="E630" s="2" t="s">
        <v>13</v>
      </c>
      <c r="F630" s="2" t="s">
        <v>145</v>
      </c>
      <c r="G630" s="277" t="s">
        <v>267</v>
      </c>
      <c r="H630" s="277" t="s">
        <v>267</v>
      </c>
      <c r="I630" s="277">
        <v>45038</v>
      </c>
      <c r="J630" s="2" t="s">
        <v>830</v>
      </c>
      <c r="K630" s="2" t="s">
        <v>838</v>
      </c>
      <c r="L630" s="2" t="s">
        <v>267</v>
      </c>
      <c r="M630" s="2"/>
      <c r="N630" s="2" t="str">
        <f>DitrbFlota[[#This Row],[TIPO BUS]]&amp;"-"&amp;DitrbFlota[[#This Row],[MARCA CHASIS]]</f>
        <v>BPAL-MERCEDES BENZ</v>
      </c>
      <c r="O630" s="2">
        <f>MONTH(DitrbFlota[[#This Row],[Inicio Operación]])</f>
        <v>4</v>
      </c>
      <c r="P630" s="2">
        <f>YEAR(DitrbFlota[[#This Row],[Inicio Operación]])</f>
        <v>2023</v>
      </c>
      <c r="Q630" s="29">
        <v>90</v>
      </c>
    </row>
    <row r="631" spans="1:17" hidden="1">
      <c r="A631" s="7" t="s">
        <v>10</v>
      </c>
      <c r="B631" s="2" t="s">
        <v>312</v>
      </c>
      <c r="C631" s="2">
        <v>2025</v>
      </c>
      <c r="D631" s="2" t="s">
        <v>285</v>
      </c>
      <c r="E631" s="2" t="s">
        <v>13</v>
      </c>
      <c r="F631" s="2" t="s">
        <v>145</v>
      </c>
      <c r="G631" s="277" t="s">
        <v>267</v>
      </c>
      <c r="H631" s="277" t="s">
        <v>267</v>
      </c>
      <c r="I631" s="277">
        <v>45038</v>
      </c>
      <c r="J631" s="2" t="s">
        <v>830</v>
      </c>
      <c r="K631" s="2" t="s">
        <v>838</v>
      </c>
      <c r="L631" s="2" t="s">
        <v>267</v>
      </c>
      <c r="M631" s="2"/>
      <c r="N631" s="2" t="str">
        <f>DitrbFlota[[#This Row],[TIPO BUS]]&amp;"-"&amp;DitrbFlota[[#This Row],[MARCA CHASIS]]</f>
        <v>BPAL-MERCEDES BENZ</v>
      </c>
      <c r="O631" s="2">
        <f>MONTH(DitrbFlota[[#This Row],[Inicio Operación]])</f>
        <v>4</v>
      </c>
      <c r="P631" s="2">
        <f>YEAR(DitrbFlota[[#This Row],[Inicio Operación]])</f>
        <v>2023</v>
      </c>
      <c r="Q631" s="29">
        <v>90</v>
      </c>
    </row>
    <row r="632" spans="1:17" hidden="1">
      <c r="A632" s="7" t="s">
        <v>10</v>
      </c>
      <c r="B632" s="2" t="s">
        <v>404</v>
      </c>
      <c r="C632" s="2">
        <v>2026</v>
      </c>
      <c r="D632" s="2" t="s">
        <v>285</v>
      </c>
      <c r="E632" s="2" t="s">
        <v>405</v>
      </c>
      <c r="F632" s="2" t="s">
        <v>145</v>
      </c>
      <c r="G632" s="277" t="s">
        <v>267</v>
      </c>
      <c r="H632" s="277" t="s">
        <v>267</v>
      </c>
      <c r="I632" s="277">
        <v>45024</v>
      </c>
      <c r="J632" s="2" t="s">
        <v>830</v>
      </c>
      <c r="K632" s="2" t="s">
        <v>838</v>
      </c>
      <c r="L632" s="2" t="s">
        <v>267</v>
      </c>
      <c r="M632" s="2"/>
      <c r="N632" s="2" t="str">
        <f>DitrbFlota[[#This Row],[TIPO BUS]]&amp;"-"&amp;DitrbFlota[[#This Row],[MARCA CHASIS]]</f>
        <v>BPAL-MERCEDES BENZ</v>
      </c>
      <c r="O632" s="2">
        <f>MONTH(DitrbFlota[[#This Row],[Inicio Operación]])</f>
        <v>4</v>
      </c>
      <c r="P632" s="2">
        <f>YEAR(DitrbFlota[[#This Row],[Inicio Operación]])</f>
        <v>2023</v>
      </c>
      <c r="Q632" s="29">
        <v>90</v>
      </c>
    </row>
    <row r="633" spans="1:17" hidden="1">
      <c r="A633" s="7" t="s">
        <v>10</v>
      </c>
      <c r="B633" s="2" t="s">
        <v>407</v>
      </c>
      <c r="C633" s="2">
        <v>2028</v>
      </c>
      <c r="D633" s="2" t="s">
        <v>285</v>
      </c>
      <c r="E633" s="2" t="s">
        <v>405</v>
      </c>
      <c r="F633" s="2" t="s">
        <v>145</v>
      </c>
      <c r="G633" s="277" t="s">
        <v>267</v>
      </c>
      <c r="H633" s="277" t="s">
        <v>267</v>
      </c>
      <c r="I633" s="277">
        <v>45024</v>
      </c>
      <c r="J633" s="2" t="s">
        <v>830</v>
      </c>
      <c r="K633" s="2" t="s">
        <v>838</v>
      </c>
      <c r="L633" s="2" t="s">
        <v>267</v>
      </c>
      <c r="M633" s="2"/>
      <c r="N633" s="2" t="str">
        <f>DitrbFlota[[#This Row],[TIPO BUS]]&amp;"-"&amp;DitrbFlota[[#This Row],[MARCA CHASIS]]</f>
        <v>BPAL-MERCEDES BENZ</v>
      </c>
      <c r="O633" s="2">
        <f>MONTH(DitrbFlota[[#This Row],[Inicio Operación]])</f>
        <v>4</v>
      </c>
      <c r="P633" s="2">
        <f>YEAR(DitrbFlota[[#This Row],[Inicio Operación]])</f>
        <v>2023</v>
      </c>
      <c r="Q633" s="29">
        <v>90</v>
      </c>
    </row>
    <row r="634" spans="1:17" hidden="1">
      <c r="A634" s="7" t="s">
        <v>10</v>
      </c>
      <c r="B634" s="2" t="s">
        <v>408</v>
      </c>
      <c r="C634" s="2">
        <v>2029</v>
      </c>
      <c r="D634" s="2" t="s">
        <v>285</v>
      </c>
      <c r="E634" s="2" t="s">
        <v>405</v>
      </c>
      <c r="F634" s="2" t="s">
        <v>145</v>
      </c>
      <c r="G634" s="277" t="s">
        <v>267</v>
      </c>
      <c r="H634" s="277" t="s">
        <v>267</v>
      </c>
      <c r="I634" s="277">
        <v>45024</v>
      </c>
      <c r="J634" s="2" t="s">
        <v>830</v>
      </c>
      <c r="K634" s="2" t="s">
        <v>838</v>
      </c>
      <c r="L634" s="2" t="s">
        <v>267</v>
      </c>
      <c r="M634" s="2"/>
      <c r="N634" s="2" t="str">
        <f>DitrbFlota[[#This Row],[TIPO BUS]]&amp;"-"&amp;DitrbFlota[[#This Row],[MARCA CHASIS]]</f>
        <v>BPAL-MERCEDES BENZ</v>
      </c>
      <c r="O634" s="2">
        <f>MONTH(DitrbFlota[[#This Row],[Inicio Operación]])</f>
        <v>4</v>
      </c>
      <c r="P634" s="2">
        <f>YEAR(DitrbFlota[[#This Row],[Inicio Operación]])</f>
        <v>2023</v>
      </c>
      <c r="Q634" s="29">
        <v>90</v>
      </c>
    </row>
    <row r="635" spans="1:17" hidden="1">
      <c r="A635" s="7" t="s">
        <v>10</v>
      </c>
      <c r="B635" s="2" t="s">
        <v>409</v>
      </c>
      <c r="C635" s="2">
        <v>2030</v>
      </c>
      <c r="D635" s="2" t="s">
        <v>285</v>
      </c>
      <c r="E635" s="2" t="s">
        <v>405</v>
      </c>
      <c r="F635" s="2" t="s">
        <v>145</v>
      </c>
      <c r="G635" s="277" t="s">
        <v>267</v>
      </c>
      <c r="H635" s="277" t="s">
        <v>267</v>
      </c>
      <c r="I635" s="277">
        <v>45024</v>
      </c>
      <c r="J635" s="2" t="s">
        <v>830</v>
      </c>
      <c r="K635" s="2" t="s">
        <v>838</v>
      </c>
      <c r="L635" s="2" t="s">
        <v>267</v>
      </c>
      <c r="M635" s="2"/>
      <c r="N635" s="2" t="str">
        <f>DitrbFlota[[#This Row],[TIPO BUS]]&amp;"-"&amp;DitrbFlota[[#This Row],[MARCA CHASIS]]</f>
        <v>BPAL-MERCEDES BENZ</v>
      </c>
      <c r="O635" s="2">
        <f>MONTH(DitrbFlota[[#This Row],[Inicio Operación]])</f>
        <v>4</v>
      </c>
      <c r="P635" s="2">
        <f>YEAR(DitrbFlota[[#This Row],[Inicio Operación]])</f>
        <v>2023</v>
      </c>
      <c r="Q635" s="29">
        <v>90</v>
      </c>
    </row>
    <row r="636" spans="1:17" hidden="1">
      <c r="A636" s="7" t="s">
        <v>10</v>
      </c>
      <c r="B636" s="2" t="s">
        <v>410</v>
      </c>
      <c r="C636" s="2">
        <v>2031</v>
      </c>
      <c r="D636" s="2" t="s">
        <v>285</v>
      </c>
      <c r="E636" s="2" t="s">
        <v>405</v>
      </c>
      <c r="F636" s="2" t="s">
        <v>145</v>
      </c>
      <c r="G636" s="277" t="s">
        <v>267</v>
      </c>
      <c r="H636" s="277" t="s">
        <v>267</v>
      </c>
      <c r="I636" s="277">
        <v>45024</v>
      </c>
      <c r="J636" s="2" t="s">
        <v>830</v>
      </c>
      <c r="K636" s="2" t="s">
        <v>838</v>
      </c>
      <c r="L636" s="2" t="s">
        <v>267</v>
      </c>
      <c r="M636" s="2"/>
      <c r="N636" s="2" t="str">
        <f>DitrbFlota[[#This Row],[TIPO BUS]]&amp;"-"&amp;DitrbFlota[[#This Row],[MARCA CHASIS]]</f>
        <v>BPAL-MERCEDES BENZ</v>
      </c>
      <c r="O636" s="2">
        <f>MONTH(DitrbFlota[[#This Row],[Inicio Operación]])</f>
        <v>4</v>
      </c>
      <c r="P636" s="2">
        <f>YEAR(DitrbFlota[[#This Row],[Inicio Operación]])</f>
        <v>2023</v>
      </c>
      <c r="Q636" s="29">
        <v>90</v>
      </c>
    </row>
    <row r="637" spans="1:17" hidden="1">
      <c r="A637" s="7" t="s">
        <v>10</v>
      </c>
      <c r="B637" s="2" t="s">
        <v>411</v>
      </c>
      <c r="C637" s="2">
        <v>2032</v>
      </c>
      <c r="D637" s="2" t="s">
        <v>285</v>
      </c>
      <c r="E637" s="2" t="s">
        <v>405</v>
      </c>
      <c r="F637" s="2" t="s">
        <v>145</v>
      </c>
      <c r="G637" s="277" t="s">
        <v>267</v>
      </c>
      <c r="H637" s="277" t="s">
        <v>267</v>
      </c>
      <c r="I637" s="277">
        <v>45024</v>
      </c>
      <c r="J637" s="2" t="s">
        <v>830</v>
      </c>
      <c r="K637" s="2" t="s">
        <v>838</v>
      </c>
      <c r="L637" s="2" t="s">
        <v>267</v>
      </c>
      <c r="M637" s="2"/>
      <c r="N637" s="2" t="str">
        <f>DitrbFlota[[#This Row],[TIPO BUS]]&amp;"-"&amp;DitrbFlota[[#This Row],[MARCA CHASIS]]</f>
        <v>BPAL-MERCEDES BENZ</v>
      </c>
      <c r="O637" s="2">
        <f>MONTH(DitrbFlota[[#This Row],[Inicio Operación]])</f>
        <v>4</v>
      </c>
      <c r="P637" s="2">
        <f>YEAR(DitrbFlota[[#This Row],[Inicio Operación]])</f>
        <v>2023</v>
      </c>
      <c r="Q637" s="29">
        <v>90</v>
      </c>
    </row>
    <row r="638" spans="1:17" hidden="1">
      <c r="A638" s="7" t="s">
        <v>10</v>
      </c>
      <c r="B638" s="2" t="s">
        <v>412</v>
      </c>
      <c r="C638" s="2">
        <v>2033</v>
      </c>
      <c r="D638" s="2" t="s">
        <v>285</v>
      </c>
      <c r="E638" s="2" t="s">
        <v>405</v>
      </c>
      <c r="F638" s="2" t="s">
        <v>145</v>
      </c>
      <c r="G638" s="277" t="s">
        <v>267</v>
      </c>
      <c r="H638" s="277" t="s">
        <v>267</v>
      </c>
      <c r="I638" s="277">
        <v>45024</v>
      </c>
      <c r="J638" s="2" t="s">
        <v>830</v>
      </c>
      <c r="K638" s="2" t="s">
        <v>838</v>
      </c>
      <c r="L638" s="2" t="s">
        <v>267</v>
      </c>
      <c r="M638" s="2"/>
      <c r="N638" s="2" t="str">
        <f>DitrbFlota[[#This Row],[TIPO BUS]]&amp;"-"&amp;DitrbFlota[[#This Row],[MARCA CHASIS]]</f>
        <v>BPAL-MERCEDES BENZ</v>
      </c>
      <c r="O638" s="2">
        <f>MONTH(DitrbFlota[[#This Row],[Inicio Operación]])</f>
        <v>4</v>
      </c>
      <c r="P638" s="2">
        <f>YEAR(DitrbFlota[[#This Row],[Inicio Operación]])</f>
        <v>2023</v>
      </c>
      <c r="Q638" s="29">
        <v>90</v>
      </c>
    </row>
    <row r="639" spans="1:17" hidden="1">
      <c r="A639" s="7" t="s">
        <v>10</v>
      </c>
      <c r="B639" s="2" t="s">
        <v>413</v>
      </c>
      <c r="C639" s="2">
        <v>2034</v>
      </c>
      <c r="D639" s="2" t="s">
        <v>285</v>
      </c>
      <c r="E639" s="2" t="s">
        <v>405</v>
      </c>
      <c r="F639" s="2" t="s">
        <v>145</v>
      </c>
      <c r="G639" s="277" t="s">
        <v>267</v>
      </c>
      <c r="H639" s="277" t="s">
        <v>267</v>
      </c>
      <c r="I639" s="277">
        <v>45024</v>
      </c>
      <c r="J639" s="2" t="s">
        <v>830</v>
      </c>
      <c r="K639" s="2" t="s">
        <v>838</v>
      </c>
      <c r="L639" s="2" t="s">
        <v>267</v>
      </c>
      <c r="M639" s="2"/>
      <c r="N639" s="2" t="str">
        <f>DitrbFlota[[#This Row],[TIPO BUS]]&amp;"-"&amp;DitrbFlota[[#This Row],[MARCA CHASIS]]</f>
        <v>BPAL-MERCEDES BENZ</v>
      </c>
      <c r="O639" s="2">
        <f>MONTH(DitrbFlota[[#This Row],[Inicio Operación]])</f>
        <v>4</v>
      </c>
      <c r="P639" s="2">
        <f>YEAR(DitrbFlota[[#This Row],[Inicio Operación]])</f>
        <v>2023</v>
      </c>
      <c r="Q639" s="29">
        <v>90</v>
      </c>
    </row>
    <row r="640" spans="1:17" hidden="1">
      <c r="A640" s="7" t="s">
        <v>10</v>
      </c>
      <c r="B640" s="2" t="s">
        <v>414</v>
      </c>
      <c r="C640" s="2">
        <v>2035</v>
      </c>
      <c r="D640" s="2" t="s">
        <v>285</v>
      </c>
      <c r="E640" s="2" t="s">
        <v>405</v>
      </c>
      <c r="F640" s="2" t="s">
        <v>145</v>
      </c>
      <c r="G640" s="277" t="s">
        <v>267</v>
      </c>
      <c r="H640" s="277" t="s">
        <v>267</v>
      </c>
      <c r="I640" s="277">
        <v>45024</v>
      </c>
      <c r="J640" s="2" t="s">
        <v>830</v>
      </c>
      <c r="K640" s="2" t="s">
        <v>838</v>
      </c>
      <c r="L640" s="2" t="s">
        <v>267</v>
      </c>
      <c r="M640" s="2"/>
      <c r="N640" s="2" t="str">
        <f>DitrbFlota[[#This Row],[TIPO BUS]]&amp;"-"&amp;DitrbFlota[[#This Row],[MARCA CHASIS]]</f>
        <v>BPAL-MERCEDES BENZ</v>
      </c>
      <c r="O640" s="2">
        <f>MONTH(DitrbFlota[[#This Row],[Inicio Operación]])</f>
        <v>4</v>
      </c>
      <c r="P640" s="2">
        <f>YEAR(DitrbFlota[[#This Row],[Inicio Operación]])</f>
        <v>2023</v>
      </c>
      <c r="Q640" s="29">
        <v>90</v>
      </c>
    </row>
    <row r="641" spans="1:17" hidden="1">
      <c r="A641" s="7" t="s">
        <v>10</v>
      </c>
      <c r="B641" s="2" t="s">
        <v>415</v>
      </c>
      <c r="C641" s="2">
        <v>2036</v>
      </c>
      <c r="D641" s="2" t="s">
        <v>285</v>
      </c>
      <c r="E641" s="2" t="s">
        <v>405</v>
      </c>
      <c r="F641" s="2" t="s">
        <v>145</v>
      </c>
      <c r="G641" s="277" t="s">
        <v>267</v>
      </c>
      <c r="H641" s="277" t="s">
        <v>267</v>
      </c>
      <c r="I641" s="277">
        <v>45024</v>
      </c>
      <c r="J641" s="2" t="s">
        <v>830</v>
      </c>
      <c r="K641" s="2" t="s">
        <v>838</v>
      </c>
      <c r="L641" s="2" t="s">
        <v>267</v>
      </c>
      <c r="M641" s="2"/>
      <c r="N641" s="2" t="str">
        <f>DitrbFlota[[#This Row],[TIPO BUS]]&amp;"-"&amp;DitrbFlota[[#This Row],[MARCA CHASIS]]</f>
        <v>BPAL-MERCEDES BENZ</v>
      </c>
      <c r="O641" s="2">
        <f>MONTH(DitrbFlota[[#This Row],[Inicio Operación]])</f>
        <v>4</v>
      </c>
      <c r="P641" s="2">
        <f>YEAR(DitrbFlota[[#This Row],[Inicio Operación]])</f>
        <v>2023</v>
      </c>
      <c r="Q641" s="29">
        <v>90</v>
      </c>
    </row>
    <row r="642" spans="1:17" hidden="1">
      <c r="A642" s="7" t="s">
        <v>10</v>
      </c>
      <c r="B642" s="2" t="s">
        <v>416</v>
      </c>
      <c r="C642" s="2">
        <v>2037</v>
      </c>
      <c r="D642" s="2" t="s">
        <v>285</v>
      </c>
      <c r="E642" s="2" t="s">
        <v>405</v>
      </c>
      <c r="F642" s="2" t="s">
        <v>145</v>
      </c>
      <c r="G642" s="277" t="s">
        <v>267</v>
      </c>
      <c r="H642" s="277" t="s">
        <v>267</v>
      </c>
      <c r="I642" s="277">
        <v>45024</v>
      </c>
      <c r="J642" s="2" t="s">
        <v>830</v>
      </c>
      <c r="K642" s="2" t="s">
        <v>838</v>
      </c>
      <c r="L642" s="2" t="s">
        <v>267</v>
      </c>
      <c r="M642" s="2"/>
      <c r="N642" s="2" t="str">
        <f>DitrbFlota[[#This Row],[TIPO BUS]]&amp;"-"&amp;DitrbFlota[[#This Row],[MARCA CHASIS]]</f>
        <v>BPAL-MERCEDES BENZ</v>
      </c>
      <c r="O642" s="2">
        <f>MONTH(DitrbFlota[[#This Row],[Inicio Operación]])</f>
        <v>4</v>
      </c>
      <c r="P642" s="2">
        <f>YEAR(DitrbFlota[[#This Row],[Inicio Operación]])</f>
        <v>2023</v>
      </c>
      <c r="Q642" s="29">
        <v>90</v>
      </c>
    </row>
    <row r="643" spans="1:17" hidden="1">
      <c r="A643" s="7" t="s">
        <v>10</v>
      </c>
      <c r="B643" s="2" t="s">
        <v>417</v>
      </c>
      <c r="C643" s="2">
        <v>2038</v>
      </c>
      <c r="D643" s="2" t="s">
        <v>285</v>
      </c>
      <c r="E643" s="2" t="s">
        <v>405</v>
      </c>
      <c r="F643" s="2" t="s">
        <v>145</v>
      </c>
      <c r="G643" s="277" t="s">
        <v>267</v>
      </c>
      <c r="H643" s="277" t="s">
        <v>267</v>
      </c>
      <c r="I643" s="277">
        <v>45024</v>
      </c>
      <c r="J643" s="2" t="s">
        <v>830</v>
      </c>
      <c r="K643" s="2" t="s">
        <v>838</v>
      </c>
      <c r="L643" s="2" t="s">
        <v>267</v>
      </c>
      <c r="M643" s="2"/>
      <c r="N643" s="2" t="str">
        <f>DitrbFlota[[#This Row],[TIPO BUS]]&amp;"-"&amp;DitrbFlota[[#This Row],[MARCA CHASIS]]</f>
        <v>BPAL-MERCEDES BENZ</v>
      </c>
      <c r="O643" s="2">
        <f>MONTH(DitrbFlota[[#This Row],[Inicio Operación]])</f>
        <v>4</v>
      </c>
      <c r="P643" s="2">
        <f>YEAR(DitrbFlota[[#This Row],[Inicio Operación]])</f>
        <v>2023</v>
      </c>
      <c r="Q643" s="29">
        <v>90</v>
      </c>
    </row>
    <row r="644" spans="1:17" hidden="1">
      <c r="A644" s="7" t="s">
        <v>10</v>
      </c>
      <c r="B644" s="2" t="s">
        <v>418</v>
      </c>
      <c r="C644" s="2">
        <v>2039</v>
      </c>
      <c r="D644" s="2" t="s">
        <v>285</v>
      </c>
      <c r="E644" s="2" t="s">
        <v>405</v>
      </c>
      <c r="F644" s="2" t="s">
        <v>145</v>
      </c>
      <c r="G644" s="277" t="s">
        <v>267</v>
      </c>
      <c r="H644" s="277" t="s">
        <v>267</v>
      </c>
      <c r="I644" s="277">
        <v>45024</v>
      </c>
      <c r="J644" s="2" t="s">
        <v>830</v>
      </c>
      <c r="K644" s="2" t="s">
        <v>838</v>
      </c>
      <c r="L644" s="2" t="s">
        <v>267</v>
      </c>
      <c r="M644" s="2"/>
      <c r="N644" s="2" t="str">
        <f>DitrbFlota[[#This Row],[TIPO BUS]]&amp;"-"&amp;DitrbFlota[[#This Row],[MARCA CHASIS]]</f>
        <v>BPAL-MERCEDES BENZ</v>
      </c>
      <c r="O644" s="2">
        <f>MONTH(DitrbFlota[[#This Row],[Inicio Operación]])</f>
        <v>4</v>
      </c>
      <c r="P644" s="2">
        <f>YEAR(DitrbFlota[[#This Row],[Inicio Operación]])</f>
        <v>2023</v>
      </c>
      <c r="Q644" s="29">
        <v>90</v>
      </c>
    </row>
    <row r="645" spans="1:17" hidden="1">
      <c r="A645" s="7" t="s">
        <v>10</v>
      </c>
      <c r="B645" s="2" t="s">
        <v>419</v>
      </c>
      <c r="C645" s="2">
        <v>2040</v>
      </c>
      <c r="D645" s="2" t="s">
        <v>285</v>
      </c>
      <c r="E645" s="2" t="s">
        <v>405</v>
      </c>
      <c r="F645" s="2" t="s">
        <v>145</v>
      </c>
      <c r="G645" s="277" t="s">
        <v>267</v>
      </c>
      <c r="H645" s="277" t="s">
        <v>267</v>
      </c>
      <c r="I645" s="277">
        <v>45024</v>
      </c>
      <c r="J645" s="2" t="s">
        <v>830</v>
      </c>
      <c r="K645" s="2" t="s">
        <v>838</v>
      </c>
      <c r="L645" s="2" t="s">
        <v>267</v>
      </c>
      <c r="M645" s="2"/>
      <c r="N645" s="2" t="str">
        <f>DitrbFlota[[#This Row],[TIPO BUS]]&amp;"-"&amp;DitrbFlota[[#This Row],[MARCA CHASIS]]</f>
        <v>BPAL-MERCEDES BENZ</v>
      </c>
      <c r="O645" s="2">
        <f>MONTH(DitrbFlota[[#This Row],[Inicio Operación]])</f>
        <v>4</v>
      </c>
      <c r="P645" s="2">
        <f>YEAR(DitrbFlota[[#This Row],[Inicio Operación]])</f>
        <v>2023</v>
      </c>
      <c r="Q645" s="29">
        <v>90</v>
      </c>
    </row>
    <row r="646" spans="1:17" hidden="1">
      <c r="A646" s="7" t="s">
        <v>10</v>
      </c>
      <c r="B646" s="2" t="s">
        <v>420</v>
      </c>
      <c r="C646" s="2">
        <v>2041</v>
      </c>
      <c r="D646" s="2" t="s">
        <v>285</v>
      </c>
      <c r="E646" s="2" t="s">
        <v>405</v>
      </c>
      <c r="F646" s="2" t="s">
        <v>145</v>
      </c>
      <c r="G646" s="277" t="s">
        <v>267</v>
      </c>
      <c r="H646" s="277" t="s">
        <v>267</v>
      </c>
      <c r="I646" s="277">
        <v>45024</v>
      </c>
      <c r="J646" s="2" t="s">
        <v>830</v>
      </c>
      <c r="K646" s="2" t="s">
        <v>838</v>
      </c>
      <c r="L646" s="2" t="s">
        <v>267</v>
      </c>
      <c r="M646" s="2"/>
      <c r="N646" s="2" t="str">
        <f>DitrbFlota[[#This Row],[TIPO BUS]]&amp;"-"&amp;DitrbFlota[[#This Row],[MARCA CHASIS]]</f>
        <v>BPAL-MERCEDES BENZ</v>
      </c>
      <c r="O646" s="2">
        <f>MONTH(DitrbFlota[[#This Row],[Inicio Operación]])</f>
        <v>4</v>
      </c>
      <c r="P646" s="2">
        <f>YEAR(DitrbFlota[[#This Row],[Inicio Operación]])</f>
        <v>2023</v>
      </c>
      <c r="Q646" s="29">
        <v>90</v>
      </c>
    </row>
    <row r="647" spans="1:17" hidden="1">
      <c r="A647" s="7" t="s">
        <v>10</v>
      </c>
      <c r="B647" s="2" t="s">
        <v>388</v>
      </c>
      <c r="C647" s="2">
        <v>2080</v>
      </c>
      <c r="D647" s="2" t="s">
        <v>34</v>
      </c>
      <c r="E647" s="2" t="s">
        <v>13</v>
      </c>
      <c r="F647" s="2" t="s">
        <v>145</v>
      </c>
      <c r="G647" s="277" t="s">
        <v>267</v>
      </c>
      <c r="H647" s="277" t="s">
        <v>267</v>
      </c>
      <c r="I647" s="277">
        <v>44933</v>
      </c>
      <c r="J647" s="2" t="s">
        <v>830</v>
      </c>
      <c r="K647" s="2" t="s">
        <v>838</v>
      </c>
      <c r="L647" s="2" t="s">
        <v>267</v>
      </c>
      <c r="M647" s="2"/>
      <c r="N647" s="2" t="str">
        <f>DitrbFlota[[#This Row],[TIPO BUS]]&amp;"-"&amp;DitrbFlota[[#This Row],[MARCA CHASIS]]</f>
        <v>B2-MERCEDES BENZ</v>
      </c>
      <c r="O647" s="2">
        <f>MONTH(DitrbFlota[[#This Row],[Inicio Operación]])</f>
        <v>1</v>
      </c>
      <c r="P647" s="2">
        <f>YEAR(DitrbFlota[[#This Row],[Inicio Operación]])</f>
        <v>2023</v>
      </c>
      <c r="Q647" s="29">
        <v>95</v>
      </c>
    </row>
    <row r="648" spans="1:17" hidden="1">
      <c r="A648" s="7" t="s">
        <v>10</v>
      </c>
      <c r="B648" s="2" t="s">
        <v>389</v>
      </c>
      <c r="C648" s="2">
        <v>2081</v>
      </c>
      <c r="D648" s="2" t="s">
        <v>34</v>
      </c>
      <c r="E648" s="2" t="s">
        <v>13</v>
      </c>
      <c r="F648" s="2" t="s">
        <v>145</v>
      </c>
      <c r="G648" s="277" t="s">
        <v>267</v>
      </c>
      <c r="H648" s="277" t="s">
        <v>267</v>
      </c>
      <c r="I648" s="277">
        <v>44933</v>
      </c>
      <c r="J648" s="2" t="s">
        <v>830</v>
      </c>
      <c r="K648" s="2" t="s">
        <v>838</v>
      </c>
      <c r="L648" s="2" t="s">
        <v>267</v>
      </c>
      <c r="M648" s="2"/>
      <c r="N648" s="2" t="str">
        <f>DitrbFlota[[#This Row],[TIPO BUS]]&amp;"-"&amp;DitrbFlota[[#This Row],[MARCA CHASIS]]</f>
        <v>B2-MERCEDES BENZ</v>
      </c>
      <c r="O648" s="2">
        <f>MONTH(DitrbFlota[[#This Row],[Inicio Operación]])</f>
        <v>1</v>
      </c>
      <c r="P648" s="2">
        <f>YEAR(DitrbFlota[[#This Row],[Inicio Operación]])</f>
        <v>2023</v>
      </c>
      <c r="Q648" s="29">
        <v>95</v>
      </c>
    </row>
    <row r="649" spans="1:17" hidden="1">
      <c r="A649" s="7" t="s">
        <v>10</v>
      </c>
      <c r="B649" s="2" t="s">
        <v>390</v>
      </c>
      <c r="C649" s="2">
        <v>2082</v>
      </c>
      <c r="D649" s="2" t="s">
        <v>34</v>
      </c>
      <c r="E649" s="2" t="s">
        <v>13</v>
      </c>
      <c r="F649" s="2" t="s">
        <v>145</v>
      </c>
      <c r="G649" s="277" t="s">
        <v>267</v>
      </c>
      <c r="H649" s="277" t="s">
        <v>267</v>
      </c>
      <c r="I649" s="277">
        <v>44933</v>
      </c>
      <c r="J649" s="2" t="s">
        <v>830</v>
      </c>
      <c r="K649" s="2" t="s">
        <v>838</v>
      </c>
      <c r="L649" s="2" t="s">
        <v>267</v>
      </c>
      <c r="M649" s="2"/>
      <c r="N649" s="2" t="str">
        <f>DitrbFlota[[#This Row],[TIPO BUS]]&amp;"-"&amp;DitrbFlota[[#This Row],[MARCA CHASIS]]</f>
        <v>B2-MERCEDES BENZ</v>
      </c>
      <c r="O649" s="2">
        <f>MONTH(DitrbFlota[[#This Row],[Inicio Operación]])</f>
        <v>1</v>
      </c>
      <c r="P649" s="2">
        <f>YEAR(DitrbFlota[[#This Row],[Inicio Operación]])</f>
        <v>2023</v>
      </c>
      <c r="Q649" s="29">
        <v>95</v>
      </c>
    </row>
    <row r="650" spans="1:17" hidden="1">
      <c r="A650" s="7" t="s">
        <v>10</v>
      </c>
      <c r="B650" s="2" t="s">
        <v>391</v>
      </c>
      <c r="C650" s="2">
        <v>2083</v>
      </c>
      <c r="D650" s="2" t="s">
        <v>34</v>
      </c>
      <c r="E650" s="2" t="s">
        <v>13</v>
      </c>
      <c r="F650" s="2" t="s">
        <v>145</v>
      </c>
      <c r="G650" s="277" t="s">
        <v>267</v>
      </c>
      <c r="H650" s="277" t="s">
        <v>267</v>
      </c>
      <c r="I650" s="277">
        <v>44933</v>
      </c>
      <c r="J650" s="2" t="s">
        <v>830</v>
      </c>
      <c r="K650" s="2" t="s">
        <v>838</v>
      </c>
      <c r="L650" s="2" t="s">
        <v>267</v>
      </c>
      <c r="M650" s="2"/>
      <c r="N650" s="2" t="str">
        <f>DitrbFlota[[#This Row],[TIPO BUS]]&amp;"-"&amp;DitrbFlota[[#This Row],[MARCA CHASIS]]</f>
        <v>B2-MERCEDES BENZ</v>
      </c>
      <c r="O650" s="2">
        <f>MONTH(DitrbFlota[[#This Row],[Inicio Operación]])</f>
        <v>1</v>
      </c>
      <c r="P650" s="2">
        <f>YEAR(DitrbFlota[[#This Row],[Inicio Operación]])</f>
        <v>2023</v>
      </c>
      <c r="Q650" s="29">
        <v>95</v>
      </c>
    </row>
    <row r="651" spans="1:17" hidden="1">
      <c r="A651" s="7" t="s">
        <v>10</v>
      </c>
      <c r="B651" s="2" t="s">
        <v>392</v>
      </c>
      <c r="C651" s="2">
        <v>2086</v>
      </c>
      <c r="D651" s="2" t="s">
        <v>34</v>
      </c>
      <c r="E651" s="2" t="s">
        <v>25</v>
      </c>
      <c r="F651" s="2" t="s">
        <v>145</v>
      </c>
      <c r="G651" s="277" t="s">
        <v>267</v>
      </c>
      <c r="H651" s="277" t="s">
        <v>267</v>
      </c>
      <c r="I651" s="277">
        <v>44933</v>
      </c>
      <c r="J651" s="2" t="s">
        <v>830</v>
      </c>
      <c r="K651" s="2" t="s">
        <v>838</v>
      </c>
      <c r="L651" s="2" t="s">
        <v>267</v>
      </c>
      <c r="M651" s="2"/>
      <c r="N651" s="2" t="str">
        <f>DitrbFlota[[#This Row],[TIPO BUS]]&amp;"-"&amp;DitrbFlota[[#This Row],[MARCA CHASIS]]</f>
        <v>B2-MERCEDES BENZ</v>
      </c>
      <c r="O651" s="2">
        <f>MONTH(DitrbFlota[[#This Row],[Inicio Operación]])</f>
        <v>1</v>
      </c>
      <c r="P651" s="2">
        <f>YEAR(DitrbFlota[[#This Row],[Inicio Operación]])</f>
        <v>2023</v>
      </c>
      <c r="Q651" s="29">
        <v>95</v>
      </c>
    </row>
    <row r="652" spans="1:17" hidden="1">
      <c r="A652" s="7" t="s">
        <v>10</v>
      </c>
      <c r="B652" s="2" t="s">
        <v>393</v>
      </c>
      <c r="C652" s="2">
        <v>2087</v>
      </c>
      <c r="D652" s="2" t="s">
        <v>34</v>
      </c>
      <c r="E652" s="2" t="s">
        <v>25</v>
      </c>
      <c r="F652" s="2" t="s">
        <v>145</v>
      </c>
      <c r="G652" s="277" t="s">
        <v>267</v>
      </c>
      <c r="H652" s="277" t="s">
        <v>267</v>
      </c>
      <c r="I652" s="277">
        <v>44933</v>
      </c>
      <c r="J652" s="2" t="s">
        <v>830</v>
      </c>
      <c r="K652" s="2" t="s">
        <v>838</v>
      </c>
      <c r="L652" s="2" t="s">
        <v>267</v>
      </c>
      <c r="M652" s="2"/>
      <c r="N652" s="2" t="str">
        <f>DitrbFlota[[#This Row],[TIPO BUS]]&amp;"-"&amp;DitrbFlota[[#This Row],[MARCA CHASIS]]</f>
        <v>B2-MERCEDES BENZ</v>
      </c>
      <c r="O652" s="2">
        <f>MONTH(DitrbFlota[[#This Row],[Inicio Operación]])</f>
        <v>1</v>
      </c>
      <c r="P652" s="2">
        <f>YEAR(DitrbFlota[[#This Row],[Inicio Operación]])</f>
        <v>2023</v>
      </c>
      <c r="Q652" s="29">
        <v>95</v>
      </c>
    </row>
    <row r="653" spans="1:17" hidden="1">
      <c r="A653" s="7" t="s">
        <v>10</v>
      </c>
      <c r="B653" s="2" t="s">
        <v>373</v>
      </c>
      <c r="C653" s="2">
        <v>2097</v>
      </c>
      <c r="D653" s="2" t="s">
        <v>34</v>
      </c>
      <c r="E653" s="2" t="s">
        <v>13</v>
      </c>
      <c r="F653" s="2" t="s">
        <v>145</v>
      </c>
      <c r="G653" s="277" t="s">
        <v>267</v>
      </c>
      <c r="H653" s="277" t="s">
        <v>267</v>
      </c>
      <c r="I653" s="277">
        <v>44933</v>
      </c>
      <c r="J653" s="2" t="s">
        <v>830</v>
      </c>
      <c r="K653" s="2" t="s">
        <v>838</v>
      </c>
      <c r="L653" s="2" t="s">
        <v>267</v>
      </c>
      <c r="M653" s="2"/>
      <c r="N653" s="2" t="str">
        <f>DitrbFlota[[#This Row],[TIPO BUS]]&amp;"-"&amp;DitrbFlota[[#This Row],[MARCA CHASIS]]</f>
        <v>B2-MERCEDES BENZ</v>
      </c>
      <c r="O653" s="2">
        <f>MONTH(DitrbFlota[[#This Row],[Inicio Operación]])</f>
        <v>1</v>
      </c>
      <c r="P653" s="2">
        <f>YEAR(DitrbFlota[[#This Row],[Inicio Operación]])</f>
        <v>2023</v>
      </c>
      <c r="Q653" s="29">
        <v>95</v>
      </c>
    </row>
    <row r="654" spans="1:17" hidden="1">
      <c r="A654" s="7" t="s">
        <v>10</v>
      </c>
      <c r="B654" s="2" t="s">
        <v>374</v>
      </c>
      <c r="C654" s="2">
        <v>2098</v>
      </c>
      <c r="D654" s="2" t="s">
        <v>34</v>
      </c>
      <c r="E654" s="2" t="s">
        <v>13</v>
      </c>
      <c r="F654" s="2" t="s">
        <v>145</v>
      </c>
      <c r="G654" s="277" t="s">
        <v>267</v>
      </c>
      <c r="H654" s="277" t="s">
        <v>267</v>
      </c>
      <c r="I654" s="277">
        <v>44933</v>
      </c>
      <c r="J654" s="2" t="s">
        <v>830</v>
      </c>
      <c r="K654" s="2" t="s">
        <v>838</v>
      </c>
      <c r="L654" s="2" t="s">
        <v>267</v>
      </c>
      <c r="M654" s="2"/>
      <c r="N654" s="2" t="str">
        <f>DitrbFlota[[#This Row],[TIPO BUS]]&amp;"-"&amp;DitrbFlota[[#This Row],[MARCA CHASIS]]</f>
        <v>B2-MERCEDES BENZ</v>
      </c>
      <c r="O654" s="2">
        <f>MONTH(DitrbFlota[[#This Row],[Inicio Operación]])</f>
        <v>1</v>
      </c>
      <c r="P654" s="2">
        <f>YEAR(DitrbFlota[[#This Row],[Inicio Operación]])</f>
        <v>2023</v>
      </c>
      <c r="Q654" s="29">
        <v>95</v>
      </c>
    </row>
    <row r="655" spans="1:17" hidden="1">
      <c r="A655" s="7" t="s">
        <v>10</v>
      </c>
      <c r="B655" s="2" t="s">
        <v>375</v>
      </c>
      <c r="C655" s="2">
        <v>2099</v>
      </c>
      <c r="D655" s="2" t="s">
        <v>34</v>
      </c>
      <c r="E655" s="2" t="s">
        <v>13</v>
      </c>
      <c r="F655" s="2" t="s">
        <v>145</v>
      </c>
      <c r="G655" s="277" t="s">
        <v>267</v>
      </c>
      <c r="H655" s="277" t="s">
        <v>267</v>
      </c>
      <c r="I655" s="277">
        <v>44933</v>
      </c>
      <c r="J655" s="2" t="s">
        <v>830</v>
      </c>
      <c r="K655" s="2" t="s">
        <v>838</v>
      </c>
      <c r="L655" s="2" t="s">
        <v>267</v>
      </c>
      <c r="M655" s="2"/>
      <c r="N655" s="2" t="str">
        <f>DitrbFlota[[#This Row],[TIPO BUS]]&amp;"-"&amp;DitrbFlota[[#This Row],[MARCA CHASIS]]</f>
        <v>B2-MERCEDES BENZ</v>
      </c>
      <c r="O655" s="2">
        <f>MONTH(DitrbFlota[[#This Row],[Inicio Operación]])</f>
        <v>1</v>
      </c>
      <c r="P655" s="2">
        <f>YEAR(DitrbFlota[[#This Row],[Inicio Operación]])</f>
        <v>2023</v>
      </c>
      <c r="Q655" s="29">
        <v>95</v>
      </c>
    </row>
    <row r="656" spans="1:17" hidden="1">
      <c r="A656" s="7" t="s">
        <v>10</v>
      </c>
      <c r="B656" s="2" t="s">
        <v>376</v>
      </c>
      <c r="C656" s="2">
        <v>2100</v>
      </c>
      <c r="D656" s="2" t="s">
        <v>34</v>
      </c>
      <c r="E656" s="2" t="s">
        <v>13</v>
      </c>
      <c r="F656" s="2" t="s">
        <v>145</v>
      </c>
      <c r="G656" s="277" t="s">
        <v>267</v>
      </c>
      <c r="H656" s="277" t="s">
        <v>267</v>
      </c>
      <c r="I656" s="277">
        <v>44933</v>
      </c>
      <c r="J656" s="2" t="s">
        <v>830</v>
      </c>
      <c r="K656" s="2" t="s">
        <v>838</v>
      </c>
      <c r="L656" s="2" t="s">
        <v>267</v>
      </c>
      <c r="M656" s="2"/>
      <c r="N656" s="2" t="str">
        <f>DitrbFlota[[#This Row],[TIPO BUS]]&amp;"-"&amp;DitrbFlota[[#This Row],[MARCA CHASIS]]</f>
        <v>B2-MERCEDES BENZ</v>
      </c>
      <c r="O656" s="2">
        <f>MONTH(DitrbFlota[[#This Row],[Inicio Operación]])</f>
        <v>1</v>
      </c>
      <c r="P656" s="2">
        <f>YEAR(DitrbFlota[[#This Row],[Inicio Operación]])</f>
        <v>2023</v>
      </c>
      <c r="Q656" s="29">
        <v>95</v>
      </c>
    </row>
    <row r="657" spans="1:17" hidden="1">
      <c r="A657" s="7" t="s">
        <v>10</v>
      </c>
      <c r="B657" s="2" t="s">
        <v>377</v>
      </c>
      <c r="C657" s="2">
        <v>2101</v>
      </c>
      <c r="D657" s="2" t="s">
        <v>34</v>
      </c>
      <c r="E657" s="2" t="s">
        <v>13</v>
      </c>
      <c r="F657" s="2" t="s">
        <v>145</v>
      </c>
      <c r="G657" s="277" t="s">
        <v>267</v>
      </c>
      <c r="H657" s="277" t="s">
        <v>267</v>
      </c>
      <c r="I657" s="277">
        <v>44933</v>
      </c>
      <c r="J657" s="2" t="s">
        <v>830</v>
      </c>
      <c r="K657" s="2" t="s">
        <v>838</v>
      </c>
      <c r="L657" s="2" t="s">
        <v>267</v>
      </c>
      <c r="M657" s="2"/>
      <c r="N657" s="2" t="str">
        <f>DitrbFlota[[#This Row],[TIPO BUS]]&amp;"-"&amp;DitrbFlota[[#This Row],[MARCA CHASIS]]</f>
        <v>B2-MERCEDES BENZ</v>
      </c>
      <c r="O657" s="2">
        <f>MONTH(DitrbFlota[[#This Row],[Inicio Operación]])</f>
        <v>1</v>
      </c>
      <c r="P657" s="2">
        <f>YEAR(DitrbFlota[[#This Row],[Inicio Operación]])</f>
        <v>2023</v>
      </c>
      <c r="Q657" s="29">
        <v>95</v>
      </c>
    </row>
    <row r="658" spans="1:17" hidden="1">
      <c r="A658" s="7" t="s">
        <v>10</v>
      </c>
      <c r="B658" s="2" t="s">
        <v>378</v>
      </c>
      <c r="C658" s="2">
        <v>2102</v>
      </c>
      <c r="D658" s="2" t="s">
        <v>34</v>
      </c>
      <c r="E658" s="2" t="s">
        <v>13</v>
      </c>
      <c r="F658" s="2" t="s">
        <v>145</v>
      </c>
      <c r="G658" s="277" t="s">
        <v>267</v>
      </c>
      <c r="H658" s="277" t="s">
        <v>267</v>
      </c>
      <c r="I658" s="277">
        <v>44933</v>
      </c>
      <c r="J658" s="2" t="s">
        <v>830</v>
      </c>
      <c r="K658" s="2" t="s">
        <v>838</v>
      </c>
      <c r="L658" s="2" t="s">
        <v>267</v>
      </c>
      <c r="M658" s="2"/>
      <c r="N658" s="2" t="str">
        <f>DitrbFlota[[#This Row],[TIPO BUS]]&amp;"-"&amp;DitrbFlota[[#This Row],[MARCA CHASIS]]</f>
        <v>B2-MERCEDES BENZ</v>
      </c>
      <c r="O658" s="2">
        <f>MONTH(DitrbFlota[[#This Row],[Inicio Operación]])</f>
        <v>1</v>
      </c>
      <c r="P658" s="2">
        <f>YEAR(DitrbFlota[[#This Row],[Inicio Operación]])</f>
        <v>2023</v>
      </c>
      <c r="Q658" s="29">
        <v>95</v>
      </c>
    </row>
    <row r="659" spans="1:17" hidden="1">
      <c r="A659" s="7" t="s">
        <v>10</v>
      </c>
      <c r="B659" s="2" t="s">
        <v>379</v>
      </c>
      <c r="C659" s="2">
        <v>2103</v>
      </c>
      <c r="D659" s="2" t="s">
        <v>34</v>
      </c>
      <c r="E659" s="2" t="s">
        <v>25</v>
      </c>
      <c r="F659" s="2" t="s">
        <v>145</v>
      </c>
      <c r="G659" s="277" t="s">
        <v>267</v>
      </c>
      <c r="H659" s="277" t="s">
        <v>267</v>
      </c>
      <c r="I659" s="277">
        <v>44933</v>
      </c>
      <c r="J659" s="2" t="s">
        <v>830</v>
      </c>
      <c r="K659" s="2" t="s">
        <v>838</v>
      </c>
      <c r="L659" s="2" t="s">
        <v>267</v>
      </c>
      <c r="M659" s="2"/>
      <c r="N659" s="2" t="str">
        <f>DitrbFlota[[#This Row],[TIPO BUS]]&amp;"-"&amp;DitrbFlota[[#This Row],[MARCA CHASIS]]</f>
        <v>B2-MERCEDES BENZ</v>
      </c>
      <c r="O659" s="2">
        <f>MONTH(DitrbFlota[[#This Row],[Inicio Operación]])</f>
        <v>1</v>
      </c>
      <c r="P659" s="2">
        <f>YEAR(DitrbFlota[[#This Row],[Inicio Operación]])</f>
        <v>2023</v>
      </c>
      <c r="Q659" s="29">
        <v>95</v>
      </c>
    </row>
    <row r="660" spans="1:17" hidden="1">
      <c r="A660" s="7" t="s">
        <v>10</v>
      </c>
      <c r="B660" s="2" t="s">
        <v>380</v>
      </c>
      <c r="C660" s="2">
        <v>2104</v>
      </c>
      <c r="D660" s="2" t="s">
        <v>34</v>
      </c>
      <c r="E660" s="2" t="s">
        <v>13</v>
      </c>
      <c r="F660" s="2" t="s">
        <v>145</v>
      </c>
      <c r="G660" s="277" t="s">
        <v>267</v>
      </c>
      <c r="H660" s="277" t="s">
        <v>267</v>
      </c>
      <c r="I660" s="277">
        <v>44933</v>
      </c>
      <c r="J660" s="2" t="s">
        <v>830</v>
      </c>
      <c r="K660" s="2" t="s">
        <v>838</v>
      </c>
      <c r="L660" s="2" t="s">
        <v>267</v>
      </c>
      <c r="M660" s="2"/>
      <c r="N660" s="2" t="str">
        <f>DitrbFlota[[#This Row],[TIPO BUS]]&amp;"-"&amp;DitrbFlota[[#This Row],[MARCA CHASIS]]</f>
        <v>B2-MERCEDES BENZ</v>
      </c>
      <c r="O660" s="2">
        <f>MONTH(DitrbFlota[[#This Row],[Inicio Operación]])</f>
        <v>1</v>
      </c>
      <c r="P660" s="2">
        <f>YEAR(DitrbFlota[[#This Row],[Inicio Operación]])</f>
        <v>2023</v>
      </c>
      <c r="Q660" s="29">
        <v>95</v>
      </c>
    </row>
    <row r="661" spans="1:17" hidden="1">
      <c r="A661" s="7" t="s">
        <v>10</v>
      </c>
      <c r="B661" s="2" t="s">
        <v>381</v>
      </c>
      <c r="C661" s="2">
        <v>2105</v>
      </c>
      <c r="D661" s="2" t="s">
        <v>34</v>
      </c>
      <c r="E661" s="2" t="s">
        <v>13</v>
      </c>
      <c r="F661" s="2" t="s">
        <v>145</v>
      </c>
      <c r="G661" s="277" t="s">
        <v>267</v>
      </c>
      <c r="H661" s="277" t="s">
        <v>267</v>
      </c>
      <c r="I661" s="277">
        <v>44933</v>
      </c>
      <c r="J661" s="2" t="s">
        <v>830</v>
      </c>
      <c r="K661" s="2" t="s">
        <v>838</v>
      </c>
      <c r="L661" s="2" t="s">
        <v>267</v>
      </c>
      <c r="M661" s="2"/>
      <c r="N661" s="2" t="str">
        <f>DitrbFlota[[#This Row],[TIPO BUS]]&amp;"-"&amp;DitrbFlota[[#This Row],[MARCA CHASIS]]</f>
        <v>B2-MERCEDES BENZ</v>
      </c>
      <c r="O661" s="2">
        <f>MONTH(DitrbFlota[[#This Row],[Inicio Operación]])</f>
        <v>1</v>
      </c>
      <c r="P661" s="2">
        <f>YEAR(DitrbFlota[[#This Row],[Inicio Operación]])</f>
        <v>2023</v>
      </c>
      <c r="Q661" s="29">
        <v>95</v>
      </c>
    </row>
    <row r="662" spans="1:17" hidden="1">
      <c r="A662" s="7" t="s">
        <v>10</v>
      </c>
      <c r="B662" s="2" t="s">
        <v>382</v>
      </c>
      <c r="C662" s="2">
        <v>2106</v>
      </c>
      <c r="D662" s="2" t="s">
        <v>34</v>
      </c>
      <c r="E662" s="2" t="s">
        <v>13</v>
      </c>
      <c r="F662" s="2" t="s">
        <v>145</v>
      </c>
      <c r="G662" s="277" t="s">
        <v>267</v>
      </c>
      <c r="H662" s="277" t="s">
        <v>267</v>
      </c>
      <c r="I662" s="277">
        <v>44933</v>
      </c>
      <c r="J662" s="2" t="s">
        <v>830</v>
      </c>
      <c r="K662" s="2" t="s">
        <v>838</v>
      </c>
      <c r="L662" s="2" t="s">
        <v>267</v>
      </c>
      <c r="M662" s="2"/>
      <c r="N662" s="2" t="str">
        <f>DitrbFlota[[#This Row],[TIPO BUS]]&amp;"-"&amp;DitrbFlota[[#This Row],[MARCA CHASIS]]</f>
        <v>B2-MERCEDES BENZ</v>
      </c>
      <c r="O662" s="2">
        <f>MONTH(DitrbFlota[[#This Row],[Inicio Operación]])</f>
        <v>1</v>
      </c>
      <c r="P662" s="2">
        <f>YEAR(DitrbFlota[[#This Row],[Inicio Operación]])</f>
        <v>2023</v>
      </c>
      <c r="Q662" s="29">
        <v>95</v>
      </c>
    </row>
    <row r="663" spans="1:17" hidden="1">
      <c r="A663" s="7" t="s">
        <v>10</v>
      </c>
      <c r="B663" s="2" t="s">
        <v>383</v>
      </c>
      <c r="C663" s="2">
        <v>2107</v>
      </c>
      <c r="D663" s="2" t="s">
        <v>34</v>
      </c>
      <c r="E663" s="2" t="s">
        <v>13</v>
      </c>
      <c r="F663" s="2" t="s">
        <v>145</v>
      </c>
      <c r="G663" s="277" t="s">
        <v>267</v>
      </c>
      <c r="H663" s="277" t="s">
        <v>267</v>
      </c>
      <c r="I663" s="277">
        <v>44933</v>
      </c>
      <c r="J663" s="2" t="s">
        <v>830</v>
      </c>
      <c r="K663" s="2" t="s">
        <v>838</v>
      </c>
      <c r="L663" s="2" t="s">
        <v>267</v>
      </c>
      <c r="M663" s="2"/>
      <c r="N663" s="2" t="str">
        <f>DitrbFlota[[#This Row],[TIPO BUS]]&amp;"-"&amp;DitrbFlota[[#This Row],[MARCA CHASIS]]</f>
        <v>B2-MERCEDES BENZ</v>
      </c>
      <c r="O663" s="2">
        <f>MONTH(DitrbFlota[[#This Row],[Inicio Operación]])</f>
        <v>1</v>
      </c>
      <c r="P663" s="2">
        <f>YEAR(DitrbFlota[[#This Row],[Inicio Operación]])</f>
        <v>2023</v>
      </c>
      <c r="Q663" s="29">
        <v>95</v>
      </c>
    </row>
    <row r="664" spans="1:17" hidden="1">
      <c r="A664" s="7" t="s">
        <v>10</v>
      </c>
      <c r="B664" s="2" t="s">
        <v>384</v>
      </c>
      <c r="C664" s="2">
        <v>2108</v>
      </c>
      <c r="D664" s="2" t="s">
        <v>34</v>
      </c>
      <c r="E664" s="2" t="s">
        <v>13</v>
      </c>
      <c r="F664" s="2" t="s">
        <v>145</v>
      </c>
      <c r="G664" s="277" t="s">
        <v>267</v>
      </c>
      <c r="H664" s="277" t="s">
        <v>267</v>
      </c>
      <c r="I664" s="277">
        <v>44933</v>
      </c>
      <c r="J664" s="2" t="s">
        <v>830</v>
      </c>
      <c r="K664" s="2" t="s">
        <v>838</v>
      </c>
      <c r="L664" s="2" t="s">
        <v>267</v>
      </c>
      <c r="M664" s="2"/>
      <c r="N664" s="2" t="str">
        <f>DitrbFlota[[#This Row],[TIPO BUS]]&amp;"-"&amp;DitrbFlota[[#This Row],[MARCA CHASIS]]</f>
        <v>B2-MERCEDES BENZ</v>
      </c>
      <c r="O664" s="2">
        <f>MONTH(DitrbFlota[[#This Row],[Inicio Operación]])</f>
        <v>1</v>
      </c>
      <c r="P664" s="2">
        <f>YEAR(DitrbFlota[[#This Row],[Inicio Operación]])</f>
        <v>2023</v>
      </c>
      <c r="Q664" s="29">
        <v>95</v>
      </c>
    </row>
    <row r="665" spans="1:17" hidden="1">
      <c r="A665" s="7" t="s">
        <v>10</v>
      </c>
      <c r="B665" s="2" t="s">
        <v>385</v>
      </c>
      <c r="C665" s="2">
        <v>2109</v>
      </c>
      <c r="D665" s="2" t="s">
        <v>34</v>
      </c>
      <c r="E665" s="2" t="s">
        <v>13</v>
      </c>
      <c r="F665" s="2" t="s">
        <v>145</v>
      </c>
      <c r="G665" s="277" t="s">
        <v>267</v>
      </c>
      <c r="H665" s="277" t="s">
        <v>267</v>
      </c>
      <c r="I665" s="277">
        <v>44933</v>
      </c>
      <c r="J665" s="2" t="s">
        <v>830</v>
      </c>
      <c r="K665" s="2" t="s">
        <v>838</v>
      </c>
      <c r="L665" s="2" t="s">
        <v>267</v>
      </c>
      <c r="M665" s="2"/>
      <c r="N665" s="2" t="str">
        <f>DitrbFlota[[#This Row],[TIPO BUS]]&amp;"-"&amp;DitrbFlota[[#This Row],[MARCA CHASIS]]</f>
        <v>B2-MERCEDES BENZ</v>
      </c>
      <c r="O665" s="2">
        <f>MONTH(DitrbFlota[[#This Row],[Inicio Operación]])</f>
        <v>1</v>
      </c>
      <c r="P665" s="2">
        <f>YEAR(DitrbFlota[[#This Row],[Inicio Operación]])</f>
        <v>2023</v>
      </c>
      <c r="Q665" s="29">
        <v>95</v>
      </c>
    </row>
    <row r="666" spans="1:17" hidden="1">
      <c r="A666" s="7" t="s">
        <v>10</v>
      </c>
      <c r="B666" s="2" t="s">
        <v>386</v>
      </c>
      <c r="C666" s="2">
        <v>2110</v>
      </c>
      <c r="D666" s="2" t="s">
        <v>34</v>
      </c>
      <c r="E666" s="2" t="s">
        <v>13</v>
      </c>
      <c r="F666" s="2" t="s">
        <v>145</v>
      </c>
      <c r="G666" s="277" t="s">
        <v>267</v>
      </c>
      <c r="H666" s="277" t="s">
        <v>267</v>
      </c>
      <c r="I666" s="277">
        <v>44933</v>
      </c>
      <c r="J666" s="2" t="s">
        <v>830</v>
      </c>
      <c r="K666" s="2" t="s">
        <v>838</v>
      </c>
      <c r="L666" s="2" t="s">
        <v>267</v>
      </c>
      <c r="M666" s="2"/>
      <c r="N666" s="2" t="str">
        <f>DitrbFlota[[#This Row],[TIPO BUS]]&amp;"-"&amp;DitrbFlota[[#This Row],[MARCA CHASIS]]</f>
        <v>B2-MERCEDES BENZ</v>
      </c>
      <c r="O666" s="2">
        <f>MONTH(DitrbFlota[[#This Row],[Inicio Operación]])</f>
        <v>1</v>
      </c>
      <c r="P666" s="2">
        <f>YEAR(DitrbFlota[[#This Row],[Inicio Operación]])</f>
        <v>2023</v>
      </c>
      <c r="Q666" s="29">
        <v>95</v>
      </c>
    </row>
    <row r="667" spans="1:17" hidden="1">
      <c r="A667" s="7" t="s">
        <v>10</v>
      </c>
      <c r="B667" s="2" t="s">
        <v>400</v>
      </c>
      <c r="C667" s="2">
        <v>2112</v>
      </c>
      <c r="D667" s="2" t="s">
        <v>34</v>
      </c>
      <c r="E667" s="2" t="s">
        <v>13</v>
      </c>
      <c r="F667" s="2" t="s">
        <v>145</v>
      </c>
      <c r="G667" s="277" t="s">
        <v>267</v>
      </c>
      <c r="H667" s="277" t="s">
        <v>267</v>
      </c>
      <c r="I667" s="277">
        <v>44933</v>
      </c>
      <c r="J667" s="2" t="s">
        <v>830</v>
      </c>
      <c r="K667" s="2" t="s">
        <v>838</v>
      </c>
      <c r="L667" s="2" t="s">
        <v>267</v>
      </c>
      <c r="M667" s="2"/>
      <c r="N667" s="2" t="str">
        <f>DitrbFlota[[#This Row],[TIPO BUS]]&amp;"-"&amp;DitrbFlota[[#This Row],[MARCA CHASIS]]</f>
        <v>B2-MERCEDES BENZ</v>
      </c>
      <c r="O667" s="2">
        <f>MONTH(DitrbFlota[[#This Row],[Inicio Operación]])</f>
        <v>1</v>
      </c>
      <c r="P667" s="2">
        <f>YEAR(DitrbFlota[[#This Row],[Inicio Operación]])</f>
        <v>2023</v>
      </c>
      <c r="Q667" s="29">
        <v>95</v>
      </c>
    </row>
    <row r="668" spans="1:17" hidden="1">
      <c r="A668" s="7" t="s">
        <v>10</v>
      </c>
      <c r="B668" s="2" t="s">
        <v>387</v>
      </c>
      <c r="C668" s="2">
        <v>2113</v>
      </c>
      <c r="D668" s="2" t="s">
        <v>34</v>
      </c>
      <c r="E668" s="2" t="s">
        <v>25</v>
      </c>
      <c r="F668" s="2" t="s">
        <v>145</v>
      </c>
      <c r="G668" s="277" t="s">
        <v>267</v>
      </c>
      <c r="H668" s="277" t="s">
        <v>267</v>
      </c>
      <c r="I668" s="277">
        <v>44933</v>
      </c>
      <c r="J668" s="2" t="s">
        <v>830</v>
      </c>
      <c r="K668" s="2" t="s">
        <v>838</v>
      </c>
      <c r="L668" s="2" t="s">
        <v>267</v>
      </c>
      <c r="M668" s="2"/>
      <c r="N668" s="2" t="str">
        <f>DitrbFlota[[#This Row],[TIPO BUS]]&amp;"-"&amp;DitrbFlota[[#This Row],[MARCA CHASIS]]</f>
        <v>B2-MERCEDES BENZ</v>
      </c>
      <c r="O668" s="2">
        <f>MONTH(DitrbFlota[[#This Row],[Inicio Operación]])</f>
        <v>1</v>
      </c>
      <c r="P668" s="2">
        <f>YEAR(DitrbFlota[[#This Row],[Inicio Operación]])</f>
        <v>2023</v>
      </c>
      <c r="Q668" s="29">
        <v>95</v>
      </c>
    </row>
    <row r="669" spans="1:17" hidden="1">
      <c r="A669" s="7" t="s">
        <v>10</v>
      </c>
      <c r="B669" s="2" t="s">
        <v>401</v>
      </c>
      <c r="C669" s="2">
        <v>2114</v>
      </c>
      <c r="D669" s="2" t="s">
        <v>285</v>
      </c>
      <c r="E669" s="352" t="s">
        <v>25</v>
      </c>
      <c r="F669" s="2" t="s">
        <v>36</v>
      </c>
      <c r="G669" s="277" t="s">
        <v>267</v>
      </c>
      <c r="H669" s="277" t="s">
        <v>267</v>
      </c>
      <c r="I669" s="277">
        <v>45735</v>
      </c>
      <c r="J669" s="2" t="s">
        <v>830</v>
      </c>
      <c r="K669" s="2" t="s">
        <v>838</v>
      </c>
      <c r="L669" s="277" t="s">
        <v>267</v>
      </c>
      <c r="M669" s="2"/>
      <c r="N669" s="2" t="str">
        <f>DitrbFlota[[#This Row],[TIPO BUS]]&amp;"-"&amp;DitrbFlota[[#This Row],[MARCA CHASIS]]</f>
        <v>BPAL-SCANIA</v>
      </c>
      <c r="O669" s="2">
        <f>MONTH(DitrbFlota[[#This Row],[Inicio Operación]])</f>
        <v>3</v>
      </c>
      <c r="P669" s="2">
        <f>YEAR(DitrbFlota[[#This Row],[Inicio Operación]])</f>
        <v>2025</v>
      </c>
      <c r="Q669" s="29">
        <v>97</v>
      </c>
    </row>
    <row r="670" spans="1:17" hidden="1">
      <c r="A670" s="7" t="s">
        <v>10</v>
      </c>
      <c r="B670" s="2" t="s">
        <v>402</v>
      </c>
      <c r="C670" s="2">
        <v>2115</v>
      </c>
      <c r="D670" s="2" t="s">
        <v>285</v>
      </c>
      <c r="E670" s="352" t="s">
        <v>13</v>
      </c>
      <c r="F670" s="2" t="s">
        <v>36</v>
      </c>
      <c r="G670" s="277" t="s">
        <v>267</v>
      </c>
      <c r="H670" s="277" t="s">
        <v>267</v>
      </c>
      <c r="I670" s="277">
        <v>45730</v>
      </c>
      <c r="J670" s="2" t="s">
        <v>830</v>
      </c>
      <c r="K670" s="2" t="s">
        <v>838</v>
      </c>
      <c r="L670" s="277" t="s">
        <v>267</v>
      </c>
      <c r="M670" s="2"/>
      <c r="N670" s="2" t="str">
        <f>DitrbFlota[[#This Row],[TIPO BUS]]&amp;"-"&amp;DitrbFlota[[#This Row],[MARCA CHASIS]]</f>
        <v>BPAL-SCANIA</v>
      </c>
      <c r="O670" s="2">
        <f>MONTH(DitrbFlota[[#This Row],[Inicio Operación]])</f>
        <v>3</v>
      </c>
      <c r="P670" s="2">
        <f>YEAR(DitrbFlota[[#This Row],[Inicio Operación]])</f>
        <v>2025</v>
      </c>
      <c r="Q670" s="29">
        <v>99</v>
      </c>
    </row>
    <row r="671" spans="1:17" hidden="1">
      <c r="A671" s="7" t="s">
        <v>10</v>
      </c>
      <c r="B671" s="2" t="s">
        <v>403</v>
      </c>
      <c r="C671" s="2">
        <v>2116</v>
      </c>
      <c r="D671" s="2" t="s">
        <v>285</v>
      </c>
      <c r="E671" s="352" t="s">
        <v>13</v>
      </c>
      <c r="F671" s="2" t="s">
        <v>36</v>
      </c>
      <c r="G671" s="277" t="s">
        <v>267</v>
      </c>
      <c r="H671" s="277" t="s">
        <v>267</v>
      </c>
      <c r="I671" s="277">
        <v>45730</v>
      </c>
      <c r="J671" s="2" t="s">
        <v>830</v>
      </c>
      <c r="K671" s="2" t="s">
        <v>838</v>
      </c>
      <c r="L671" s="277" t="s">
        <v>267</v>
      </c>
      <c r="M671" s="2"/>
      <c r="N671" s="2" t="str">
        <f>DitrbFlota[[#This Row],[TIPO BUS]]&amp;"-"&amp;DitrbFlota[[#This Row],[MARCA CHASIS]]</f>
        <v>BPAL-SCANIA</v>
      </c>
      <c r="O671" s="2">
        <f>MONTH(DitrbFlota[[#This Row],[Inicio Operación]])</f>
        <v>3</v>
      </c>
      <c r="P671" s="2">
        <f>YEAR(DitrbFlota[[#This Row],[Inicio Operación]])</f>
        <v>2025</v>
      </c>
      <c r="Q671" s="29">
        <v>97</v>
      </c>
    </row>
    <row r="672" spans="1:17" hidden="1">
      <c r="A672" s="7" t="s">
        <v>10</v>
      </c>
      <c r="B672" s="2" t="s">
        <v>313</v>
      </c>
      <c r="C672" s="2">
        <v>3052</v>
      </c>
      <c r="D672" s="2" t="s">
        <v>147</v>
      </c>
      <c r="E672" s="2" t="s">
        <v>13</v>
      </c>
      <c r="F672" s="2" t="s">
        <v>149</v>
      </c>
      <c r="G672" s="277" t="s">
        <v>267</v>
      </c>
      <c r="H672" s="277" t="s">
        <v>267</v>
      </c>
      <c r="I672" s="277">
        <v>45150</v>
      </c>
      <c r="J672" s="2" t="s">
        <v>1341</v>
      </c>
      <c r="K672" s="2" t="s">
        <v>838</v>
      </c>
      <c r="L672" s="2" t="s">
        <v>267</v>
      </c>
      <c r="M672" s="2"/>
      <c r="N672" s="2" t="str">
        <f>DitrbFlota[[#This Row],[TIPO BUS]]&amp;"-"&amp;DitrbFlota[[#This Row],[MARCA CHASIS]]</f>
        <v>BE-FOTON</v>
      </c>
      <c r="O672" s="2">
        <f>MONTH(DitrbFlota[[#This Row],[Inicio Operación]])</f>
        <v>8</v>
      </c>
      <c r="P672" s="2">
        <f>YEAR(DitrbFlota[[#This Row],[Inicio Operación]])</f>
        <v>2023</v>
      </c>
      <c r="Q672" s="29">
        <v>90</v>
      </c>
    </row>
    <row r="673" spans="1:17" hidden="1">
      <c r="A673" s="7" t="s">
        <v>10</v>
      </c>
      <c r="B673" s="2" t="s">
        <v>314</v>
      </c>
      <c r="C673" s="2">
        <v>3053</v>
      </c>
      <c r="D673" s="2" t="s">
        <v>147</v>
      </c>
      <c r="E673" s="2" t="s">
        <v>13</v>
      </c>
      <c r="F673" s="2" t="s">
        <v>149</v>
      </c>
      <c r="G673" s="277" t="s">
        <v>267</v>
      </c>
      <c r="H673" s="277" t="s">
        <v>267</v>
      </c>
      <c r="I673" s="277">
        <v>45150</v>
      </c>
      <c r="J673" s="2" t="s">
        <v>1341</v>
      </c>
      <c r="K673" s="2" t="s">
        <v>838</v>
      </c>
      <c r="L673" s="2" t="s">
        <v>267</v>
      </c>
      <c r="M673" s="2"/>
      <c r="N673" s="2" t="str">
        <f>DitrbFlota[[#This Row],[TIPO BUS]]&amp;"-"&amp;DitrbFlota[[#This Row],[MARCA CHASIS]]</f>
        <v>BE-FOTON</v>
      </c>
      <c r="O673" s="2">
        <f>MONTH(DitrbFlota[[#This Row],[Inicio Operación]])</f>
        <v>8</v>
      </c>
      <c r="P673" s="2">
        <f>YEAR(DitrbFlota[[#This Row],[Inicio Operación]])</f>
        <v>2023</v>
      </c>
      <c r="Q673" s="29">
        <v>90</v>
      </c>
    </row>
    <row r="674" spans="1:17" hidden="1">
      <c r="A674" s="7" t="s">
        <v>10</v>
      </c>
      <c r="B674" s="2" t="s">
        <v>315</v>
      </c>
      <c r="C674" s="2">
        <v>3054</v>
      </c>
      <c r="D674" s="2" t="s">
        <v>147</v>
      </c>
      <c r="E674" s="2" t="s">
        <v>13</v>
      </c>
      <c r="F674" s="2" t="s">
        <v>149</v>
      </c>
      <c r="G674" s="277" t="s">
        <v>267</v>
      </c>
      <c r="H674" s="277" t="s">
        <v>267</v>
      </c>
      <c r="I674" s="277">
        <v>45150</v>
      </c>
      <c r="J674" s="2" t="s">
        <v>1341</v>
      </c>
      <c r="K674" s="2" t="s">
        <v>838</v>
      </c>
      <c r="L674" s="2" t="s">
        <v>267</v>
      </c>
      <c r="M674" s="2"/>
      <c r="N674" s="2" t="str">
        <f>DitrbFlota[[#This Row],[TIPO BUS]]&amp;"-"&amp;DitrbFlota[[#This Row],[MARCA CHASIS]]</f>
        <v>BE-FOTON</v>
      </c>
      <c r="O674" s="2">
        <f>MONTH(DitrbFlota[[#This Row],[Inicio Operación]])</f>
        <v>8</v>
      </c>
      <c r="P674" s="2">
        <f>YEAR(DitrbFlota[[#This Row],[Inicio Operación]])</f>
        <v>2023</v>
      </c>
      <c r="Q674" s="29">
        <v>90</v>
      </c>
    </row>
    <row r="675" spans="1:17" hidden="1">
      <c r="A675" s="7" t="s">
        <v>10</v>
      </c>
      <c r="B675" s="2" t="s">
        <v>316</v>
      </c>
      <c r="C675" s="2">
        <v>3055</v>
      </c>
      <c r="D675" s="2" t="s">
        <v>147</v>
      </c>
      <c r="E675" s="2" t="s">
        <v>13</v>
      </c>
      <c r="F675" s="2" t="s">
        <v>149</v>
      </c>
      <c r="G675" s="277" t="s">
        <v>267</v>
      </c>
      <c r="H675" s="277" t="s">
        <v>267</v>
      </c>
      <c r="I675" s="277">
        <v>45150</v>
      </c>
      <c r="J675" s="2" t="s">
        <v>1341</v>
      </c>
      <c r="K675" s="2" t="s">
        <v>838</v>
      </c>
      <c r="L675" s="2" t="s">
        <v>267</v>
      </c>
      <c r="M675" s="2"/>
      <c r="N675" s="2" t="str">
        <f>DitrbFlota[[#This Row],[TIPO BUS]]&amp;"-"&amp;DitrbFlota[[#This Row],[MARCA CHASIS]]</f>
        <v>BE-FOTON</v>
      </c>
      <c r="O675" s="2">
        <f>MONTH(DitrbFlota[[#This Row],[Inicio Operación]])</f>
        <v>8</v>
      </c>
      <c r="P675" s="2">
        <f>YEAR(DitrbFlota[[#This Row],[Inicio Operación]])</f>
        <v>2023</v>
      </c>
      <c r="Q675" s="29">
        <v>90</v>
      </c>
    </row>
    <row r="676" spans="1:17" hidden="1">
      <c r="A676" s="7" t="s">
        <v>10</v>
      </c>
      <c r="B676" s="2" t="s">
        <v>317</v>
      </c>
      <c r="C676" s="2">
        <v>3056</v>
      </c>
      <c r="D676" s="2" t="s">
        <v>147</v>
      </c>
      <c r="E676" s="2" t="s">
        <v>13</v>
      </c>
      <c r="F676" s="2" t="s">
        <v>149</v>
      </c>
      <c r="G676" s="277" t="s">
        <v>267</v>
      </c>
      <c r="H676" s="277" t="s">
        <v>267</v>
      </c>
      <c r="I676" s="277">
        <v>45150</v>
      </c>
      <c r="J676" s="2" t="s">
        <v>1341</v>
      </c>
      <c r="K676" s="2" t="s">
        <v>838</v>
      </c>
      <c r="L676" s="2" t="s">
        <v>267</v>
      </c>
      <c r="M676" s="2"/>
      <c r="N676" s="2" t="str">
        <f>DitrbFlota[[#This Row],[TIPO BUS]]&amp;"-"&amp;DitrbFlota[[#This Row],[MARCA CHASIS]]</f>
        <v>BE-FOTON</v>
      </c>
      <c r="O676" s="2">
        <f>MONTH(DitrbFlota[[#This Row],[Inicio Operación]])</f>
        <v>8</v>
      </c>
      <c r="P676" s="2">
        <f>YEAR(DitrbFlota[[#This Row],[Inicio Operación]])</f>
        <v>2023</v>
      </c>
      <c r="Q676" s="29">
        <v>90</v>
      </c>
    </row>
    <row r="677" spans="1:17" hidden="1">
      <c r="A677" s="7" t="s">
        <v>10</v>
      </c>
      <c r="B677" s="2" t="s">
        <v>318</v>
      </c>
      <c r="C677" s="2">
        <v>3057</v>
      </c>
      <c r="D677" s="2" t="s">
        <v>147</v>
      </c>
      <c r="E677" s="2" t="s">
        <v>13</v>
      </c>
      <c r="F677" s="2" t="s">
        <v>149</v>
      </c>
      <c r="G677" s="277" t="s">
        <v>267</v>
      </c>
      <c r="H677" s="277" t="s">
        <v>267</v>
      </c>
      <c r="I677" s="277">
        <v>45150</v>
      </c>
      <c r="J677" s="2" t="s">
        <v>1341</v>
      </c>
      <c r="K677" s="2" t="s">
        <v>838</v>
      </c>
      <c r="L677" s="2" t="s">
        <v>267</v>
      </c>
      <c r="M677" s="2"/>
      <c r="N677" s="2" t="str">
        <f>DitrbFlota[[#This Row],[TIPO BUS]]&amp;"-"&amp;DitrbFlota[[#This Row],[MARCA CHASIS]]</f>
        <v>BE-FOTON</v>
      </c>
      <c r="O677" s="2">
        <f>MONTH(DitrbFlota[[#This Row],[Inicio Operación]])</f>
        <v>8</v>
      </c>
      <c r="P677" s="2">
        <f>YEAR(DitrbFlota[[#This Row],[Inicio Operación]])</f>
        <v>2023</v>
      </c>
      <c r="Q677" s="29">
        <v>90</v>
      </c>
    </row>
    <row r="678" spans="1:17" hidden="1">
      <c r="A678" s="7" t="s">
        <v>10</v>
      </c>
      <c r="B678" s="2" t="s">
        <v>319</v>
      </c>
      <c r="C678" s="2">
        <v>3058</v>
      </c>
      <c r="D678" s="2" t="s">
        <v>147</v>
      </c>
      <c r="E678" s="2" t="s">
        <v>13</v>
      </c>
      <c r="F678" s="2" t="s">
        <v>149</v>
      </c>
      <c r="G678" s="277" t="s">
        <v>267</v>
      </c>
      <c r="H678" s="277" t="s">
        <v>267</v>
      </c>
      <c r="I678" s="277">
        <v>45150</v>
      </c>
      <c r="J678" s="2" t="s">
        <v>1341</v>
      </c>
      <c r="K678" s="2" t="s">
        <v>838</v>
      </c>
      <c r="L678" s="2" t="s">
        <v>267</v>
      </c>
      <c r="M678" s="2"/>
      <c r="N678" s="2" t="str">
        <f>DitrbFlota[[#This Row],[TIPO BUS]]&amp;"-"&amp;DitrbFlota[[#This Row],[MARCA CHASIS]]</f>
        <v>BE-FOTON</v>
      </c>
      <c r="O678" s="2">
        <f>MONTH(DitrbFlota[[#This Row],[Inicio Operación]])</f>
        <v>8</v>
      </c>
      <c r="P678" s="2">
        <f>YEAR(DitrbFlota[[#This Row],[Inicio Operación]])</f>
        <v>2023</v>
      </c>
      <c r="Q678" s="29">
        <v>90</v>
      </c>
    </row>
    <row r="679" spans="1:17" hidden="1">
      <c r="A679" s="7" t="s">
        <v>10</v>
      </c>
      <c r="B679" s="2" t="s">
        <v>320</v>
      </c>
      <c r="C679" s="2">
        <v>3060</v>
      </c>
      <c r="D679" s="2" t="s">
        <v>147</v>
      </c>
      <c r="E679" s="2" t="s">
        <v>13</v>
      </c>
      <c r="F679" s="2" t="s">
        <v>149</v>
      </c>
      <c r="G679" s="277" t="s">
        <v>267</v>
      </c>
      <c r="H679" s="277" t="s">
        <v>267</v>
      </c>
      <c r="I679" s="277">
        <v>45150</v>
      </c>
      <c r="J679" s="2" t="s">
        <v>1341</v>
      </c>
      <c r="K679" s="2" t="s">
        <v>838</v>
      </c>
      <c r="L679" s="2" t="s">
        <v>267</v>
      </c>
      <c r="M679" s="2"/>
      <c r="N679" s="2" t="str">
        <f>DitrbFlota[[#This Row],[TIPO BUS]]&amp;"-"&amp;DitrbFlota[[#This Row],[MARCA CHASIS]]</f>
        <v>BE-FOTON</v>
      </c>
      <c r="O679" s="2">
        <f>MONTH(DitrbFlota[[#This Row],[Inicio Operación]])</f>
        <v>8</v>
      </c>
      <c r="P679" s="2">
        <f>YEAR(DitrbFlota[[#This Row],[Inicio Operación]])</f>
        <v>2023</v>
      </c>
      <c r="Q679" s="29">
        <v>90</v>
      </c>
    </row>
    <row r="680" spans="1:17" hidden="1">
      <c r="A680" s="7" t="s">
        <v>10</v>
      </c>
      <c r="B680" s="2" t="s">
        <v>321</v>
      </c>
      <c r="C680" s="2">
        <v>3061</v>
      </c>
      <c r="D680" s="2" t="s">
        <v>147</v>
      </c>
      <c r="E680" s="2" t="s">
        <v>13</v>
      </c>
      <c r="F680" s="2" t="s">
        <v>149</v>
      </c>
      <c r="G680" s="277" t="s">
        <v>267</v>
      </c>
      <c r="H680" s="277" t="s">
        <v>267</v>
      </c>
      <c r="I680" s="277">
        <v>45150</v>
      </c>
      <c r="J680" s="2" t="s">
        <v>1341</v>
      </c>
      <c r="K680" s="2" t="s">
        <v>838</v>
      </c>
      <c r="L680" s="2" t="s">
        <v>267</v>
      </c>
      <c r="M680" s="2"/>
      <c r="N680" s="2" t="str">
        <f>DitrbFlota[[#This Row],[TIPO BUS]]&amp;"-"&amp;DitrbFlota[[#This Row],[MARCA CHASIS]]</f>
        <v>BE-FOTON</v>
      </c>
      <c r="O680" s="2">
        <f>MONTH(DitrbFlota[[#This Row],[Inicio Operación]])</f>
        <v>8</v>
      </c>
      <c r="P680" s="2">
        <f>YEAR(DitrbFlota[[#This Row],[Inicio Operación]])</f>
        <v>2023</v>
      </c>
      <c r="Q680" s="29">
        <v>90</v>
      </c>
    </row>
    <row r="681" spans="1:17" hidden="1">
      <c r="A681" s="7" t="s">
        <v>10</v>
      </c>
      <c r="B681" s="2" t="s">
        <v>322</v>
      </c>
      <c r="C681" s="2">
        <v>3062</v>
      </c>
      <c r="D681" s="2" t="s">
        <v>147</v>
      </c>
      <c r="E681" s="2" t="s">
        <v>13</v>
      </c>
      <c r="F681" s="2" t="s">
        <v>149</v>
      </c>
      <c r="G681" s="277" t="s">
        <v>267</v>
      </c>
      <c r="H681" s="277" t="s">
        <v>267</v>
      </c>
      <c r="I681" s="277">
        <v>45150</v>
      </c>
      <c r="J681" s="2" t="s">
        <v>1341</v>
      </c>
      <c r="K681" s="2" t="s">
        <v>838</v>
      </c>
      <c r="L681" s="2" t="s">
        <v>267</v>
      </c>
      <c r="M681" s="2"/>
      <c r="N681" s="2" t="str">
        <f>DitrbFlota[[#This Row],[TIPO BUS]]&amp;"-"&amp;DitrbFlota[[#This Row],[MARCA CHASIS]]</f>
        <v>BE-FOTON</v>
      </c>
      <c r="O681" s="2">
        <f>MONTH(DitrbFlota[[#This Row],[Inicio Operación]])</f>
        <v>8</v>
      </c>
      <c r="P681" s="2">
        <f>YEAR(DitrbFlota[[#This Row],[Inicio Operación]])</f>
        <v>2023</v>
      </c>
      <c r="Q681" s="29">
        <v>90</v>
      </c>
    </row>
    <row r="682" spans="1:17" hidden="1">
      <c r="A682" s="7" t="s">
        <v>10</v>
      </c>
      <c r="B682" s="2" t="s">
        <v>323</v>
      </c>
      <c r="C682" s="2">
        <v>3063</v>
      </c>
      <c r="D682" s="2" t="s">
        <v>147</v>
      </c>
      <c r="E682" s="2" t="s">
        <v>13</v>
      </c>
      <c r="F682" s="2" t="s">
        <v>149</v>
      </c>
      <c r="G682" s="277" t="s">
        <v>267</v>
      </c>
      <c r="H682" s="277" t="s">
        <v>267</v>
      </c>
      <c r="I682" s="277">
        <v>45150</v>
      </c>
      <c r="J682" s="2" t="s">
        <v>1341</v>
      </c>
      <c r="K682" s="2" t="s">
        <v>838</v>
      </c>
      <c r="L682" s="2" t="s">
        <v>267</v>
      </c>
      <c r="M682" s="2"/>
      <c r="N682" s="2" t="str">
        <f>DitrbFlota[[#This Row],[TIPO BUS]]&amp;"-"&amp;DitrbFlota[[#This Row],[MARCA CHASIS]]</f>
        <v>BE-FOTON</v>
      </c>
      <c r="O682" s="2">
        <f>MONTH(DitrbFlota[[#This Row],[Inicio Operación]])</f>
        <v>8</v>
      </c>
      <c r="P682" s="2">
        <f>YEAR(DitrbFlota[[#This Row],[Inicio Operación]])</f>
        <v>2023</v>
      </c>
      <c r="Q682" s="29">
        <v>90</v>
      </c>
    </row>
    <row r="683" spans="1:17" hidden="1">
      <c r="A683" s="7" t="s">
        <v>10</v>
      </c>
      <c r="B683" s="2" t="s">
        <v>324</v>
      </c>
      <c r="C683" s="2">
        <v>3064</v>
      </c>
      <c r="D683" s="2" t="s">
        <v>147</v>
      </c>
      <c r="E683" s="2" t="s">
        <v>13</v>
      </c>
      <c r="F683" s="2" t="s">
        <v>149</v>
      </c>
      <c r="G683" s="277" t="s">
        <v>267</v>
      </c>
      <c r="H683" s="277" t="s">
        <v>267</v>
      </c>
      <c r="I683" s="277">
        <v>45150</v>
      </c>
      <c r="J683" s="2" t="s">
        <v>1341</v>
      </c>
      <c r="K683" s="2" t="s">
        <v>838</v>
      </c>
      <c r="L683" s="2" t="s">
        <v>267</v>
      </c>
      <c r="M683" s="2"/>
      <c r="N683" s="2" t="str">
        <f>DitrbFlota[[#This Row],[TIPO BUS]]&amp;"-"&amp;DitrbFlota[[#This Row],[MARCA CHASIS]]</f>
        <v>BE-FOTON</v>
      </c>
      <c r="O683" s="2">
        <f>MONTH(DitrbFlota[[#This Row],[Inicio Operación]])</f>
        <v>8</v>
      </c>
      <c r="P683" s="2">
        <f>YEAR(DitrbFlota[[#This Row],[Inicio Operación]])</f>
        <v>2023</v>
      </c>
      <c r="Q683" s="29">
        <v>90</v>
      </c>
    </row>
    <row r="684" spans="1:17" hidden="1">
      <c r="A684" s="7" t="s">
        <v>10</v>
      </c>
      <c r="B684" s="2" t="s">
        <v>325</v>
      </c>
      <c r="C684" s="2">
        <v>3073</v>
      </c>
      <c r="D684" s="2" t="s">
        <v>147</v>
      </c>
      <c r="E684" s="2" t="s">
        <v>13</v>
      </c>
      <c r="F684" s="2" t="s">
        <v>149</v>
      </c>
      <c r="G684" s="277" t="s">
        <v>267</v>
      </c>
      <c r="H684" s="277" t="s">
        <v>267</v>
      </c>
      <c r="I684" s="277">
        <v>45150</v>
      </c>
      <c r="J684" s="2" t="s">
        <v>1341</v>
      </c>
      <c r="K684" s="2" t="s">
        <v>838</v>
      </c>
      <c r="L684" s="2" t="s">
        <v>267</v>
      </c>
      <c r="M684" s="2"/>
      <c r="N684" s="2" t="str">
        <f>DitrbFlota[[#This Row],[TIPO BUS]]&amp;"-"&amp;DitrbFlota[[#This Row],[MARCA CHASIS]]</f>
        <v>BE-FOTON</v>
      </c>
      <c r="O684" s="2">
        <f>MONTH(DitrbFlota[[#This Row],[Inicio Operación]])</f>
        <v>8</v>
      </c>
      <c r="P684" s="2">
        <f>YEAR(DitrbFlota[[#This Row],[Inicio Operación]])</f>
        <v>2023</v>
      </c>
      <c r="Q684" s="29">
        <v>90</v>
      </c>
    </row>
    <row r="685" spans="1:17" hidden="1">
      <c r="A685" s="7" t="s">
        <v>10</v>
      </c>
      <c r="B685" s="2" t="s">
        <v>326</v>
      </c>
      <c r="C685" s="2">
        <v>3078</v>
      </c>
      <c r="D685" s="2" t="s">
        <v>147</v>
      </c>
      <c r="E685" s="2" t="s">
        <v>13</v>
      </c>
      <c r="F685" s="2" t="s">
        <v>149</v>
      </c>
      <c r="G685" s="277" t="s">
        <v>267</v>
      </c>
      <c r="H685" s="277" t="s">
        <v>267</v>
      </c>
      <c r="I685" s="277">
        <v>45150</v>
      </c>
      <c r="J685" s="2" t="s">
        <v>1341</v>
      </c>
      <c r="K685" s="2" t="s">
        <v>838</v>
      </c>
      <c r="L685" s="2" t="s">
        <v>267</v>
      </c>
      <c r="M685" s="2"/>
      <c r="N685" s="2" t="str">
        <f>DitrbFlota[[#This Row],[TIPO BUS]]&amp;"-"&amp;DitrbFlota[[#This Row],[MARCA CHASIS]]</f>
        <v>BE-FOTON</v>
      </c>
      <c r="O685" s="2">
        <f>MONTH(DitrbFlota[[#This Row],[Inicio Operación]])</f>
        <v>8</v>
      </c>
      <c r="P685" s="2">
        <f>YEAR(DitrbFlota[[#This Row],[Inicio Operación]])</f>
        <v>2023</v>
      </c>
      <c r="Q685" s="29">
        <v>90</v>
      </c>
    </row>
    <row r="686" spans="1:17" hidden="1">
      <c r="A686" s="7" t="s">
        <v>10</v>
      </c>
      <c r="B686" s="2" t="s">
        <v>327</v>
      </c>
      <c r="C686" s="2">
        <v>3080</v>
      </c>
      <c r="D686" s="2" t="s">
        <v>147</v>
      </c>
      <c r="E686" s="2" t="s">
        <v>13</v>
      </c>
      <c r="F686" s="2" t="s">
        <v>149</v>
      </c>
      <c r="G686" s="277" t="s">
        <v>267</v>
      </c>
      <c r="H686" s="277" t="s">
        <v>267</v>
      </c>
      <c r="I686" s="277">
        <v>45150</v>
      </c>
      <c r="J686" s="2" t="s">
        <v>1341</v>
      </c>
      <c r="K686" s="2" t="s">
        <v>838</v>
      </c>
      <c r="L686" s="2" t="s">
        <v>267</v>
      </c>
      <c r="M686" s="2"/>
      <c r="N686" s="2" t="str">
        <f>DitrbFlota[[#This Row],[TIPO BUS]]&amp;"-"&amp;DitrbFlota[[#This Row],[MARCA CHASIS]]</f>
        <v>BE-FOTON</v>
      </c>
      <c r="O686" s="2">
        <f>MONTH(DitrbFlota[[#This Row],[Inicio Operación]])</f>
        <v>8</v>
      </c>
      <c r="P686" s="2">
        <f>YEAR(DitrbFlota[[#This Row],[Inicio Operación]])</f>
        <v>2023</v>
      </c>
      <c r="Q686" s="29">
        <v>90</v>
      </c>
    </row>
    <row r="687" spans="1:17" hidden="1">
      <c r="A687" s="7" t="s">
        <v>10</v>
      </c>
      <c r="B687" s="2" t="s">
        <v>328</v>
      </c>
      <c r="C687" s="2">
        <v>3082</v>
      </c>
      <c r="D687" s="2" t="s">
        <v>147</v>
      </c>
      <c r="E687" s="2" t="s">
        <v>13</v>
      </c>
      <c r="F687" s="2" t="s">
        <v>149</v>
      </c>
      <c r="G687" s="277" t="s">
        <v>267</v>
      </c>
      <c r="H687" s="277" t="s">
        <v>267</v>
      </c>
      <c r="I687" s="277">
        <v>45038</v>
      </c>
      <c r="J687" s="2" t="s">
        <v>1341</v>
      </c>
      <c r="K687" s="2" t="s">
        <v>838</v>
      </c>
      <c r="L687" s="2" t="s">
        <v>267</v>
      </c>
      <c r="M687" s="2"/>
      <c r="N687" s="2" t="str">
        <f>DitrbFlota[[#This Row],[TIPO BUS]]&amp;"-"&amp;DitrbFlota[[#This Row],[MARCA CHASIS]]</f>
        <v>BE-FOTON</v>
      </c>
      <c r="O687" s="2">
        <f>MONTH(DitrbFlota[[#This Row],[Inicio Operación]])</f>
        <v>4</v>
      </c>
      <c r="P687" s="2">
        <f>YEAR(DitrbFlota[[#This Row],[Inicio Operación]])</f>
        <v>2023</v>
      </c>
      <c r="Q687" s="29">
        <v>90</v>
      </c>
    </row>
    <row r="688" spans="1:17" hidden="1">
      <c r="A688" s="7" t="s">
        <v>10</v>
      </c>
      <c r="B688" s="2" t="s">
        <v>329</v>
      </c>
      <c r="C688" s="2">
        <v>3083</v>
      </c>
      <c r="D688" s="2" t="s">
        <v>147</v>
      </c>
      <c r="E688" s="2" t="s">
        <v>13</v>
      </c>
      <c r="F688" s="2" t="s">
        <v>149</v>
      </c>
      <c r="G688" s="277" t="s">
        <v>267</v>
      </c>
      <c r="H688" s="277" t="s">
        <v>267</v>
      </c>
      <c r="I688" s="277">
        <v>45038</v>
      </c>
      <c r="J688" s="2" t="s">
        <v>1341</v>
      </c>
      <c r="K688" s="2" t="s">
        <v>838</v>
      </c>
      <c r="L688" s="2" t="s">
        <v>267</v>
      </c>
      <c r="M688" s="2"/>
      <c r="N688" s="2" t="str">
        <f>DitrbFlota[[#This Row],[TIPO BUS]]&amp;"-"&amp;DitrbFlota[[#This Row],[MARCA CHASIS]]</f>
        <v>BE-FOTON</v>
      </c>
      <c r="O688" s="2">
        <f>MONTH(DitrbFlota[[#This Row],[Inicio Operación]])</f>
        <v>4</v>
      </c>
      <c r="P688" s="2">
        <f>YEAR(DitrbFlota[[#This Row],[Inicio Operación]])</f>
        <v>2023</v>
      </c>
      <c r="Q688" s="29">
        <v>90</v>
      </c>
    </row>
    <row r="689" spans="1:17" hidden="1">
      <c r="A689" s="7" t="s">
        <v>10</v>
      </c>
      <c r="B689" s="2" t="s">
        <v>330</v>
      </c>
      <c r="C689" s="2">
        <v>3084</v>
      </c>
      <c r="D689" s="2" t="s">
        <v>147</v>
      </c>
      <c r="E689" s="2" t="s">
        <v>13</v>
      </c>
      <c r="F689" s="2" t="s">
        <v>149</v>
      </c>
      <c r="G689" s="277" t="s">
        <v>267</v>
      </c>
      <c r="H689" s="277" t="s">
        <v>267</v>
      </c>
      <c r="I689" s="277">
        <v>45150</v>
      </c>
      <c r="J689" s="2" t="s">
        <v>1341</v>
      </c>
      <c r="K689" s="2" t="s">
        <v>838</v>
      </c>
      <c r="L689" s="2" t="s">
        <v>267</v>
      </c>
      <c r="M689" s="2"/>
      <c r="N689" s="2" t="str">
        <f>DitrbFlota[[#This Row],[TIPO BUS]]&amp;"-"&amp;DitrbFlota[[#This Row],[MARCA CHASIS]]</f>
        <v>BE-FOTON</v>
      </c>
      <c r="O689" s="2">
        <f>MONTH(DitrbFlota[[#This Row],[Inicio Operación]])</f>
        <v>8</v>
      </c>
      <c r="P689" s="2">
        <f>YEAR(DitrbFlota[[#This Row],[Inicio Operación]])</f>
        <v>2023</v>
      </c>
      <c r="Q689" s="29">
        <v>90</v>
      </c>
    </row>
    <row r="690" spans="1:17" hidden="1">
      <c r="A690" s="7" t="s">
        <v>10</v>
      </c>
      <c r="B690" s="2" t="s">
        <v>331</v>
      </c>
      <c r="C690" s="2">
        <v>3085</v>
      </c>
      <c r="D690" s="2" t="s">
        <v>147</v>
      </c>
      <c r="E690" s="2" t="s">
        <v>13</v>
      </c>
      <c r="F690" s="2" t="s">
        <v>149</v>
      </c>
      <c r="G690" s="277" t="s">
        <v>267</v>
      </c>
      <c r="H690" s="277" t="s">
        <v>267</v>
      </c>
      <c r="I690" s="277">
        <v>45038</v>
      </c>
      <c r="J690" s="2" t="s">
        <v>1341</v>
      </c>
      <c r="K690" s="2" t="s">
        <v>838</v>
      </c>
      <c r="L690" s="2" t="s">
        <v>267</v>
      </c>
      <c r="M690" s="2"/>
      <c r="N690" s="2" t="str">
        <f>DitrbFlota[[#This Row],[TIPO BUS]]&amp;"-"&amp;DitrbFlota[[#This Row],[MARCA CHASIS]]</f>
        <v>BE-FOTON</v>
      </c>
      <c r="O690" s="2">
        <f>MONTH(DitrbFlota[[#This Row],[Inicio Operación]])</f>
        <v>4</v>
      </c>
      <c r="P690" s="2">
        <f>YEAR(DitrbFlota[[#This Row],[Inicio Operación]])</f>
        <v>2023</v>
      </c>
      <c r="Q690" s="29">
        <v>90</v>
      </c>
    </row>
    <row r="691" spans="1:17" hidden="1">
      <c r="A691" s="7" t="s">
        <v>10</v>
      </c>
      <c r="B691" s="2" t="s">
        <v>332</v>
      </c>
      <c r="C691" s="2">
        <v>3086</v>
      </c>
      <c r="D691" s="2" t="s">
        <v>147</v>
      </c>
      <c r="E691" s="2" t="s">
        <v>13</v>
      </c>
      <c r="F691" s="2" t="s">
        <v>149</v>
      </c>
      <c r="G691" s="277" t="s">
        <v>267</v>
      </c>
      <c r="H691" s="277" t="s">
        <v>267</v>
      </c>
      <c r="I691" s="277">
        <v>45038</v>
      </c>
      <c r="J691" s="2" t="s">
        <v>1341</v>
      </c>
      <c r="K691" s="2" t="s">
        <v>838</v>
      </c>
      <c r="L691" s="2" t="s">
        <v>267</v>
      </c>
      <c r="M691" s="2"/>
      <c r="N691" s="2" t="str">
        <f>DitrbFlota[[#This Row],[TIPO BUS]]&amp;"-"&amp;DitrbFlota[[#This Row],[MARCA CHASIS]]</f>
        <v>BE-FOTON</v>
      </c>
      <c r="O691" s="2">
        <f>MONTH(DitrbFlota[[#This Row],[Inicio Operación]])</f>
        <v>4</v>
      </c>
      <c r="P691" s="2">
        <f>YEAR(DitrbFlota[[#This Row],[Inicio Operación]])</f>
        <v>2023</v>
      </c>
      <c r="Q691" s="29">
        <v>90</v>
      </c>
    </row>
    <row r="692" spans="1:17" hidden="1">
      <c r="A692" s="7" t="s">
        <v>10</v>
      </c>
      <c r="B692" s="2" t="s">
        <v>333</v>
      </c>
      <c r="C692" s="2">
        <v>3087</v>
      </c>
      <c r="D692" s="2" t="s">
        <v>147</v>
      </c>
      <c r="E692" s="2" t="s">
        <v>13</v>
      </c>
      <c r="F692" s="2" t="s">
        <v>149</v>
      </c>
      <c r="G692" s="277" t="s">
        <v>267</v>
      </c>
      <c r="H692" s="277" t="s">
        <v>267</v>
      </c>
      <c r="I692" s="277">
        <v>45150</v>
      </c>
      <c r="J692" s="2" t="s">
        <v>1341</v>
      </c>
      <c r="K692" s="2" t="s">
        <v>838</v>
      </c>
      <c r="L692" s="2" t="s">
        <v>267</v>
      </c>
      <c r="M692" s="2"/>
      <c r="N692" s="2" t="str">
        <f>DitrbFlota[[#This Row],[TIPO BUS]]&amp;"-"&amp;DitrbFlota[[#This Row],[MARCA CHASIS]]</f>
        <v>BE-FOTON</v>
      </c>
      <c r="O692" s="2">
        <f>MONTH(DitrbFlota[[#This Row],[Inicio Operación]])</f>
        <v>8</v>
      </c>
      <c r="P692" s="2">
        <f>YEAR(DitrbFlota[[#This Row],[Inicio Operación]])</f>
        <v>2023</v>
      </c>
      <c r="Q692" s="29">
        <v>90</v>
      </c>
    </row>
    <row r="693" spans="1:17" hidden="1">
      <c r="A693" s="7" t="s">
        <v>10</v>
      </c>
      <c r="B693" s="2" t="s">
        <v>334</v>
      </c>
      <c r="C693" s="2">
        <v>3088</v>
      </c>
      <c r="D693" s="2" t="s">
        <v>147</v>
      </c>
      <c r="E693" s="2" t="s">
        <v>13</v>
      </c>
      <c r="F693" s="2" t="s">
        <v>149</v>
      </c>
      <c r="G693" s="277" t="s">
        <v>267</v>
      </c>
      <c r="H693" s="277" t="s">
        <v>267</v>
      </c>
      <c r="I693" s="277">
        <v>45150</v>
      </c>
      <c r="J693" s="2" t="s">
        <v>1341</v>
      </c>
      <c r="K693" s="2" t="s">
        <v>838</v>
      </c>
      <c r="L693" s="2" t="s">
        <v>267</v>
      </c>
      <c r="M693" s="2"/>
      <c r="N693" s="2" t="str">
        <f>DitrbFlota[[#This Row],[TIPO BUS]]&amp;"-"&amp;DitrbFlota[[#This Row],[MARCA CHASIS]]</f>
        <v>BE-FOTON</v>
      </c>
      <c r="O693" s="2">
        <f>MONTH(DitrbFlota[[#This Row],[Inicio Operación]])</f>
        <v>8</v>
      </c>
      <c r="P693" s="2">
        <f>YEAR(DitrbFlota[[#This Row],[Inicio Operación]])</f>
        <v>2023</v>
      </c>
      <c r="Q693" s="29">
        <v>90</v>
      </c>
    </row>
    <row r="694" spans="1:17" hidden="1">
      <c r="A694" s="7" t="s">
        <v>10</v>
      </c>
      <c r="B694" s="2" t="s">
        <v>335</v>
      </c>
      <c r="C694" s="2">
        <v>3089</v>
      </c>
      <c r="D694" s="2" t="s">
        <v>147</v>
      </c>
      <c r="E694" s="2" t="s">
        <v>13</v>
      </c>
      <c r="F694" s="2" t="s">
        <v>149</v>
      </c>
      <c r="G694" s="277" t="s">
        <v>267</v>
      </c>
      <c r="H694" s="277" t="s">
        <v>267</v>
      </c>
      <c r="I694" s="277">
        <v>45150</v>
      </c>
      <c r="J694" s="2" t="s">
        <v>1341</v>
      </c>
      <c r="K694" s="2" t="s">
        <v>838</v>
      </c>
      <c r="L694" s="2" t="s">
        <v>267</v>
      </c>
      <c r="M694" s="2"/>
      <c r="N694" s="2" t="str">
        <f>DitrbFlota[[#This Row],[TIPO BUS]]&amp;"-"&amp;DitrbFlota[[#This Row],[MARCA CHASIS]]</f>
        <v>BE-FOTON</v>
      </c>
      <c r="O694" s="2">
        <f>MONTH(DitrbFlota[[#This Row],[Inicio Operación]])</f>
        <v>8</v>
      </c>
      <c r="P694" s="2">
        <f>YEAR(DitrbFlota[[#This Row],[Inicio Operación]])</f>
        <v>2023</v>
      </c>
      <c r="Q694" s="29">
        <v>90</v>
      </c>
    </row>
    <row r="695" spans="1:17" hidden="1">
      <c r="A695" s="7" t="s">
        <v>10</v>
      </c>
      <c r="B695" s="2" t="s">
        <v>336</v>
      </c>
      <c r="C695" s="2">
        <v>3090</v>
      </c>
      <c r="D695" s="2" t="s">
        <v>147</v>
      </c>
      <c r="E695" s="2" t="s">
        <v>13</v>
      </c>
      <c r="F695" s="2" t="s">
        <v>149</v>
      </c>
      <c r="G695" s="277" t="s">
        <v>267</v>
      </c>
      <c r="H695" s="277" t="s">
        <v>267</v>
      </c>
      <c r="I695" s="277">
        <v>45150</v>
      </c>
      <c r="J695" s="2" t="s">
        <v>1341</v>
      </c>
      <c r="K695" s="2" t="s">
        <v>838</v>
      </c>
      <c r="L695" s="2" t="s">
        <v>267</v>
      </c>
      <c r="M695" s="2"/>
      <c r="N695" s="2" t="str">
        <f>DitrbFlota[[#This Row],[TIPO BUS]]&amp;"-"&amp;DitrbFlota[[#This Row],[MARCA CHASIS]]</f>
        <v>BE-FOTON</v>
      </c>
      <c r="O695" s="2">
        <f>MONTH(DitrbFlota[[#This Row],[Inicio Operación]])</f>
        <v>8</v>
      </c>
      <c r="P695" s="2">
        <f>YEAR(DitrbFlota[[#This Row],[Inicio Operación]])</f>
        <v>2023</v>
      </c>
      <c r="Q695" s="29">
        <v>90</v>
      </c>
    </row>
    <row r="696" spans="1:17" hidden="1">
      <c r="A696" s="7" t="s">
        <v>10</v>
      </c>
      <c r="B696" s="2" t="s">
        <v>337</v>
      </c>
      <c r="C696" s="2">
        <v>3091</v>
      </c>
      <c r="D696" s="2" t="s">
        <v>147</v>
      </c>
      <c r="E696" s="2" t="s">
        <v>13</v>
      </c>
      <c r="F696" s="2" t="s">
        <v>149</v>
      </c>
      <c r="G696" s="277" t="s">
        <v>267</v>
      </c>
      <c r="H696" s="277" t="s">
        <v>267</v>
      </c>
      <c r="I696" s="277">
        <v>45150</v>
      </c>
      <c r="J696" s="2" t="s">
        <v>1341</v>
      </c>
      <c r="K696" s="2" t="s">
        <v>838</v>
      </c>
      <c r="L696" s="2" t="s">
        <v>267</v>
      </c>
      <c r="M696" s="2"/>
      <c r="N696" s="2" t="str">
        <f>DitrbFlota[[#This Row],[TIPO BUS]]&amp;"-"&amp;DitrbFlota[[#This Row],[MARCA CHASIS]]</f>
        <v>BE-FOTON</v>
      </c>
      <c r="O696" s="2">
        <f>MONTH(DitrbFlota[[#This Row],[Inicio Operación]])</f>
        <v>8</v>
      </c>
      <c r="P696" s="2">
        <f>YEAR(DitrbFlota[[#This Row],[Inicio Operación]])</f>
        <v>2023</v>
      </c>
      <c r="Q696" s="29">
        <v>90</v>
      </c>
    </row>
    <row r="697" spans="1:17" hidden="1">
      <c r="A697" s="7" t="s">
        <v>10</v>
      </c>
      <c r="B697" s="2" t="s">
        <v>338</v>
      </c>
      <c r="C697" s="2">
        <v>3092</v>
      </c>
      <c r="D697" s="2" t="s">
        <v>147</v>
      </c>
      <c r="E697" s="2" t="s">
        <v>13</v>
      </c>
      <c r="F697" s="2" t="s">
        <v>149</v>
      </c>
      <c r="G697" s="277" t="s">
        <v>267</v>
      </c>
      <c r="H697" s="277" t="s">
        <v>267</v>
      </c>
      <c r="I697" s="277">
        <v>45150</v>
      </c>
      <c r="J697" s="2" t="s">
        <v>1341</v>
      </c>
      <c r="K697" s="2" t="s">
        <v>838</v>
      </c>
      <c r="L697" s="2" t="s">
        <v>267</v>
      </c>
      <c r="M697" s="2"/>
      <c r="N697" s="2" t="str">
        <f>DitrbFlota[[#This Row],[TIPO BUS]]&amp;"-"&amp;DitrbFlota[[#This Row],[MARCA CHASIS]]</f>
        <v>BE-FOTON</v>
      </c>
      <c r="O697" s="2">
        <f>MONTH(DitrbFlota[[#This Row],[Inicio Operación]])</f>
        <v>8</v>
      </c>
      <c r="P697" s="2">
        <f>YEAR(DitrbFlota[[#This Row],[Inicio Operación]])</f>
        <v>2023</v>
      </c>
      <c r="Q697" s="29">
        <v>90</v>
      </c>
    </row>
    <row r="698" spans="1:17" hidden="1">
      <c r="A698" s="7" t="s">
        <v>10</v>
      </c>
      <c r="B698" s="2" t="s">
        <v>339</v>
      </c>
      <c r="C698" s="2">
        <v>3093</v>
      </c>
      <c r="D698" s="2" t="s">
        <v>147</v>
      </c>
      <c r="E698" s="2" t="s">
        <v>13</v>
      </c>
      <c r="F698" s="2" t="s">
        <v>149</v>
      </c>
      <c r="G698" s="277" t="s">
        <v>267</v>
      </c>
      <c r="H698" s="277" t="s">
        <v>267</v>
      </c>
      <c r="I698" s="277">
        <v>45150</v>
      </c>
      <c r="J698" s="2" t="s">
        <v>1341</v>
      </c>
      <c r="K698" s="2" t="s">
        <v>838</v>
      </c>
      <c r="L698" s="2" t="s">
        <v>267</v>
      </c>
      <c r="M698" s="2"/>
      <c r="N698" s="2" t="str">
        <f>DitrbFlota[[#This Row],[TIPO BUS]]&amp;"-"&amp;DitrbFlota[[#This Row],[MARCA CHASIS]]</f>
        <v>BE-FOTON</v>
      </c>
      <c r="O698" s="2">
        <f>MONTH(DitrbFlota[[#This Row],[Inicio Operación]])</f>
        <v>8</v>
      </c>
      <c r="P698" s="2">
        <f>YEAR(DitrbFlota[[#This Row],[Inicio Operación]])</f>
        <v>2023</v>
      </c>
      <c r="Q698" s="29">
        <v>90</v>
      </c>
    </row>
    <row r="699" spans="1:17" hidden="1">
      <c r="A699" s="7" t="s">
        <v>10</v>
      </c>
      <c r="B699" s="2" t="s">
        <v>340</v>
      </c>
      <c r="C699" s="2">
        <v>3094</v>
      </c>
      <c r="D699" s="2" t="s">
        <v>147</v>
      </c>
      <c r="E699" s="2" t="s">
        <v>13</v>
      </c>
      <c r="F699" s="2" t="s">
        <v>149</v>
      </c>
      <c r="G699" s="277" t="s">
        <v>267</v>
      </c>
      <c r="H699" s="277" t="s">
        <v>267</v>
      </c>
      <c r="I699" s="277">
        <v>45150</v>
      </c>
      <c r="J699" s="2" t="s">
        <v>1341</v>
      </c>
      <c r="K699" s="2" t="s">
        <v>838</v>
      </c>
      <c r="L699" s="2" t="s">
        <v>267</v>
      </c>
      <c r="M699" s="2"/>
      <c r="N699" s="2" t="str">
        <f>DitrbFlota[[#This Row],[TIPO BUS]]&amp;"-"&amp;DitrbFlota[[#This Row],[MARCA CHASIS]]</f>
        <v>BE-FOTON</v>
      </c>
      <c r="O699" s="2">
        <f>MONTH(DitrbFlota[[#This Row],[Inicio Operación]])</f>
        <v>8</v>
      </c>
      <c r="P699" s="2">
        <f>YEAR(DitrbFlota[[#This Row],[Inicio Operación]])</f>
        <v>2023</v>
      </c>
      <c r="Q699" s="29">
        <v>90</v>
      </c>
    </row>
    <row r="700" spans="1:17" hidden="1">
      <c r="A700" s="7" t="s">
        <v>10</v>
      </c>
      <c r="B700" s="2" t="s">
        <v>341</v>
      </c>
      <c r="C700" s="2">
        <v>3095</v>
      </c>
      <c r="D700" s="2" t="s">
        <v>147</v>
      </c>
      <c r="E700" s="2" t="s">
        <v>13</v>
      </c>
      <c r="F700" s="2" t="s">
        <v>149</v>
      </c>
      <c r="G700" s="277" t="s">
        <v>267</v>
      </c>
      <c r="H700" s="277" t="s">
        <v>267</v>
      </c>
      <c r="I700" s="277">
        <v>45150</v>
      </c>
      <c r="J700" s="2" t="s">
        <v>1341</v>
      </c>
      <c r="K700" s="2" t="s">
        <v>838</v>
      </c>
      <c r="L700" s="2" t="s">
        <v>267</v>
      </c>
      <c r="M700" s="2"/>
      <c r="N700" s="2" t="str">
        <f>DitrbFlota[[#This Row],[TIPO BUS]]&amp;"-"&amp;DitrbFlota[[#This Row],[MARCA CHASIS]]</f>
        <v>BE-FOTON</v>
      </c>
      <c r="O700" s="2">
        <f>MONTH(DitrbFlota[[#This Row],[Inicio Operación]])</f>
        <v>8</v>
      </c>
      <c r="P700" s="2">
        <f>YEAR(DitrbFlota[[#This Row],[Inicio Operación]])</f>
        <v>2023</v>
      </c>
      <c r="Q700" s="29">
        <v>90</v>
      </c>
    </row>
    <row r="701" spans="1:17" hidden="1">
      <c r="A701" s="7" t="s">
        <v>10</v>
      </c>
      <c r="B701" s="2" t="s">
        <v>342</v>
      </c>
      <c r="C701" s="2">
        <v>3096</v>
      </c>
      <c r="D701" s="2" t="s">
        <v>147</v>
      </c>
      <c r="E701" s="2" t="s">
        <v>13</v>
      </c>
      <c r="F701" s="2" t="s">
        <v>149</v>
      </c>
      <c r="G701" s="277" t="s">
        <v>267</v>
      </c>
      <c r="H701" s="277" t="s">
        <v>267</v>
      </c>
      <c r="I701" s="277">
        <v>45150</v>
      </c>
      <c r="J701" s="2" t="s">
        <v>1341</v>
      </c>
      <c r="K701" s="2" t="s">
        <v>838</v>
      </c>
      <c r="L701" s="2" t="s">
        <v>267</v>
      </c>
      <c r="M701" s="2"/>
      <c r="N701" s="2" t="str">
        <f>DitrbFlota[[#This Row],[TIPO BUS]]&amp;"-"&amp;DitrbFlota[[#This Row],[MARCA CHASIS]]</f>
        <v>BE-FOTON</v>
      </c>
      <c r="O701" s="2">
        <f>MONTH(DitrbFlota[[#This Row],[Inicio Operación]])</f>
        <v>8</v>
      </c>
      <c r="P701" s="2">
        <f>YEAR(DitrbFlota[[#This Row],[Inicio Operación]])</f>
        <v>2023</v>
      </c>
      <c r="Q701" s="29">
        <v>90</v>
      </c>
    </row>
    <row r="702" spans="1:17" hidden="1">
      <c r="A702" s="7" t="s">
        <v>10</v>
      </c>
      <c r="B702" s="2" t="s">
        <v>343</v>
      </c>
      <c r="C702" s="2">
        <v>3097</v>
      </c>
      <c r="D702" s="2" t="s">
        <v>147</v>
      </c>
      <c r="E702" s="2" t="s">
        <v>13</v>
      </c>
      <c r="F702" s="2" t="s">
        <v>149</v>
      </c>
      <c r="G702" s="277" t="s">
        <v>267</v>
      </c>
      <c r="H702" s="277" t="s">
        <v>267</v>
      </c>
      <c r="I702" s="277">
        <v>45038</v>
      </c>
      <c r="J702" s="2" t="s">
        <v>1341</v>
      </c>
      <c r="K702" s="2" t="s">
        <v>838</v>
      </c>
      <c r="L702" s="2" t="s">
        <v>267</v>
      </c>
      <c r="M702" s="2"/>
      <c r="N702" s="2" t="str">
        <f>DitrbFlota[[#This Row],[TIPO BUS]]&amp;"-"&amp;DitrbFlota[[#This Row],[MARCA CHASIS]]</f>
        <v>BE-FOTON</v>
      </c>
      <c r="O702" s="2">
        <f>MONTH(DitrbFlota[[#This Row],[Inicio Operación]])</f>
        <v>4</v>
      </c>
      <c r="P702" s="2">
        <f>YEAR(DitrbFlota[[#This Row],[Inicio Operación]])</f>
        <v>2023</v>
      </c>
      <c r="Q702" s="29">
        <v>90</v>
      </c>
    </row>
    <row r="703" spans="1:17" hidden="1">
      <c r="A703" s="7" t="s">
        <v>10</v>
      </c>
      <c r="B703" s="2" t="s">
        <v>344</v>
      </c>
      <c r="C703" s="2">
        <v>3098</v>
      </c>
      <c r="D703" s="2" t="s">
        <v>147</v>
      </c>
      <c r="E703" s="2" t="s">
        <v>13</v>
      </c>
      <c r="F703" s="2" t="s">
        <v>149</v>
      </c>
      <c r="G703" s="277" t="s">
        <v>267</v>
      </c>
      <c r="H703" s="277" t="s">
        <v>267</v>
      </c>
      <c r="I703" s="277">
        <v>45150</v>
      </c>
      <c r="J703" s="2" t="s">
        <v>1341</v>
      </c>
      <c r="K703" s="2" t="s">
        <v>838</v>
      </c>
      <c r="L703" s="2" t="s">
        <v>267</v>
      </c>
      <c r="M703" s="2"/>
      <c r="N703" s="2" t="str">
        <f>DitrbFlota[[#This Row],[TIPO BUS]]&amp;"-"&amp;DitrbFlota[[#This Row],[MARCA CHASIS]]</f>
        <v>BE-FOTON</v>
      </c>
      <c r="O703" s="2">
        <f>MONTH(DitrbFlota[[#This Row],[Inicio Operación]])</f>
        <v>8</v>
      </c>
      <c r="P703" s="2">
        <f>YEAR(DitrbFlota[[#This Row],[Inicio Operación]])</f>
        <v>2023</v>
      </c>
      <c r="Q703" s="29">
        <v>90</v>
      </c>
    </row>
    <row r="704" spans="1:17" hidden="1">
      <c r="A704" s="7" t="s">
        <v>10</v>
      </c>
      <c r="B704" s="2" t="s">
        <v>345</v>
      </c>
      <c r="C704" s="2">
        <v>3099</v>
      </c>
      <c r="D704" s="2" t="s">
        <v>147</v>
      </c>
      <c r="E704" s="2" t="s">
        <v>13</v>
      </c>
      <c r="F704" s="2" t="s">
        <v>149</v>
      </c>
      <c r="G704" s="277" t="s">
        <v>267</v>
      </c>
      <c r="H704" s="277" t="s">
        <v>267</v>
      </c>
      <c r="I704" s="277">
        <v>45150</v>
      </c>
      <c r="J704" s="2" t="s">
        <v>1341</v>
      </c>
      <c r="K704" s="2" t="s">
        <v>838</v>
      </c>
      <c r="L704" s="2" t="s">
        <v>267</v>
      </c>
      <c r="M704" s="2"/>
      <c r="N704" s="2" t="str">
        <f>DitrbFlota[[#This Row],[TIPO BUS]]&amp;"-"&amp;DitrbFlota[[#This Row],[MARCA CHASIS]]</f>
        <v>BE-FOTON</v>
      </c>
      <c r="O704" s="2">
        <f>MONTH(DitrbFlota[[#This Row],[Inicio Operación]])</f>
        <v>8</v>
      </c>
      <c r="P704" s="2">
        <f>YEAR(DitrbFlota[[#This Row],[Inicio Operación]])</f>
        <v>2023</v>
      </c>
      <c r="Q704" s="29">
        <v>90</v>
      </c>
    </row>
    <row r="705" spans="1:17" hidden="1">
      <c r="A705" s="7" t="s">
        <v>10</v>
      </c>
      <c r="B705" s="2" t="s">
        <v>346</v>
      </c>
      <c r="C705" s="2">
        <v>3100</v>
      </c>
      <c r="D705" s="2" t="s">
        <v>147</v>
      </c>
      <c r="E705" s="2" t="s">
        <v>13</v>
      </c>
      <c r="F705" s="2" t="s">
        <v>149</v>
      </c>
      <c r="G705" s="277" t="s">
        <v>267</v>
      </c>
      <c r="H705" s="277" t="s">
        <v>267</v>
      </c>
      <c r="I705" s="277">
        <v>45150</v>
      </c>
      <c r="J705" s="2" t="s">
        <v>1341</v>
      </c>
      <c r="K705" s="2" t="s">
        <v>838</v>
      </c>
      <c r="L705" s="2" t="s">
        <v>267</v>
      </c>
      <c r="M705" s="2"/>
      <c r="N705" s="2" t="str">
        <f>DitrbFlota[[#This Row],[TIPO BUS]]&amp;"-"&amp;DitrbFlota[[#This Row],[MARCA CHASIS]]</f>
        <v>BE-FOTON</v>
      </c>
      <c r="O705" s="2">
        <f>MONTH(DitrbFlota[[#This Row],[Inicio Operación]])</f>
        <v>8</v>
      </c>
      <c r="P705" s="2">
        <f>YEAR(DitrbFlota[[#This Row],[Inicio Operación]])</f>
        <v>2023</v>
      </c>
      <c r="Q705" s="29">
        <v>90</v>
      </c>
    </row>
    <row r="706" spans="1:17" hidden="1">
      <c r="A706" s="7" t="s">
        <v>10</v>
      </c>
      <c r="B706" s="2" t="s">
        <v>347</v>
      </c>
      <c r="C706" s="2">
        <v>3101</v>
      </c>
      <c r="D706" s="2" t="s">
        <v>147</v>
      </c>
      <c r="E706" s="2" t="s">
        <v>13</v>
      </c>
      <c r="F706" s="2" t="s">
        <v>149</v>
      </c>
      <c r="G706" s="277" t="s">
        <v>267</v>
      </c>
      <c r="H706" s="277" t="s">
        <v>267</v>
      </c>
      <c r="I706" s="277">
        <v>45150</v>
      </c>
      <c r="J706" s="2" t="s">
        <v>1341</v>
      </c>
      <c r="K706" s="2" t="s">
        <v>838</v>
      </c>
      <c r="L706" s="2" t="s">
        <v>267</v>
      </c>
      <c r="M706" s="2"/>
      <c r="N706" s="2" t="str">
        <f>DitrbFlota[[#This Row],[TIPO BUS]]&amp;"-"&amp;DitrbFlota[[#This Row],[MARCA CHASIS]]</f>
        <v>BE-FOTON</v>
      </c>
      <c r="O706" s="2">
        <f>MONTH(DitrbFlota[[#This Row],[Inicio Operación]])</f>
        <v>8</v>
      </c>
      <c r="P706" s="2">
        <f>YEAR(DitrbFlota[[#This Row],[Inicio Operación]])</f>
        <v>2023</v>
      </c>
      <c r="Q706" s="29">
        <v>90</v>
      </c>
    </row>
    <row r="707" spans="1:17" hidden="1">
      <c r="A707" s="7" t="s">
        <v>10</v>
      </c>
      <c r="B707" s="2" t="s">
        <v>348</v>
      </c>
      <c r="C707" s="2">
        <v>3102</v>
      </c>
      <c r="D707" s="2" t="s">
        <v>147</v>
      </c>
      <c r="E707" s="2" t="s">
        <v>13</v>
      </c>
      <c r="F707" s="2" t="s">
        <v>149</v>
      </c>
      <c r="G707" s="277" t="s">
        <v>267</v>
      </c>
      <c r="H707" s="277" t="s">
        <v>267</v>
      </c>
      <c r="I707" s="277">
        <v>45150</v>
      </c>
      <c r="J707" s="2" t="s">
        <v>1341</v>
      </c>
      <c r="K707" s="2" t="s">
        <v>838</v>
      </c>
      <c r="L707" s="2" t="s">
        <v>267</v>
      </c>
      <c r="M707" s="2"/>
      <c r="N707" s="2" t="str">
        <f>DitrbFlota[[#This Row],[TIPO BUS]]&amp;"-"&amp;DitrbFlota[[#This Row],[MARCA CHASIS]]</f>
        <v>BE-FOTON</v>
      </c>
      <c r="O707" s="2">
        <f>MONTH(DitrbFlota[[#This Row],[Inicio Operación]])</f>
        <v>8</v>
      </c>
      <c r="P707" s="2">
        <f>YEAR(DitrbFlota[[#This Row],[Inicio Operación]])</f>
        <v>2023</v>
      </c>
      <c r="Q707" s="29">
        <v>90</v>
      </c>
    </row>
    <row r="708" spans="1:17" hidden="1">
      <c r="A708" s="7" t="s">
        <v>10</v>
      </c>
      <c r="B708" s="2" t="s">
        <v>349</v>
      </c>
      <c r="C708" s="2">
        <v>3103</v>
      </c>
      <c r="D708" s="2" t="s">
        <v>147</v>
      </c>
      <c r="E708" s="2" t="s">
        <v>13</v>
      </c>
      <c r="F708" s="2" t="s">
        <v>149</v>
      </c>
      <c r="G708" s="277" t="s">
        <v>267</v>
      </c>
      <c r="H708" s="277" t="s">
        <v>267</v>
      </c>
      <c r="I708" s="277">
        <v>45038</v>
      </c>
      <c r="J708" s="2" t="s">
        <v>1341</v>
      </c>
      <c r="K708" s="2" t="s">
        <v>838</v>
      </c>
      <c r="L708" s="2" t="s">
        <v>267</v>
      </c>
      <c r="M708" s="2"/>
      <c r="N708" s="2" t="str">
        <f>DitrbFlota[[#This Row],[TIPO BUS]]&amp;"-"&amp;DitrbFlota[[#This Row],[MARCA CHASIS]]</f>
        <v>BE-FOTON</v>
      </c>
      <c r="O708" s="2">
        <f>MONTH(DitrbFlota[[#This Row],[Inicio Operación]])</f>
        <v>4</v>
      </c>
      <c r="P708" s="2">
        <f>YEAR(DitrbFlota[[#This Row],[Inicio Operación]])</f>
        <v>2023</v>
      </c>
      <c r="Q708" s="29">
        <v>90</v>
      </c>
    </row>
    <row r="709" spans="1:17" hidden="1">
      <c r="A709" s="7" t="s">
        <v>10</v>
      </c>
      <c r="B709" s="2" t="s">
        <v>350</v>
      </c>
      <c r="C709" s="2">
        <v>3104</v>
      </c>
      <c r="D709" s="2" t="s">
        <v>147</v>
      </c>
      <c r="E709" s="2" t="s">
        <v>13</v>
      </c>
      <c r="F709" s="2" t="s">
        <v>149</v>
      </c>
      <c r="G709" s="277" t="s">
        <v>267</v>
      </c>
      <c r="H709" s="277" t="s">
        <v>267</v>
      </c>
      <c r="I709" s="277">
        <v>45038</v>
      </c>
      <c r="J709" s="2" t="s">
        <v>1341</v>
      </c>
      <c r="K709" s="2" t="s">
        <v>838</v>
      </c>
      <c r="L709" s="2" t="s">
        <v>267</v>
      </c>
      <c r="M709" s="2"/>
      <c r="N709" s="2" t="str">
        <f>DitrbFlota[[#This Row],[TIPO BUS]]&amp;"-"&amp;DitrbFlota[[#This Row],[MARCA CHASIS]]</f>
        <v>BE-FOTON</v>
      </c>
      <c r="O709" s="2">
        <f>MONTH(DitrbFlota[[#This Row],[Inicio Operación]])</f>
        <v>4</v>
      </c>
      <c r="P709" s="2">
        <f>YEAR(DitrbFlota[[#This Row],[Inicio Operación]])</f>
        <v>2023</v>
      </c>
      <c r="Q709" s="29">
        <v>90</v>
      </c>
    </row>
    <row r="710" spans="1:17" hidden="1">
      <c r="A710" s="7" t="s">
        <v>10</v>
      </c>
      <c r="B710" s="2" t="s">
        <v>351</v>
      </c>
      <c r="C710" s="2">
        <v>3105</v>
      </c>
      <c r="D710" s="2" t="s">
        <v>147</v>
      </c>
      <c r="E710" s="2" t="s">
        <v>13</v>
      </c>
      <c r="F710" s="2" t="s">
        <v>149</v>
      </c>
      <c r="G710" s="277" t="s">
        <v>267</v>
      </c>
      <c r="H710" s="277" t="s">
        <v>267</v>
      </c>
      <c r="I710" s="277">
        <v>45150</v>
      </c>
      <c r="J710" s="2" t="s">
        <v>1341</v>
      </c>
      <c r="K710" s="2" t="s">
        <v>838</v>
      </c>
      <c r="L710" s="2" t="s">
        <v>267</v>
      </c>
      <c r="M710" s="2"/>
      <c r="N710" s="2" t="str">
        <f>DitrbFlota[[#This Row],[TIPO BUS]]&amp;"-"&amp;DitrbFlota[[#This Row],[MARCA CHASIS]]</f>
        <v>BE-FOTON</v>
      </c>
      <c r="O710" s="2">
        <f>MONTH(DitrbFlota[[#This Row],[Inicio Operación]])</f>
        <v>8</v>
      </c>
      <c r="P710" s="2">
        <f>YEAR(DitrbFlota[[#This Row],[Inicio Operación]])</f>
        <v>2023</v>
      </c>
      <c r="Q710" s="29">
        <v>90</v>
      </c>
    </row>
    <row r="711" spans="1:17" hidden="1">
      <c r="A711" s="7" t="s">
        <v>10</v>
      </c>
      <c r="B711" s="2" t="s">
        <v>352</v>
      </c>
      <c r="C711" s="2">
        <v>3106</v>
      </c>
      <c r="D711" s="2" t="s">
        <v>147</v>
      </c>
      <c r="E711" s="2" t="s">
        <v>13</v>
      </c>
      <c r="F711" s="2" t="s">
        <v>149</v>
      </c>
      <c r="G711" s="277" t="s">
        <v>267</v>
      </c>
      <c r="H711" s="277" t="s">
        <v>267</v>
      </c>
      <c r="I711" s="277">
        <v>45150</v>
      </c>
      <c r="J711" s="2" t="s">
        <v>1341</v>
      </c>
      <c r="K711" s="2" t="s">
        <v>838</v>
      </c>
      <c r="L711" s="2" t="s">
        <v>267</v>
      </c>
      <c r="M711" s="2"/>
      <c r="N711" s="2" t="str">
        <f>DitrbFlota[[#This Row],[TIPO BUS]]&amp;"-"&amp;DitrbFlota[[#This Row],[MARCA CHASIS]]</f>
        <v>BE-FOTON</v>
      </c>
      <c r="O711" s="2">
        <f>MONTH(DitrbFlota[[#This Row],[Inicio Operación]])</f>
        <v>8</v>
      </c>
      <c r="P711" s="2">
        <f>YEAR(DitrbFlota[[#This Row],[Inicio Operación]])</f>
        <v>2023</v>
      </c>
      <c r="Q711" s="29">
        <v>90</v>
      </c>
    </row>
    <row r="712" spans="1:17" hidden="1">
      <c r="A712" s="7" t="s">
        <v>10</v>
      </c>
      <c r="B712" s="2" t="s">
        <v>353</v>
      </c>
      <c r="C712" s="2">
        <v>3107</v>
      </c>
      <c r="D712" s="2" t="s">
        <v>147</v>
      </c>
      <c r="E712" s="2" t="s">
        <v>13</v>
      </c>
      <c r="F712" s="2" t="s">
        <v>149</v>
      </c>
      <c r="G712" s="277" t="s">
        <v>267</v>
      </c>
      <c r="H712" s="277" t="s">
        <v>267</v>
      </c>
      <c r="I712" s="277">
        <v>45150</v>
      </c>
      <c r="J712" s="2" t="s">
        <v>1341</v>
      </c>
      <c r="K712" s="2" t="s">
        <v>838</v>
      </c>
      <c r="L712" s="2" t="s">
        <v>267</v>
      </c>
      <c r="M712" s="2"/>
      <c r="N712" s="2" t="str">
        <f>DitrbFlota[[#This Row],[TIPO BUS]]&amp;"-"&amp;DitrbFlota[[#This Row],[MARCA CHASIS]]</f>
        <v>BE-FOTON</v>
      </c>
      <c r="O712" s="2">
        <f>MONTH(DitrbFlota[[#This Row],[Inicio Operación]])</f>
        <v>8</v>
      </c>
      <c r="P712" s="2">
        <f>YEAR(DitrbFlota[[#This Row],[Inicio Operación]])</f>
        <v>2023</v>
      </c>
      <c r="Q712" s="29">
        <v>90</v>
      </c>
    </row>
    <row r="713" spans="1:17" hidden="1">
      <c r="A713" s="7" t="s">
        <v>10</v>
      </c>
      <c r="B713" s="2" t="s">
        <v>354</v>
      </c>
      <c r="C713" s="2">
        <v>3108</v>
      </c>
      <c r="D713" s="2" t="s">
        <v>147</v>
      </c>
      <c r="E713" s="2" t="s">
        <v>13</v>
      </c>
      <c r="F713" s="2" t="s">
        <v>149</v>
      </c>
      <c r="G713" s="277" t="s">
        <v>267</v>
      </c>
      <c r="H713" s="277" t="s">
        <v>267</v>
      </c>
      <c r="I713" s="277">
        <v>45150</v>
      </c>
      <c r="J713" s="2" t="s">
        <v>1341</v>
      </c>
      <c r="K713" s="2" t="s">
        <v>838</v>
      </c>
      <c r="L713" s="2" t="s">
        <v>267</v>
      </c>
      <c r="M713" s="2"/>
      <c r="N713" s="2" t="str">
        <f>DitrbFlota[[#This Row],[TIPO BUS]]&amp;"-"&amp;DitrbFlota[[#This Row],[MARCA CHASIS]]</f>
        <v>BE-FOTON</v>
      </c>
      <c r="O713" s="2">
        <f>MONTH(DitrbFlota[[#This Row],[Inicio Operación]])</f>
        <v>8</v>
      </c>
      <c r="P713" s="2">
        <f>YEAR(DitrbFlota[[#This Row],[Inicio Operación]])</f>
        <v>2023</v>
      </c>
      <c r="Q713" s="29">
        <v>90</v>
      </c>
    </row>
    <row r="714" spans="1:17" hidden="1">
      <c r="A714" s="7" t="s">
        <v>10</v>
      </c>
      <c r="B714" s="2" t="s">
        <v>355</v>
      </c>
      <c r="C714" s="2">
        <v>3109</v>
      </c>
      <c r="D714" s="2" t="s">
        <v>147</v>
      </c>
      <c r="E714" s="2" t="s">
        <v>13</v>
      </c>
      <c r="F714" s="2" t="s">
        <v>149</v>
      </c>
      <c r="G714" s="277" t="s">
        <v>267</v>
      </c>
      <c r="H714" s="277" t="s">
        <v>267</v>
      </c>
      <c r="I714" s="277">
        <v>45150</v>
      </c>
      <c r="J714" s="2" t="s">
        <v>1341</v>
      </c>
      <c r="K714" s="2" t="s">
        <v>838</v>
      </c>
      <c r="L714" s="2" t="s">
        <v>267</v>
      </c>
      <c r="M714" s="2"/>
      <c r="N714" s="2" t="str">
        <f>DitrbFlota[[#This Row],[TIPO BUS]]&amp;"-"&amp;DitrbFlota[[#This Row],[MARCA CHASIS]]</f>
        <v>BE-FOTON</v>
      </c>
      <c r="O714" s="2">
        <f>MONTH(DitrbFlota[[#This Row],[Inicio Operación]])</f>
        <v>8</v>
      </c>
      <c r="P714" s="2">
        <f>YEAR(DitrbFlota[[#This Row],[Inicio Operación]])</f>
        <v>2023</v>
      </c>
      <c r="Q714" s="29">
        <v>90</v>
      </c>
    </row>
    <row r="715" spans="1:17" hidden="1">
      <c r="A715" s="7" t="s">
        <v>10</v>
      </c>
      <c r="B715" s="2" t="s">
        <v>356</v>
      </c>
      <c r="C715" s="2">
        <v>3110</v>
      </c>
      <c r="D715" s="2" t="s">
        <v>147</v>
      </c>
      <c r="E715" s="2" t="s">
        <v>13</v>
      </c>
      <c r="F715" s="2" t="s">
        <v>149</v>
      </c>
      <c r="G715" s="277" t="s">
        <v>267</v>
      </c>
      <c r="H715" s="277" t="s">
        <v>267</v>
      </c>
      <c r="I715" s="277">
        <v>45038</v>
      </c>
      <c r="J715" s="2" t="s">
        <v>1341</v>
      </c>
      <c r="K715" s="2" t="s">
        <v>838</v>
      </c>
      <c r="L715" s="2" t="s">
        <v>267</v>
      </c>
      <c r="M715" s="2"/>
      <c r="N715" s="2" t="str">
        <f>DitrbFlota[[#This Row],[TIPO BUS]]&amp;"-"&amp;DitrbFlota[[#This Row],[MARCA CHASIS]]</f>
        <v>BE-FOTON</v>
      </c>
      <c r="O715" s="2">
        <f>MONTH(DitrbFlota[[#This Row],[Inicio Operación]])</f>
        <v>4</v>
      </c>
      <c r="P715" s="2">
        <f>YEAR(DitrbFlota[[#This Row],[Inicio Operación]])</f>
        <v>2023</v>
      </c>
      <c r="Q715" s="29">
        <v>90</v>
      </c>
    </row>
    <row r="716" spans="1:17" hidden="1">
      <c r="A716" s="7" t="s">
        <v>10</v>
      </c>
      <c r="B716" s="2" t="s">
        <v>357</v>
      </c>
      <c r="C716" s="2">
        <v>3111</v>
      </c>
      <c r="D716" s="2" t="s">
        <v>147</v>
      </c>
      <c r="E716" s="2" t="s">
        <v>13</v>
      </c>
      <c r="F716" s="2" t="s">
        <v>149</v>
      </c>
      <c r="G716" s="277" t="s">
        <v>267</v>
      </c>
      <c r="H716" s="277" t="s">
        <v>267</v>
      </c>
      <c r="I716" s="277">
        <v>45150</v>
      </c>
      <c r="J716" s="2" t="s">
        <v>1341</v>
      </c>
      <c r="K716" s="2" t="s">
        <v>838</v>
      </c>
      <c r="L716" s="2" t="s">
        <v>267</v>
      </c>
      <c r="M716" s="2"/>
      <c r="N716" s="2" t="str">
        <f>DitrbFlota[[#This Row],[TIPO BUS]]&amp;"-"&amp;DitrbFlota[[#This Row],[MARCA CHASIS]]</f>
        <v>BE-FOTON</v>
      </c>
      <c r="O716" s="2">
        <f>MONTH(DitrbFlota[[#This Row],[Inicio Operación]])</f>
        <v>8</v>
      </c>
      <c r="P716" s="2">
        <f>YEAR(DitrbFlota[[#This Row],[Inicio Operación]])</f>
        <v>2023</v>
      </c>
      <c r="Q716" s="29">
        <v>90</v>
      </c>
    </row>
    <row r="717" spans="1:17" hidden="1">
      <c r="A717" s="7" t="s">
        <v>10</v>
      </c>
      <c r="B717" s="2" t="s">
        <v>358</v>
      </c>
      <c r="C717" s="2">
        <v>3112</v>
      </c>
      <c r="D717" s="2" t="s">
        <v>147</v>
      </c>
      <c r="E717" s="2" t="s">
        <v>13</v>
      </c>
      <c r="F717" s="2" t="s">
        <v>149</v>
      </c>
      <c r="G717" s="277" t="s">
        <v>267</v>
      </c>
      <c r="H717" s="277" t="s">
        <v>267</v>
      </c>
      <c r="I717" s="277">
        <v>45150</v>
      </c>
      <c r="J717" s="2" t="s">
        <v>1341</v>
      </c>
      <c r="K717" s="2" t="s">
        <v>838</v>
      </c>
      <c r="L717" s="2" t="s">
        <v>267</v>
      </c>
      <c r="M717" s="2"/>
      <c r="N717" s="2" t="str">
        <f>DitrbFlota[[#This Row],[TIPO BUS]]&amp;"-"&amp;DitrbFlota[[#This Row],[MARCA CHASIS]]</f>
        <v>BE-FOTON</v>
      </c>
      <c r="O717" s="2">
        <f>MONTH(DitrbFlota[[#This Row],[Inicio Operación]])</f>
        <v>8</v>
      </c>
      <c r="P717" s="2">
        <f>YEAR(DitrbFlota[[#This Row],[Inicio Operación]])</f>
        <v>2023</v>
      </c>
      <c r="Q717" s="29">
        <v>90</v>
      </c>
    </row>
    <row r="718" spans="1:17" hidden="1">
      <c r="A718" s="7" t="s">
        <v>10</v>
      </c>
      <c r="B718" s="2" t="s">
        <v>359</v>
      </c>
      <c r="C718" s="2">
        <v>3113</v>
      </c>
      <c r="D718" s="2" t="s">
        <v>147</v>
      </c>
      <c r="E718" s="2" t="s">
        <v>13</v>
      </c>
      <c r="F718" s="2" t="s">
        <v>149</v>
      </c>
      <c r="G718" s="277" t="s">
        <v>267</v>
      </c>
      <c r="H718" s="277" t="s">
        <v>267</v>
      </c>
      <c r="I718" s="277">
        <v>45038</v>
      </c>
      <c r="J718" s="2" t="s">
        <v>1341</v>
      </c>
      <c r="K718" s="2" t="s">
        <v>838</v>
      </c>
      <c r="L718" s="2" t="s">
        <v>267</v>
      </c>
      <c r="M718" s="2"/>
      <c r="N718" s="2" t="str">
        <f>DitrbFlota[[#This Row],[TIPO BUS]]&amp;"-"&amp;DitrbFlota[[#This Row],[MARCA CHASIS]]</f>
        <v>BE-FOTON</v>
      </c>
      <c r="O718" s="2">
        <f>MONTH(DitrbFlota[[#This Row],[Inicio Operación]])</f>
        <v>4</v>
      </c>
      <c r="P718" s="2">
        <f>YEAR(DitrbFlota[[#This Row],[Inicio Operación]])</f>
        <v>2023</v>
      </c>
      <c r="Q718" s="29">
        <v>90</v>
      </c>
    </row>
    <row r="719" spans="1:17" hidden="1">
      <c r="A719" s="7" t="s">
        <v>10</v>
      </c>
      <c r="B719" s="2" t="s">
        <v>360</v>
      </c>
      <c r="C719" s="2">
        <v>3114</v>
      </c>
      <c r="D719" s="2" t="s">
        <v>147</v>
      </c>
      <c r="E719" s="2" t="s">
        <v>13</v>
      </c>
      <c r="F719" s="2" t="s">
        <v>149</v>
      </c>
      <c r="G719" s="277" t="s">
        <v>267</v>
      </c>
      <c r="H719" s="277" t="s">
        <v>267</v>
      </c>
      <c r="I719" s="277">
        <v>45150</v>
      </c>
      <c r="J719" s="2" t="s">
        <v>1341</v>
      </c>
      <c r="K719" s="2" t="s">
        <v>838</v>
      </c>
      <c r="L719" s="2" t="s">
        <v>267</v>
      </c>
      <c r="M719" s="2"/>
      <c r="N719" s="2" t="str">
        <f>DitrbFlota[[#This Row],[TIPO BUS]]&amp;"-"&amp;DitrbFlota[[#This Row],[MARCA CHASIS]]</f>
        <v>BE-FOTON</v>
      </c>
      <c r="O719" s="2">
        <f>MONTH(DitrbFlota[[#This Row],[Inicio Operación]])</f>
        <v>8</v>
      </c>
      <c r="P719" s="2">
        <f>YEAR(DitrbFlota[[#This Row],[Inicio Operación]])</f>
        <v>2023</v>
      </c>
      <c r="Q719" s="29">
        <v>90</v>
      </c>
    </row>
    <row r="720" spans="1:17" hidden="1">
      <c r="A720" s="7" t="s">
        <v>10</v>
      </c>
      <c r="B720" s="2" t="s">
        <v>361</v>
      </c>
      <c r="C720" s="2">
        <v>3115</v>
      </c>
      <c r="D720" s="2" t="s">
        <v>147</v>
      </c>
      <c r="E720" s="2" t="s">
        <v>13</v>
      </c>
      <c r="F720" s="2" t="s">
        <v>149</v>
      </c>
      <c r="G720" s="277" t="s">
        <v>267</v>
      </c>
      <c r="H720" s="277" t="s">
        <v>267</v>
      </c>
      <c r="I720" s="277">
        <v>45150</v>
      </c>
      <c r="J720" s="2" t="s">
        <v>1341</v>
      </c>
      <c r="K720" s="2" t="s">
        <v>838</v>
      </c>
      <c r="L720" s="2" t="s">
        <v>267</v>
      </c>
      <c r="M720" s="2"/>
      <c r="N720" s="2" t="str">
        <f>DitrbFlota[[#This Row],[TIPO BUS]]&amp;"-"&amp;DitrbFlota[[#This Row],[MARCA CHASIS]]</f>
        <v>BE-FOTON</v>
      </c>
      <c r="O720" s="2">
        <f>MONTH(DitrbFlota[[#This Row],[Inicio Operación]])</f>
        <v>8</v>
      </c>
      <c r="P720" s="2">
        <f>YEAR(DitrbFlota[[#This Row],[Inicio Operación]])</f>
        <v>2023</v>
      </c>
      <c r="Q720" s="29">
        <v>90</v>
      </c>
    </row>
    <row r="721" spans="1:17" hidden="1">
      <c r="A721" s="7" t="s">
        <v>10</v>
      </c>
      <c r="B721" s="2" t="s">
        <v>362</v>
      </c>
      <c r="C721" s="2">
        <v>3116</v>
      </c>
      <c r="D721" s="2" t="s">
        <v>147</v>
      </c>
      <c r="E721" s="2" t="s">
        <v>13</v>
      </c>
      <c r="F721" s="2" t="s">
        <v>149</v>
      </c>
      <c r="G721" s="277" t="s">
        <v>267</v>
      </c>
      <c r="H721" s="277" t="s">
        <v>267</v>
      </c>
      <c r="I721" s="277">
        <v>45038</v>
      </c>
      <c r="J721" s="2" t="s">
        <v>1341</v>
      </c>
      <c r="K721" s="2" t="s">
        <v>838</v>
      </c>
      <c r="L721" s="2" t="s">
        <v>267</v>
      </c>
      <c r="M721" s="2"/>
      <c r="N721" s="2" t="str">
        <f>DitrbFlota[[#This Row],[TIPO BUS]]&amp;"-"&amp;DitrbFlota[[#This Row],[MARCA CHASIS]]</f>
        <v>BE-FOTON</v>
      </c>
      <c r="O721" s="2">
        <f>MONTH(DitrbFlota[[#This Row],[Inicio Operación]])</f>
        <v>4</v>
      </c>
      <c r="P721" s="2">
        <f>YEAR(DitrbFlota[[#This Row],[Inicio Operación]])</f>
        <v>2023</v>
      </c>
      <c r="Q721" s="29">
        <v>90</v>
      </c>
    </row>
    <row r="722" spans="1:17" hidden="1">
      <c r="A722" s="7" t="s">
        <v>10</v>
      </c>
      <c r="B722" s="2" t="s">
        <v>363</v>
      </c>
      <c r="C722" s="2">
        <v>3117</v>
      </c>
      <c r="D722" s="2" t="s">
        <v>147</v>
      </c>
      <c r="E722" s="2" t="s">
        <v>13</v>
      </c>
      <c r="F722" s="2" t="s">
        <v>149</v>
      </c>
      <c r="G722" s="277" t="s">
        <v>267</v>
      </c>
      <c r="H722" s="277" t="s">
        <v>267</v>
      </c>
      <c r="I722" s="277">
        <v>45150</v>
      </c>
      <c r="J722" s="2" t="s">
        <v>1341</v>
      </c>
      <c r="K722" s="2" t="s">
        <v>838</v>
      </c>
      <c r="L722" s="2" t="s">
        <v>267</v>
      </c>
      <c r="M722" s="2"/>
      <c r="N722" s="2" t="str">
        <f>DitrbFlota[[#This Row],[TIPO BUS]]&amp;"-"&amp;DitrbFlota[[#This Row],[MARCA CHASIS]]</f>
        <v>BE-FOTON</v>
      </c>
      <c r="O722" s="2">
        <f>MONTH(DitrbFlota[[#This Row],[Inicio Operación]])</f>
        <v>8</v>
      </c>
      <c r="P722" s="2">
        <f>YEAR(DitrbFlota[[#This Row],[Inicio Operación]])</f>
        <v>2023</v>
      </c>
      <c r="Q722" s="29">
        <v>90</v>
      </c>
    </row>
    <row r="723" spans="1:17" hidden="1">
      <c r="A723" s="7" t="s">
        <v>10</v>
      </c>
      <c r="B723" s="2" t="s">
        <v>364</v>
      </c>
      <c r="C723" s="2">
        <v>3118</v>
      </c>
      <c r="D723" s="2" t="s">
        <v>147</v>
      </c>
      <c r="E723" s="2" t="s">
        <v>13</v>
      </c>
      <c r="F723" s="2" t="s">
        <v>149</v>
      </c>
      <c r="G723" s="277" t="s">
        <v>267</v>
      </c>
      <c r="H723" s="277" t="s">
        <v>267</v>
      </c>
      <c r="I723" s="277">
        <v>45150</v>
      </c>
      <c r="J723" s="2" t="s">
        <v>1341</v>
      </c>
      <c r="K723" s="2" t="s">
        <v>838</v>
      </c>
      <c r="L723" s="2" t="s">
        <v>267</v>
      </c>
      <c r="M723" s="2"/>
      <c r="N723" s="2" t="str">
        <f>DitrbFlota[[#This Row],[TIPO BUS]]&amp;"-"&amp;DitrbFlota[[#This Row],[MARCA CHASIS]]</f>
        <v>BE-FOTON</v>
      </c>
      <c r="O723" s="2">
        <f>MONTH(DitrbFlota[[#This Row],[Inicio Operación]])</f>
        <v>8</v>
      </c>
      <c r="P723" s="2">
        <f>YEAR(DitrbFlota[[#This Row],[Inicio Operación]])</f>
        <v>2023</v>
      </c>
      <c r="Q723" s="29">
        <v>90</v>
      </c>
    </row>
    <row r="724" spans="1:17" hidden="1">
      <c r="A724" s="7" t="s">
        <v>10</v>
      </c>
      <c r="B724" s="2" t="s">
        <v>365</v>
      </c>
      <c r="C724" s="2">
        <v>3119</v>
      </c>
      <c r="D724" s="2" t="s">
        <v>147</v>
      </c>
      <c r="E724" s="2" t="s">
        <v>13</v>
      </c>
      <c r="F724" s="2" t="s">
        <v>149</v>
      </c>
      <c r="G724" s="277" t="s">
        <v>267</v>
      </c>
      <c r="H724" s="277" t="s">
        <v>267</v>
      </c>
      <c r="I724" s="277">
        <v>45150</v>
      </c>
      <c r="J724" s="2" t="s">
        <v>1341</v>
      </c>
      <c r="K724" s="2" t="s">
        <v>838</v>
      </c>
      <c r="L724" s="2" t="s">
        <v>267</v>
      </c>
      <c r="M724" s="2"/>
      <c r="N724" s="2" t="str">
        <f>DitrbFlota[[#This Row],[TIPO BUS]]&amp;"-"&amp;DitrbFlota[[#This Row],[MARCA CHASIS]]</f>
        <v>BE-FOTON</v>
      </c>
      <c r="O724" s="2">
        <f>MONTH(DitrbFlota[[#This Row],[Inicio Operación]])</f>
        <v>8</v>
      </c>
      <c r="P724" s="2">
        <f>YEAR(DitrbFlota[[#This Row],[Inicio Operación]])</f>
        <v>2023</v>
      </c>
      <c r="Q724" s="29">
        <v>90</v>
      </c>
    </row>
    <row r="725" spans="1:17" hidden="1">
      <c r="A725" s="7" t="s">
        <v>10</v>
      </c>
      <c r="B725" s="2" t="s">
        <v>366</v>
      </c>
      <c r="C725" s="2">
        <v>3120</v>
      </c>
      <c r="D725" s="2" t="s">
        <v>147</v>
      </c>
      <c r="E725" s="2" t="s">
        <v>13</v>
      </c>
      <c r="F725" s="2" t="s">
        <v>149</v>
      </c>
      <c r="G725" s="277" t="s">
        <v>267</v>
      </c>
      <c r="H725" s="277" t="s">
        <v>267</v>
      </c>
      <c r="I725" s="277">
        <v>45150</v>
      </c>
      <c r="J725" s="2" t="s">
        <v>1341</v>
      </c>
      <c r="K725" s="2" t="s">
        <v>838</v>
      </c>
      <c r="L725" s="2" t="s">
        <v>267</v>
      </c>
      <c r="M725" s="2"/>
      <c r="N725" s="2" t="str">
        <f>DitrbFlota[[#This Row],[TIPO BUS]]&amp;"-"&amp;DitrbFlota[[#This Row],[MARCA CHASIS]]</f>
        <v>BE-FOTON</v>
      </c>
      <c r="O725" s="2">
        <f>MONTH(DitrbFlota[[#This Row],[Inicio Operación]])</f>
        <v>8</v>
      </c>
      <c r="P725" s="2">
        <f>YEAR(DitrbFlota[[#This Row],[Inicio Operación]])</f>
        <v>2023</v>
      </c>
      <c r="Q725" s="29">
        <v>90</v>
      </c>
    </row>
    <row r="726" spans="1:17" hidden="1">
      <c r="A726" s="7" t="s">
        <v>10</v>
      </c>
      <c r="B726" s="2" t="s">
        <v>367</v>
      </c>
      <c r="C726" s="2">
        <v>3121</v>
      </c>
      <c r="D726" s="2" t="s">
        <v>147</v>
      </c>
      <c r="E726" s="2" t="s">
        <v>13</v>
      </c>
      <c r="F726" s="2" t="s">
        <v>149</v>
      </c>
      <c r="G726" s="277" t="s">
        <v>267</v>
      </c>
      <c r="H726" s="277" t="s">
        <v>267</v>
      </c>
      <c r="I726" s="277">
        <v>45150</v>
      </c>
      <c r="J726" s="2" t="s">
        <v>1341</v>
      </c>
      <c r="K726" s="2" t="s">
        <v>838</v>
      </c>
      <c r="L726" s="2" t="s">
        <v>267</v>
      </c>
      <c r="M726" s="2"/>
      <c r="N726" s="2" t="str">
        <f>DitrbFlota[[#This Row],[TIPO BUS]]&amp;"-"&amp;DitrbFlota[[#This Row],[MARCA CHASIS]]</f>
        <v>BE-FOTON</v>
      </c>
      <c r="O726" s="2">
        <f>MONTH(DitrbFlota[[#This Row],[Inicio Operación]])</f>
        <v>8</v>
      </c>
      <c r="P726" s="2">
        <f>YEAR(DitrbFlota[[#This Row],[Inicio Operación]])</f>
        <v>2023</v>
      </c>
      <c r="Q726" s="29">
        <v>90</v>
      </c>
    </row>
    <row r="727" spans="1:17" hidden="1">
      <c r="A727" s="7" t="s">
        <v>10</v>
      </c>
      <c r="B727" s="2" t="s">
        <v>368</v>
      </c>
      <c r="C727" s="2">
        <v>3122</v>
      </c>
      <c r="D727" s="2" t="s">
        <v>147</v>
      </c>
      <c r="E727" s="2" t="s">
        <v>13</v>
      </c>
      <c r="F727" s="2" t="s">
        <v>149</v>
      </c>
      <c r="G727" s="277" t="s">
        <v>267</v>
      </c>
      <c r="H727" s="277" t="s">
        <v>267</v>
      </c>
      <c r="I727" s="277">
        <v>45150</v>
      </c>
      <c r="J727" s="2" t="s">
        <v>1341</v>
      </c>
      <c r="K727" s="2" t="s">
        <v>838</v>
      </c>
      <c r="L727" s="2" t="s">
        <v>267</v>
      </c>
      <c r="M727" s="2"/>
      <c r="N727" s="2" t="str">
        <f>DitrbFlota[[#This Row],[TIPO BUS]]&amp;"-"&amp;DitrbFlota[[#This Row],[MARCA CHASIS]]</f>
        <v>BE-FOTON</v>
      </c>
      <c r="O727" s="2">
        <f>MONTH(DitrbFlota[[#This Row],[Inicio Operación]])</f>
        <v>8</v>
      </c>
      <c r="P727" s="2">
        <f>YEAR(DitrbFlota[[#This Row],[Inicio Operación]])</f>
        <v>2023</v>
      </c>
      <c r="Q727" s="29">
        <v>90</v>
      </c>
    </row>
    <row r="728" spans="1:17" hidden="1">
      <c r="A728" s="7" t="s">
        <v>10</v>
      </c>
      <c r="B728" s="2" t="s">
        <v>369</v>
      </c>
      <c r="C728" s="2">
        <v>3123</v>
      </c>
      <c r="D728" s="2" t="s">
        <v>147</v>
      </c>
      <c r="E728" s="2" t="s">
        <v>13</v>
      </c>
      <c r="F728" s="2" t="s">
        <v>149</v>
      </c>
      <c r="G728" s="277" t="s">
        <v>267</v>
      </c>
      <c r="H728" s="277" t="s">
        <v>267</v>
      </c>
      <c r="I728" s="277">
        <v>45150</v>
      </c>
      <c r="J728" s="2" t="s">
        <v>1341</v>
      </c>
      <c r="K728" s="2" t="s">
        <v>838</v>
      </c>
      <c r="L728" s="2" t="s">
        <v>267</v>
      </c>
      <c r="M728" s="2"/>
      <c r="N728" s="2" t="str">
        <f>DitrbFlota[[#This Row],[TIPO BUS]]&amp;"-"&amp;DitrbFlota[[#This Row],[MARCA CHASIS]]</f>
        <v>BE-FOTON</v>
      </c>
      <c r="O728" s="2">
        <f>MONTH(DitrbFlota[[#This Row],[Inicio Operación]])</f>
        <v>8</v>
      </c>
      <c r="P728" s="2">
        <f>YEAR(DitrbFlota[[#This Row],[Inicio Operación]])</f>
        <v>2023</v>
      </c>
      <c r="Q728" s="29">
        <v>90</v>
      </c>
    </row>
    <row r="729" spans="1:17" ht="17.100000000000001" hidden="1" customHeight="1">
      <c r="A729" s="7" t="s">
        <v>10</v>
      </c>
      <c r="B729" s="2" t="s">
        <v>370</v>
      </c>
      <c r="C729" s="2">
        <v>3124</v>
      </c>
      <c r="D729" s="2" t="s">
        <v>147</v>
      </c>
      <c r="E729" s="2" t="s">
        <v>13</v>
      </c>
      <c r="F729" s="2" t="s">
        <v>149</v>
      </c>
      <c r="G729" s="277" t="s">
        <v>267</v>
      </c>
      <c r="H729" s="277" t="s">
        <v>267</v>
      </c>
      <c r="I729" s="277">
        <v>45150</v>
      </c>
      <c r="J729" s="2" t="s">
        <v>1341</v>
      </c>
      <c r="K729" s="2" t="s">
        <v>838</v>
      </c>
      <c r="L729" s="2" t="s">
        <v>267</v>
      </c>
      <c r="M729" s="2"/>
      <c r="N729" s="2" t="str">
        <f>DitrbFlota[[#This Row],[TIPO BUS]]&amp;"-"&amp;DitrbFlota[[#This Row],[MARCA CHASIS]]</f>
        <v>BE-FOTON</v>
      </c>
      <c r="O729" s="2">
        <f>MONTH(DitrbFlota[[#This Row],[Inicio Operación]])</f>
        <v>8</v>
      </c>
      <c r="P729" s="2">
        <f>YEAR(DitrbFlota[[#This Row],[Inicio Operación]])</f>
        <v>2023</v>
      </c>
      <c r="Q729" s="29">
        <v>90</v>
      </c>
    </row>
    <row r="730" spans="1:17" hidden="1">
      <c r="A730" s="7" t="s">
        <v>10</v>
      </c>
      <c r="B730" s="2" t="s">
        <v>371</v>
      </c>
      <c r="C730" s="2">
        <v>3125</v>
      </c>
      <c r="D730" s="2" t="s">
        <v>147</v>
      </c>
      <c r="E730" s="2" t="s">
        <v>13</v>
      </c>
      <c r="F730" s="2" t="s">
        <v>149</v>
      </c>
      <c r="G730" s="277" t="s">
        <v>267</v>
      </c>
      <c r="H730" s="277" t="s">
        <v>267</v>
      </c>
      <c r="I730" s="277">
        <v>45150</v>
      </c>
      <c r="J730" s="2" t="s">
        <v>1341</v>
      </c>
      <c r="K730" s="2" t="s">
        <v>838</v>
      </c>
      <c r="L730" s="2" t="s">
        <v>267</v>
      </c>
      <c r="M730" s="2"/>
      <c r="N730" s="2" t="str">
        <f>DitrbFlota[[#This Row],[TIPO BUS]]&amp;"-"&amp;DitrbFlota[[#This Row],[MARCA CHASIS]]</f>
        <v>BE-FOTON</v>
      </c>
      <c r="O730" s="2">
        <f>MONTH(DitrbFlota[[#This Row],[Inicio Operación]])</f>
        <v>8</v>
      </c>
      <c r="P730" s="2">
        <f>YEAR(DitrbFlota[[#This Row],[Inicio Operación]])</f>
        <v>2023</v>
      </c>
      <c r="Q730" s="29">
        <v>90</v>
      </c>
    </row>
    <row r="731" spans="1:17" hidden="1">
      <c r="A731" s="7" t="s">
        <v>10</v>
      </c>
      <c r="B731" s="2" t="s">
        <v>372</v>
      </c>
      <c r="C731" s="2">
        <v>3126</v>
      </c>
      <c r="D731" s="2" t="s">
        <v>147</v>
      </c>
      <c r="E731" s="2" t="s">
        <v>13</v>
      </c>
      <c r="F731" s="2" t="s">
        <v>149</v>
      </c>
      <c r="G731" s="277" t="s">
        <v>267</v>
      </c>
      <c r="H731" s="277" t="s">
        <v>267</v>
      </c>
      <c r="I731" s="277">
        <v>45150</v>
      </c>
      <c r="J731" s="2" t="s">
        <v>1341</v>
      </c>
      <c r="K731" s="2" t="s">
        <v>838</v>
      </c>
      <c r="L731" s="2" t="s">
        <v>267</v>
      </c>
      <c r="M731" s="2"/>
      <c r="N731" s="2" t="str">
        <f>DitrbFlota[[#This Row],[TIPO BUS]]&amp;"-"&amp;DitrbFlota[[#This Row],[MARCA CHASIS]]</f>
        <v>BE-FOTON</v>
      </c>
      <c r="O731" s="2">
        <f>MONTH(DitrbFlota[[#This Row],[Inicio Operación]])</f>
        <v>8</v>
      </c>
      <c r="P731" s="2">
        <f>YEAR(DitrbFlota[[#This Row],[Inicio Operación]])</f>
        <v>2023</v>
      </c>
      <c r="Q731" s="29">
        <v>90</v>
      </c>
    </row>
    <row r="732" spans="1:17" hidden="1">
      <c r="A732" s="7" t="s">
        <v>10</v>
      </c>
      <c r="B732" s="2" t="s">
        <v>394</v>
      </c>
      <c r="C732" s="2">
        <v>3127</v>
      </c>
      <c r="D732" s="2" t="s">
        <v>147</v>
      </c>
      <c r="E732" s="2" t="s">
        <v>25</v>
      </c>
      <c r="F732" s="2" t="s">
        <v>149</v>
      </c>
      <c r="G732" s="277" t="s">
        <v>267</v>
      </c>
      <c r="H732" s="277" t="s">
        <v>267</v>
      </c>
      <c r="I732" s="277">
        <v>45700</v>
      </c>
      <c r="J732" s="2" t="s">
        <v>830</v>
      </c>
      <c r="K732" s="2" t="s">
        <v>838</v>
      </c>
      <c r="L732" s="277" t="s">
        <v>267</v>
      </c>
      <c r="M732" s="2"/>
      <c r="N732" s="2" t="str">
        <f>DitrbFlota[[#This Row],[TIPO BUS]]&amp;"-"&amp;DitrbFlota[[#This Row],[MARCA CHASIS]]</f>
        <v>BE-FOTON</v>
      </c>
      <c r="O732" s="2">
        <f>MONTH(DitrbFlota[[#This Row],[Inicio Operación]])</f>
        <v>2</v>
      </c>
      <c r="P732" s="2">
        <f>YEAR(DitrbFlota[[#This Row],[Inicio Operación]])</f>
        <v>2025</v>
      </c>
      <c r="Q732" s="29">
        <v>90</v>
      </c>
    </row>
    <row r="733" spans="1:17" hidden="1">
      <c r="A733" s="7" t="s">
        <v>10</v>
      </c>
      <c r="B733" s="2" t="s">
        <v>395</v>
      </c>
      <c r="C733" s="2">
        <v>3128</v>
      </c>
      <c r="D733" s="2" t="s">
        <v>147</v>
      </c>
      <c r="E733" s="2" t="s">
        <v>25</v>
      </c>
      <c r="F733" s="2" t="s">
        <v>149</v>
      </c>
      <c r="G733" s="277" t="s">
        <v>267</v>
      </c>
      <c r="H733" s="277" t="s">
        <v>267</v>
      </c>
      <c r="I733" s="277">
        <v>45692</v>
      </c>
      <c r="J733" s="2" t="s">
        <v>830</v>
      </c>
      <c r="K733" s="2" t="s">
        <v>838</v>
      </c>
      <c r="L733" s="277" t="s">
        <v>267</v>
      </c>
      <c r="M733" s="2"/>
      <c r="N733" s="2" t="str">
        <f>DitrbFlota[[#This Row],[TIPO BUS]]&amp;"-"&amp;DitrbFlota[[#This Row],[MARCA CHASIS]]</f>
        <v>BE-FOTON</v>
      </c>
      <c r="O733" s="2">
        <f>MONTH(DitrbFlota[[#This Row],[Inicio Operación]])</f>
        <v>2</v>
      </c>
      <c r="P733" s="2">
        <f>YEAR(DitrbFlota[[#This Row],[Inicio Operación]])</f>
        <v>2025</v>
      </c>
      <c r="Q733" s="29">
        <v>90</v>
      </c>
    </row>
    <row r="734" spans="1:17" hidden="1">
      <c r="A734" s="7" t="s">
        <v>10</v>
      </c>
      <c r="B734" s="2" t="s">
        <v>396</v>
      </c>
      <c r="C734" s="2">
        <v>3129</v>
      </c>
      <c r="D734" s="2" t="s">
        <v>147</v>
      </c>
      <c r="E734" s="2" t="s">
        <v>25</v>
      </c>
      <c r="F734" s="2" t="s">
        <v>149</v>
      </c>
      <c r="G734" s="277" t="s">
        <v>267</v>
      </c>
      <c r="H734" s="277" t="s">
        <v>267</v>
      </c>
      <c r="I734" s="277">
        <v>45700</v>
      </c>
      <c r="J734" s="2" t="s">
        <v>830</v>
      </c>
      <c r="K734" s="2" t="s">
        <v>838</v>
      </c>
      <c r="L734" s="277" t="s">
        <v>267</v>
      </c>
      <c r="M734" s="2"/>
      <c r="N734" s="2" t="str">
        <f>DitrbFlota[[#This Row],[TIPO BUS]]&amp;"-"&amp;DitrbFlota[[#This Row],[MARCA CHASIS]]</f>
        <v>BE-FOTON</v>
      </c>
      <c r="O734" s="2">
        <f>MONTH(DitrbFlota[[#This Row],[Inicio Operación]])</f>
        <v>2</v>
      </c>
      <c r="P734" s="2">
        <f>YEAR(DitrbFlota[[#This Row],[Inicio Operación]])</f>
        <v>2025</v>
      </c>
      <c r="Q734" s="29">
        <v>90</v>
      </c>
    </row>
    <row r="735" spans="1:17" hidden="1">
      <c r="A735" s="7" t="s">
        <v>10</v>
      </c>
      <c r="B735" s="2" t="s">
        <v>397</v>
      </c>
      <c r="C735" s="2">
        <v>3130</v>
      </c>
      <c r="D735" s="2" t="s">
        <v>147</v>
      </c>
      <c r="E735" s="2" t="s">
        <v>25</v>
      </c>
      <c r="F735" s="2" t="s">
        <v>149</v>
      </c>
      <c r="G735" s="277" t="s">
        <v>267</v>
      </c>
      <c r="H735" s="277" t="s">
        <v>267</v>
      </c>
      <c r="I735" s="277">
        <v>45692</v>
      </c>
      <c r="J735" s="2" t="s">
        <v>830</v>
      </c>
      <c r="K735" s="2" t="s">
        <v>838</v>
      </c>
      <c r="L735" s="277" t="s">
        <v>267</v>
      </c>
      <c r="M735" s="2"/>
      <c r="N735" s="2" t="str">
        <f>DitrbFlota[[#This Row],[TIPO BUS]]&amp;"-"&amp;DitrbFlota[[#This Row],[MARCA CHASIS]]</f>
        <v>BE-FOTON</v>
      </c>
      <c r="O735" s="2">
        <f>MONTH(DitrbFlota[[#This Row],[Inicio Operación]])</f>
        <v>2</v>
      </c>
      <c r="P735" s="2">
        <f>YEAR(DitrbFlota[[#This Row],[Inicio Operación]])</f>
        <v>2025</v>
      </c>
      <c r="Q735" s="29">
        <v>90</v>
      </c>
    </row>
    <row r="736" spans="1:17" hidden="1">
      <c r="A736" s="7" t="s">
        <v>10</v>
      </c>
      <c r="B736" s="2" t="s">
        <v>398</v>
      </c>
      <c r="C736" s="2">
        <v>3131</v>
      </c>
      <c r="D736" s="2" t="s">
        <v>147</v>
      </c>
      <c r="E736" s="352" t="s">
        <v>25</v>
      </c>
      <c r="F736" s="352" t="s">
        <v>149</v>
      </c>
      <c r="G736" s="277" t="s">
        <v>267</v>
      </c>
      <c r="H736" s="277" t="s">
        <v>267</v>
      </c>
      <c r="I736" s="277">
        <v>45693</v>
      </c>
      <c r="J736" s="2" t="s">
        <v>830</v>
      </c>
      <c r="K736" s="2" t="s">
        <v>838</v>
      </c>
      <c r="L736" s="277" t="s">
        <v>267</v>
      </c>
      <c r="M736" s="2"/>
      <c r="N736" s="2" t="str">
        <f>DitrbFlota[[#This Row],[TIPO BUS]]&amp;"-"&amp;DitrbFlota[[#This Row],[MARCA CHASIS]]</f>
        <v>BE-FOTON</v>
      </c>
      <c r="O736" s="2">
        <f>MONTH(DitrbFlota[[#This Row],[Inicio Operación]])</f>
        <v>2</v>
      </c>
      <c r="P736" s="2">
        <f>YEAR(DitrbFlota[[#This Row],[Inicio Operación]])</f>
        <v>2025</v>
      </c>
      <c r="Q736" s="29">
        <v>90</v>
      </c>
    </row>
    <row r="737" spans="1:17" hidden="1">
      <c r="A737" s="12" t="s">
        <v>10</v>
      </c>
      <c r="B737" s="13" t="s">
        <v>399</v>
      </c>
      <c r="C737" s="13">
        <v>3132</v>
      </c>
      <c r="D737" s="13" t="s">
        <v>147</v>
      </c>
      <c r="E737" s="13" t="s">
        <v>25</v>
      </c>
      <c r="F737" s="13" t="s">
        <v>149</v>
      </c>
      <c r="G737" s="280" t="s">
        <v>267</v>
      </c>
      <c r="H737" s="280" t="s">
        <v>267</v>
      </c>
      <c r="I737" s="280">
        <v>45692</v>
      </c>
      <c r="J737" s="13" t="s">
        <v>830</v>
      </c>
      <c r="K737" s="13" t="s">
        <v>838</v>
      </c>
      <c r="L737" s="280" t="s">
        <v>267</v>
      </c>
      <c r="M737" s="13"/>
      <c r="N737" s="13" t="str">
        <f>DitrbFlota[[#This Row],[TIPO BUS]]&amp;"-"&amp;DitrbFlota[[#This Row],[MARCA CHASIS]]</f>
        <v>BE-FOTON</v>
      </c>
      <c r="O737" s="13">
        <f>MONTH(DitrbFlota[[#This Row],[Inicio Operación]])</f>
        <v>2</v>
      </c>
      <c r="P737" s="13">
        <f>YEAR(DitrbFlota[[#This Row],[Inicio Operación]])</f>
        <v>2025</v>
      </c>
      <c r="Q737" s="22">
        <v>90</v>
      </c>
    </row>
    <row r="738" spans="1:17" hidden="1">
      <c r="A738" s="7" t="s">
        <v>10</v>
      </c>
      <c r="B738" s="2" t="s">
        <v>406</v>
      </c>
      <c r="C738" s="2">
        <v>2027</v>
      </c>
      <c r="D738" s="2" t="s">
        <v>285</v>
      </c>
      <c r="E738" s="352" t="s">
        <v>405</v>
      </c>
      <c r="F738" s="2" t="s">
        <v>145</v>
      </c>
      <c r="G738" s="353" t="s">
        <v>267</v>
      </c>
      <c r="H738" s="353" t="s">
        <v>267</v>
      </c>
      <c r="I738" s="353">
        <v>45024</v>
      </c>
      <c r="J738" s="2" t="s">
        <v>830</v>
      </c>
      <c r="K738" s="2" t="s">
        <v>838</v>
      </c>
      <c r="L738" s="2" t="s">
        <v>267</v>
      </c>
      <c r="M738" s="2" t="s">
        <v>1409</v>
      </c>
      <c r="N738" s="2" t="s">
        <v>859</v>
      </c>
      <c r="O738" s="2">
        <v>4</v>
      </c>
      <c r="P738" s="2">
        <v>2023</v>
      </c>
      <c r="Q738" s="29">
        <v>90</v>
      </c>
    </row>
    <row r="739" spans="1:17" hidden="1">
      <c r="A739" s="7" t="s">
        <v>10</v>
      </c>
      <c r="B739" s="2" t="s">
        <v>828</v>
      </c>
      <c r="C739" s="2">
        <v>2017</v>
      </c>
      <c r="D739" s="2" t="s">
        <v>285</v>
      </c>
      <c r="E739" s="352" t="s">
        <v>829</v>
      </c>
      <c r="F739" s="2" t="s">
        <v>145</v>
      </c>
      <c r="G739" s="353" t="s">
        <v>267</v>
      </c>
      <c r="H739" s="353" t="s">
        <v>267</v>
      </c>
      <c r="I739" s="353">
        <v>45038</v>
      </c>
      <c r="J739" s="2" t="s">
        <v>830</v>
      </c>
      <c r="K739" s="2" t="s">
        <v>838</v>
      </c>
      <c r="L739" s="2" t="s">
        <v>267</v>
      </c>
      <c r="M739" s="2" t="s">
        <v>1409</v>
      </c>
      <c r="N739" s="2" t="s">
        <v>859</v>
      </c>
      <c r="O739" s="2">
        <v>4</v>
      </c>
      <c r="P739" s="2">
        <v>2023</v>
      </c>
      <c r="Q739" s="29">
        <v>90</v>
      </c>
    </row>
    <row r="740" spans="1:17" hidden="1">
      <c r="A740" s="7" t="s">
        <v>10</v>
      </c>
      <c r="B740" s="2" t="s">
        <v>831</v>
      </c>
      <c r="C740" s="2">
        <v>2019</v>
      </c>
      <c r="D740" s="2" t="s">
        <v>285</v>
      </c>
      <c r="E740" s="352" t="s">
        <v>829</v>
      </c>
      <c r="F740" s="2" t="s">
        <v>145</v>
      </c>
      <c r="G740" s="353" t="s">
        <v>267</v>
      </c>
      <c r="H740" s="353" t="s">
        <v>267</v>
      </c>
      <c r="I740" s="353">
        <v>45038</v>
      </c>
      <c r="J740" s="2" t="s">
        <v>830</v>
      </c>
      <c r="K740" s="2" t="s">
        <v>838</v>
      </c>
      <c r="L740" s="2" t="s">
        <v>267</v>
      </c>
      <c r="M740" s="2" t="s">
        <v>1409</v>
      </c>
      <c r="N740" s="2" t="s">
        <v>859</v>
      </c>
      <c r="O740" s="2">
        <v>4</v>
      </c>
      <c r="P740" s="2">
        <v>2023</v>
      </c>
      <c r="Q740" s="29">
        <v>90</v>
      </c>
    </row>
    <row r="741" spans="1:17" hidden="1">
      <c r="A741" s="12" t="s">
        <v>421</v>
      </c>
      <c r="B741" s="13" t="s">
        <v>439</v>
      </c>
      <c r="C741" s="13">
        <v>6009</v>
      </c>
      <c r="D741" s="13" t="s">
        <v>285</v>
      </c>
      <c r="E741" s="354" t="s">
        <v>13</v>
      </c>
      <c r="F741" s="13" t="s">
        <v>145</v>
      </c>
      <c r="G741" s="355" t="s">
        <v>423</v>
      </c>
      <c r="H741" s="355" t="s">
        <v>423</v>
      </c>
      <c r="I741" s="355">
        <v>45003</v>
      </c>
      <c r="J741" s="13" t="s">
        <v>830</v>
      </c>
      <c r="K741" s="13" t="s">
        <v>839</v>
      </c>
      <c r="L741" s="13" t="s">
        <v>423</v>
      </c>
      <c r="M741" s="13" t="s">
        <v>1409</v>
      </c>
      <c r="N741" s="13" t="s">
        <v>859</v>
      </c>
      <c r="O741" s="13">
        <v>3</v>
      </c>
      <c r="P741" s="13">
        <v>2023</v>
      </c>
      <c r="Q741" s="22">
        <v>90</v>
      </c>
    </row>
  </sheetData>
  <conditionalFormatting sqref="A2:Q741">
    <cfRule type="expression" dxfId="0" priority="3">
      <formula>$H2&lt;&gt;$G2</formula>
    </cfRule>
  </conditionalFormatting>
  <pageMargins left="0.75" right="0.75" top="1" bottom="1" header="0.5" footer="0.5"/>
  <pageSetup orientation="portrait"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26F56-2D46-46FF-9136-DC00BBAD7A11}">
  <sheetPr codeName="Hoja19"/>
  <dimension ref="A1:Q11"/>
  <sheetViews>
    <sheetView zoomScale="110" zoomScaleNormal="80" workbookViewId="0">
      <selection activeCell="B1" sqref="B1:B1048576"/>
    </sheetView>
  </sheetViews>
  <sheetFormatPr baseColWidth="10" defaultColWidth="11.42578125" defaultRowHeight="15"/>
  <cols>
    <col min="1" max="1" width="10.85546875" customWidth="1"/>
    <col min="2" max="2" width="12.7109375" customWidth="1"/>
    <col min="3" max="3" width="10.42578125" customWidth="1"/>
    <col min="4" max="4" width="15.7109375" customWidth="1"/>
    <col min="5" max="5" width="14.42578125" customWidth="1"/>
    <col min="6" max="6" width="20.5703125" bestFit="1" customWidth="1"/>
    <col min="7" max="7" width="14.42578125" customWidth="1"/>
    <col min="8" max="8" width="16.42578125" customWidth="1"/>
    <col min="9" max="9" width="13.140625" bestFit="1" customWidth="1"/>
    <col min="10" max="10" width="16.5703125" customWidth="1"/>
    <col min="11" max="11" width="12.28515625" bestFit="1" customWidth="1"/>
    <col min="12" max="12" width="35.7109375" bestFit="1" customWidth="1"/>
    <col min="13" max="13" width="19.42578125" customWidth="1"/>
    <col min="14" max="14" width="9.5703125" customWidth="1"/>
    <col min="15" max="15" width="13" customWidth="1"/>
    <col min="16" max="16" width="28.42578125" customWidth="1"/>
    <col min="17" max="17" width="13.5703125" customWidth="1"/>
  </cols>
  <sheetData>
    <row r="1" spans="1:17">
      <c r="A1" s="203" t="s">
        <v>0</v>
      </c>
      <c r="B1" s="203" t="s">
        <v>87</v>
      </c>
      <c r="C1" s="204" t="s">
        <v>2</v>
      </c>
      <c r="D1" s="203" t="s">
        <v>3</v>
      </c>
      <c r="E1" s="203" t="s">
        <v>4</v>
      </c>
      <c r="F1" s="203" t="s">
        <v>5</v>
      </c>
      <c r="G1" s="203" t="s">
        <v>6</v>
      </c>
      <c r="H1" s="205" t="s">
        <v>7</v>
      </c>
      <c r="I1" s="203" t="s">
        <v>827</v>
      </c>
      <c r="J1" s="203" t="s">
        <v>1335</v>
      </c>
      <c r="K1" s="206" t="s">
        <v>1336</v>
      </c>
      <c r="L1" s="206" t="s">
        <v>875</v>
      </c>
      <c r="M1" s="206" t="s">
        <v>1337</v>
      </c>
      <c r="N1" s="206" t="s">
        <v>1338</v>
      </c>
      <c r="O1" s="206" t="s">
        <v>1339</v>
      </c>
      <c r="P1" s="209" t="s">
        <v>1342</v>
      </c>
      <c r="Q1" s="209" t="s">
        <v>1343</v>
      </c>
    </row>
    <row r="2" spans="1:17">
      <c r="A2" s="190" t="s">
        <v>421</v>
      </c>
      <c r="B2" s="191" t="s">
        <v>438</v>
      </c>
      <c r="C2" s="191">
        <v>5000</v>
      </c>
      <c r="D2" s="191" t="s">
        <v>12</v>
      </c>
      <c r="E2" s="191" t="s">
        <v>13</v>
      </c>
      <c r="F2" s="191" t="s">
        <v>14</v>
      </c>
      <c r="G2" s="192" t="s">
        <v>423</v>
      </c>
      <c r="H2" s="192">
        <v>44982</v>
      </c>
      <c r="I2" s="191" t="s">
        <v>1341</v>
      </c>
      <c r="J2" s="191" t="s">
        <v>839</v>
      </c>
      <c r="K2" s="191" t="s">
        <v>423</v>
      </c>
      <c r="L2" s="27" t="s">
        <v>45</v>
      </c>
      <c r="M2" s="191" t="str">
        <f>Tabla14[[#This Row],[TIPO BUS]]&amp;"-"&amp;Tabla14[[#This Row],[MARCA CHASIS]]</f>
        <v>A2-VOLVO</v>
      </c>
      <c r="N2" s="191">
        <f>MONTH(Tabla14[[#This Row],[Inicio Operación]])</f>
        <v>2</v>
      </c>
      <c r="O2" s="191">
        <f>YEAR(Tabla14[[#This Row],[Inicio Operación]])</f>
        <v>2023</v>
      </c>
      <c r="P2" s="267">
        <v>45531</v>
      </c>
      <c r="Q2" s="27" t="s">
        <v>1344</v>
      </c>
    </row>
    <row r="3" spans="1:17">
      <c r="A3" s="27" t="s">
        <v>421</v>
      </c>
      <c r="B3" s="27" t="s">
        <v>440</v>
      </c>
      <c r="C3" s="27">
        <v>6103</v>
      </c>
      <c r="D3" s="27" t="s">
        <v>34</v>
      </c>
      <c r="E3" s="27" t="s">
        <v>25</v>
      </c>
      <c r="F3" s="27" t="s">
        <v>14</v>
      </c>
      <c r="G3" s="52" t="s">
        <v>423</v>
      </c>
      <c r="H3" s="52">
        <v>44982</v>
      </c>
      <c r="I3" s="27" t="s">
        <v>1341</v>
      </c>
      <c r="J3" s="27" t="s">
        <v>839</v>
      </c>
      <c r="K3" s="27" t="s">
        <v>423</v>
      </c>
      <c r="L3" s="27" t="s">
        <v>45</v>
      </c>
      <c r="M3" s="191" t="str">
        <f>Tabla14[[#This Row],[TIPO BUS]]&amp;"-"&amp;Tabla14[[#This Row],[MARCA CHASIS]]</f>
        <v>B2-VOLVO</v>
      </c>
      <c r="N3" s="27">
        <f>MONTH(Tabla14[[#This Row],[Inicio Operación]])</f>
        <v>2</v>
      </c>
      <c r="O3" s="27">
        <f>YEAR(Tabla14[[#This Row],[Inicio Operación]])</f>
        <v>2023</v>
      </c>
      <c r="P3" s="52">
        <v>45531</v>
      </c>
      <c r="Q3" s="27"/>
    </row>
    <row r="4" spans="1:17" s="27" customFormat="1">
      <c r="A4" s="190" t="s">
        <v>421</v>
      </c>
      <c r="B4" s="191" t="s">
        <v>520</v>
      </c>
      <c r="C4" s="191">
        <v>5008</v>
      </c>
      <c r="D4" s="191" t="s">
        <v>12</v>
      </c>
      <c r="E4" s="191" t="s">
        <v>13</v>
      </c>
      <c r="F4" s="191" t="s">
        <v>14</v>
      </c>
      <c r="G4" s="192" t="s">
        <v>493</v>
      </c>
      <c r="H4" s="192">
        <v>45003</v>
      </c>
      <c r="I4" s="191" t="s">
        <v>1341</v>
      </c>
      <c r="J4" s="191" t="s">
        <v>841</v>
      </c>
      <c r="K4" s="191" t="s">
        <v>493</v>
      </c>
      <c r="L4" s="27" t="s">
        <v>45</v>
      </c>
      <c r="M4" s="191" t="str">
        <f>Tabla14[[#This Row],[TIPO BUS]]&amp;"-"&amp;Tabla14[[#This Row],[MARCA CHASIS]]</f>
        <v>A2-VOLVO</v>
      </c>
      <c r="N4" s="191">
        <f>MONTH(Tabla14[[#This Row],[Inicio Operación]])</f>
        <v>3</v>
      </c>
      <c r="O4" s="191">
        <f>YEAR(Tabla14[[#This Row],[Inicio Operación]])</f>
        <v>2023</v>
      </c>
      <c r="P4" s="267">
        <v>45531</v>
      </c>
      <c r="Q4" s="27" t="s">
        <v>1344</v>
      </c>
    </row>
    <row r="5" spans="1:17">
      <c r="A5" s="208" t="s">
        <v>421</v>
      </c>
      <c r="B5" s="27" t="s">
        <v>524</v>
      </c>
      <c r="C5" s="27">
        <v>5021</v>
      </c>
      <c r="D5" s="27" t="s">
        <v>12</v>
      </c>
      <c r="E5" s="27" t="s">
        <v>13</v>
      </c>
      <c r="F5" s="27" t="s">
        <v>14</v>
      </c>
      <c r="G5" s="52" t="s">
        <v>493</v>
      </c>
      <c r="H5" s="52">
        <v>45003</v>
      </c>
      <c r="I5" s="27" t="s">
        <v>1341</v>
      </c>
      <c r="J5" s="27" t="s">
        <v>841</v>
      </c>
      <c r="K5" s="27" t="s">
        <v>493</v>
      </c>
      <c r="L5" s="27" t="s">
        <v>45</v>
      </c>
      <c r="M5" s="191" t="str">
        <f>Tabla14[[#This Row],[TIPO BUS]]&amp;"-"&amp;Tabla14[[#This Row],[MARCA CHASIS]]</f>
        <v>A2-VOLVO</v>
      </c>
      <c r="N5" s="191">
        <f>MONTH(Tabla14[[#This Row],[Inicio Operación]])</f>
        <v>3</v>
      </c>
      <c r="O5" s="191">
        <f>YEAR(Tabla14[[#This Row],[Inicio Operación]])</f>
        <v>2023</v>
      </c>
      <c r="P5" s="268">
        <v>45573</v>
      </c>
      <c r="Q5" s="27" t="s">
        <v>1344</v>
      </c>
    </row>
    <row r="6" spans="1:17">
      <c r="A6" s="190" t="s">
        <v>421</v>
      </c>
      <c r="B6" s="191" t="s">
        <v>522</v>
      </c>
      <c r="C6" s="191">
        <v>6044</v>
      </c>
      <c r="D6" s="191" t="s">
        <v>34</v>
      </c>
      <c r="E6" s="191" t="s">
        <v>13</v>
      </c>
      <c r="F6" s="191" t="s">
        <v>145</v>
      </c>
      <c r="G6" s="192" t="s">
        <v>493</v>
      </c>
      <c r="H6" s="192">
        <v>45003</v>
      </c>
      <c r="I6" s="191" t="s">
        <v>830</v>
      </c>
      <c r="J6" s="191" t="s">
        <v>841</v>
      </c>
      <c r="K6" s="191" t="s">
        <v>493</v>
      </c>
      <c r="L6" s="191" t="s">
        <v>45</v>
      </c>
      <c r="M6" s="191" t="str">
        <f>Tabla14[[#This Row],[TIPO BUS]]&amp;"-"&amp;Tabla14[[#This Row],[MARCA CHASIS]]</f>
        <v>B2-MERCEDES BENZ</v>
      </c>
      <c r="N6" s="191">
        <f>MONTH(Tabla14[[#This Row],[Inicio Operación]])</f>
        <v>3</v>
      </c>
      <c r="O6" s="191">
        <f>YEAR(Tabla14[[#This Row],[Inicio Operación]])</f>
        <v>2023</v>
      </c>
      <c r="P6" s="268">
        <v>45670</v>
      </c>
      <c r="Q6" s="27" t="s">
        <v>1345</v>
      </c>
    </row>
    <row r="7" spans="1:17">
      <c r="A7" s="291" t="s">
        <v>10</v>
      </c>
      <c r="B7" s="291" t="s">
        <v>157</v>
      </c>
      <c r="C7" s="291">
        <v>3003</v>
      </c>
      <c r="D7" s="291" t="s">
        <v>147</v>
      </c>
      <c r="E7" s="291" t="s">
        <v>25</v>
      </c>
      <c r="F7" s="291" t="s">
        <v>149</v>
      </c>
      <c r="G7" s="269" t="s">
        <v>130</v>
      </c>
      <c r="H7" s="269">
        <v>44933</v>
      </c>
      <c r="I7" s="292" t="s">
        <v>1341</v>
      </c>
      <c r="J7" s="292" t="s">
        <v>836</v>
      </c>
      <c r="K7" s="292" t="s">
        <v>130</v>
      </c>
      <c r="L7" s="292" t="s">
        <v>1346</v>
      </c>
      <c r="M7" s="191" t="str">
        <f>Tabla14[[#This Row],[TIPO BUS]]&amp;"-"&amp;Tabla14[[#This Row],[MARCA CHASIS]]</f>
        <v>BE-FOTON</v>
      </c>
      <c r="N7" s="292">
        <f>MONTH(Tabla14[[#This Row],[Inicio Operación]])</f>
        <v>1</v>
      </c>
      <c r="O7" s="292">
        <f>YEAR(Tabla14[[#This Row],[Inicio Operación]])</f>
        <v>2023</v>
      </c>
      <c r="P7" s="293">
        <v>45849</v>
      </c>
      <c r="Q7" s="27" t="s">
        <v>1344</v>
      </c>
    </row>
    <row r="8" spans="1:17">
      <c r="A8" s="291" t="s">
        <v>421</v>
      </c>
      <c r="B8" s="291" t="s">
        <v>442</v>
      </c>
      <c r="C8" s="291">
        <v>6006</v>
      </c>
      <c r="D8" s="291" t="s">
        <v>285</v>
      </c>
      <c r="E8" s="291" t="s">
        <v>13</v>
      </c>
      <c r="F8" s="291" t="s">
        <v>145</v>
      </c>
      <c r="G8" s="269" t="s">
        <v>423</v>
      </c>
      <c r="H8" s="269">
        <v>45003</v>
      </c>
      <c r="I8" s="292" t="s">
        <v>830</v>
      </c>
      <c r="J8" s="191" t="s">
        <v>839</v>
      </c>
      <c r="K8" s="191" t="s">
        <v>423</v>
      </c>
      <c r="L8" s="292" t="s">
        <v>1347</v>
      </c>
      <c r="M8" s="191" t="str">
        <f>Tabla14[[#This Row],[TIPO BUS]]&amp;"-"&amp;Tabla14[[#This Row],[MARCA CHASIS]]</f>
        <v>BPAL-MERCEDES BENZ</v>
      </c>
      <c r="N8" s="292">
        <f>MONTH(Tabla14[[#This Row],[Inicio Operación]])</f>
        <v>3</v>
      </c>
      <c r="O8" s="292">
        <f>YEAR(Tabla14[[#This Row],[Inicio Operación]])</f>
        <v>2023</v>
      </c>
      <c r="P8" s="293">
        <v>45888</v>
      </c>
      <c r="Q8" s="27" t="s">
        <v>1344</v>
      </c>
    </row>
    <row r="9" spans="1:17">
      <c r="A9" s="190" t="s">
        <v>10</v>
      </c>
      <c r="B9" s="191" t="s">
        <v>47</v>
      </c>
      <c r="C9" s="191">
        <v>2071</v>
      </c>
      <c r="D9" s="191" t="s">
        <v>34</v>
      </c>
      <c r="E9" s="191" t="s">
        <v>13</v>
      </c>
      <c r="F9" s="191" t="s">
        <v>36</v>
      </c>
      <c r="G9" s="192" t="s">
        <v>15</v>
      </c>
      <c r="H9" s="192">
        <v>44912</v>
      </c>
      <c r="I9" s="191" t="s">
        <v>830</v>
      </c>
      <c r="J9" s="191" t="s">
        <v>837</v>
      </c>
      <c r="K9" s="191" t="s">
        <v>130</v>
      </c>
      <c r="L9" s="191" t="s">
        <v>1348</v>
      </c>
      <c r="M9" s="191" t="str">
        <f>Tabla14[[#This Row],[TIPO BUS]]&amp;"-"&amp;Tabla14[[#This Row],[MARCA CHASIS]]</f>
        <v>B2-SCANIA</v>
      </c>
      <c r="N9" s="191">
        <f>MONTH(Tabla14[[#This Row],[Inicio Operación]])</f>
        <v>12</v>
      </c>
      <c r="O9" s="191">
        <f>YEAR(Tabla14[[#This Row],[Inicio Operación]])</f>
        <v>2022</v>
      </c>
      <c r="P9" s="192">
        <v>45930</v>
      </c>
      <c r="Q9" s="27" t="s">
        <v>1344</v>
      </c>
    </row>
    <row r="10" spans="1:17">
      <c r="A10" s="190" t="s">
        <v>421</v>
      </c>
      <c r="B10" s="191" t="s">
        <v>526</v>
      </c>
      <c r="C10" s="191">
        <v>7098</v>
      </c>
      <c r="D10" s="191" t="s">
        <v>147</v>
      </c>
      <c r="E10" s="191" t="s">
        <v>13</v>
      </c>
      <c r="F10" s="191" t="s">
        <v>149</v>
      </c>
      <c r="G10" s="192" t="s">
        <v>493</v>
      </c>
      <c r="H10" s="192">
        <v>45003</v>
      </c>
      <c r="I10" s="191" t="s">
        <v>1341</v>
      </c>
      <c r="J10" s="191" t="s">
        <v>841</v>
      </c>
      <c r="K10" s="191" t="s">
        <v>493</v>
      </c>
      <c r="L10" s="191" t="s">
        <v>1349</v>
      </c>
      <c r="M10" s="191" t="str">
        <f>Tabla14[[#This Row],[TIPO BUS]]&amp;"-"&amp;Tabla14[[#This Row],[MARCA CHASIS]]</f>
        <v>BE-FOTON</v>
      </c>
      <c r="N10" s="191">
        <f>MONTH(Tabla14[[#This Row],[Inicio Operación]])</f>
        <v>3</v>
      </c>
      <c r="O10" s="191">
        <f>YEAR(Tabla14[[#This Row],[Inicio Operación]])</f>
        <v>2023</v>
      </c>
      <c r="P10" s="192">
        <v>45930</v>
      </c>
      <c r="Q10" s="27" t="s">
        <v>1344</v>
      </c>
    </row>
    <row r="11" spans="1:17">
      <c r="A11" s="190" t="s">
        <v>421</v>
      </c>
      <c r="B11" s="191" t="s">
        <v>444</v>
      </c>
      <c r="C11" s="191">
        <v>6010</v>
      </c>
      <c r="D11" s="191" t="s">
        <v>285</v>
      </c>
      <c r="E11" s="191" t="s">
        <v>13</v>
      </c>
      <c r="F11" s="191" t="s">
        <v>145</v>
      </c>
      <c r="G11" s="192" t="s">
        <v>423</v>
      </c>
      <c r="H11" s="192">
        <v>45003</v>
      </c>
      <c r="I11" s="191" t="s">
        <v>830</v>
      </c>
      <c r="J11" s="191" t="s">
        <v>839</v>
      </c>
      <c r="K11" s="191" t="s">
        <v>423</v>
      </c>
      <c r="L11" s="191" t="s">
        <v>1350</v>
      </c>
      <c r="M11" s="191" t="str">
        <f>Tabla14[[#This Row],[TIPO BUS]]&amp;"-"&amp;Tabla14[[#This Row],[MARCA CHASIS]]</f>
        <v>BPAL-MERCEDES BENZ</v>
      </c>
      <c r="N11" s="191">
        <f>MONTH(Tabla14[[#This Row],[Inicio Operación]])</f>
        <v>3</v>
      </c>
      <c r="O11" s="191">
        <f>YEAR(Tabla14[[#This Row],[Inicio Operación]])</f>
        <v>2023</v>
      </c>
      <c r="P11" s="192">
        <v>46066</v>
      </c>
      <c r="Q11" s="191"/>
    </row>
  </sheetData>
  <pageMargins left="0.7" right="0.7" top="0.75" bottom="0.75" header="0.3" footer="0.3"/>
  <pageSetup paperSize="9" orientation="landscape" r:id="rId1"/>
  <ignoredErrors>
    <ignoredError sqref="M2" calculatedColumn="1"/>
  </ignoredErrors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2FC4-48D9-408A-90CA-E32E71D8DE44}">
  <sheetPr codeName="Hoja15"/>
  <dimension ref="A1:AA750"/>
  <sheetViews>
    <sheetView topLeftCell="F1" zoomScale="68" workbookViewId="0">
      <selection activeCell="N17" sqref="N17"/>
    </sheetView>
  </sheetViews>
  <sheetFormatPr baseColWidth="10" defaultColWidth="9.140625" defaultRowHeight="15"/>
  <cols>
    <col min="1" max="1" width="14" style="27" bestFit="1" customWidth="1"/>
    <col min="2" max="2" width="11.28515625" style="27" bestFit="1" customWidth="1"/>
    <col min="3" max="3" width="13.5703125" style="27" bestFit="1" customWidth="1"/>
    <col min="4" max="4" width="13.7109375" style="27" bestFit="1" customWidth="1"/>
    <col min="5" max="5" width="15.7109375" style="27" bestFit="1" customWidth="1"/>
    <col min="6" max="6" width="19" style="27" bestFit="1" customWidth="1"/>
    <col min="7" max="7" width="19" style="27" customWidth="1"/>
    <col min="8" max="8" width="23.85546875" style="27" bestFit="1" customWidth="1"/>
    <col min="9" max="9" width="20" style="27" bestFit="1" customWidth="1"/>
    <col min="10" max="10" width="12.5703125" style="27" bestFit="1" customWidth="1"/>
    <col min="11" max="11" width="20" style="27" customWidth="1"/>
    <col min="12" max="12" width="13.42578125" style="27" bestFit="1" customWidth="1"/>
    <col min="13" max="13" width="13.42578125" style="27" customWidth="1"/>
    <col min="14" max="14" width="19.5703125" style="27" bestFit="1" customWidth="1"/>
    <col min="15" max="16" width="9.140625" style="27"/>
    <col min="17" max="18" width="15.5703125" style="27" customWidth="1"/>
    <col min="19" max="26" width="15.5703125" style="58" customWidth="1"/>
    <col min="27" max="27" width="11.28515625" style="27" customWidth="1"/>
    <col min="28" max="16384" width="9.140625" style="27"/>
  </cols>
  <sheetData>
    <row r="1" spans="1:27" ht="30">
      <c r="A1" s="51" t="s">
        <v>0</v>
      </c>
      <c r="B1" s="51" t="s">
        <v>87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1351</v>
      </c>
      <c r="H1" s="51" t="s">
        <v>6</v>
      </c>
      <c r="I1" s="51" t="s">
        <v>7</v>
      </c>
      <c r="J1" s="51" t="s">
        <v>827</v>
      </c>
      <c r="K1" s="51" t="s">
        <v>1335</v>
      </c>
      <c r="L1" s="51" t="s">
        <v>865</v>
      </c>
      <c r="M1" s="53" t="s">
        <v>1336</v>
      </c>
      <c r="N1" s="53" t="s">
        <v>1352</v>
      </c>
      <c r="Q1" s="58" t="s">
        <v>7</v>
      </c>
      <c r="R1" s="58" t="s">
        <v>865</v>
      </c>
      <c r="S1" s="58" t="s">
        <v>1353</v>
      </c>
      <c r="T1" s="58" t="s">
        <v>1354</v>
      </c>
      <c r="U1" s="58" t="s">
        <v>1355</v>
      </c>
      <c r="V1" s="58" t="s">
        <v>1356</v>
      </c>
      <c r="W1" s="58" t="s">
        <v>1357</v>
      </c>
      <c r="X1" s="58" t="s">
        <v>1358</v>
      </c>
      <c r="Y1" s="58" t="s">
        <v>1359</v>
      </c>
      <c r="Z1" s="58" t="s">
        <v>1360</v>
      </c>
      <c r="AA1" s="58" t="s">
        <v>1361</v>
      </c>
    </row>
    <row r="2" spans="1:27">
      <c r="A2" s="27" t="s">
        <v>10</v>
      </c>
      <c r="B2" s="27" t="s">
        <v>256</v>
      </c>
      <c r="C2" s="27">
        <v>2095</v>
      </c>
      <c r="D2" s="27" t="s">
        <v>34</v>
      </c>
      <c r="E2" s="27" t="s">
        <v>13</v>
      </c>
      <c r="F2" s="27" t="s">
        <v>145</v>
      </c>
      <c r="G2" s="27" t="str">
        <f>_xlfn.CONCAT(inicioTerminales[[#This Row],[MARCA CHASIS]],"-", inicioTerminales[[#This Row],[TIPO BUS]])</f>
        <v>MERCEDES BENZ-B2</v>
      </c>
      <c r="H2" s="27" t="s">
        <v>15</v>
      </c>
      <c r="I2" s="52">
        <v>44933</v>
      </c>
      <c r="J2" s="27" t="s">
        <v>830</v>
      </c>
      <c r="K2" s="27" t="s">
        <v>837</v>
      </c>
      <c r="L2" s="27" t="s">
        <v>845</v>
      </c>
      <c r="M2" s="27" t="s">
        <v>130</v>
      </c>
      <c r="N2" s="27" t="str">
        <f>inicioTerminales[[#This Row],[TIPO BUS]]&amp;"-"&amp;inicioTerminales[[#This Row],[MARCA CHASIS]]</f>
        <v>B2-MERCEDES BENZ</v>
      </c>
      <c r="Q2" s="54">
        <v>44912</v>
      </c>
      <c r="R2" s="55" t="s">
        <v>15</v>
      </c>
      <c r="S2" s="59">
        <f t="shared" ref="S2:AA10" si="0">COUNTIFS($I:$I,$Q2,$G:$G,S$1)</f>
        <v>22</v>
      </c>
      <c r="T2" s="59">
        <f t="shared" si="0"/>
        <v>0</v>
      </c>
      <c r="U2" s="59">
        <f t="shared" si="0"/>
        <v>0</v>
      </c>
      <c r="V2" s="59">
        <f t="shared" si="0"/>
        <v>0</v>
      </c>
      <c r="W2" s="59">
        <f t="shared" si="0"/>
        <v>0</v>
      </c>
      <c r="X2" s="59">
        <f t="shared" si="0"/>
        <v>13</v>
      </c>
      <c r="Y2" s="59">
        <f t="shared" si="0"/>
        <v>0</v>
      </c>
      <c r="Z2" s="59">
        <f t="shared" si="0"/>
        <v>0</v>
      </c>
      <c r="AA2" s="59">
        <f t="shared" si="0"/>
        <v>0</v>
      </c>
    </row>
    <row r="3" spans="1:27">
      <c r="A3" s="27" t="s">
        <v>10</v>
      </c>
      <c r="B3" s="27" t="s">
        <v>257</v>
      </c>
      <c r="C3" s="27">
        <v>2096</v>
      </c>
      <c r="D3" s="27" t="s">
        <v>34</v>
      </c>
      <c r="E3" s="27" t="s">
        <v>13</v>
      </c>
      <c r="F3" s="27" t="s">
        <v>145</v>
      </c>
      <c r="G3" s="27" t="str">
        <f>_xlfn.CONCAT(inicioTerminales[[#This Row],[MARCA CHASIS]]," - ", inicioTerminales[[#This Row],[TIPO BUS]])</f>
        <v>MERCEDES BENZ - B2</v>
      </c>
      <c r="H3" s="27" t="s">
        <v>15</v>
      </c>
      <c r="I3" s="52">
        <v>44933</v>
      </c>
      <c r="J3" s="27" t="s">
        <v>830</v>
      </c>
      <c r="K3" s="27" t="s">
        <v>837</v>
      </c>
      <c r="L3" s="27" t="s">
        <v>845</v>
      </c>
      <c r="M3" s="27" t="s">
        <v>130</v>
      </c>
      <c r="N3" s="27" t="str">
        <f>inicioTerminales[[#This Row],[TIPO BUS]]&amp;"-"&amp;inicioTerminales[[#This Row],[MARCA CHASIS]]</f>
        <v>B2-MERCEDES BENZ</v>
      </c>
      <c r="Q3" s="54">
        <v>44928</v>
      </c>
      <c r="R3" s="55" t="s">
        <v>896</v>
      </c>
      <c r="S3" s="59">
        <f t="shared" si="0"/>
        <v>8</v>
      </c>
      <c r="T3" s="59">
        <f t="shared" si="0"/>
        <v>0</v>
      </c>
      <c r="U3" s="59">
        <f t="shared" si="0"/>
        <v>0</v>
      </c>
      <c r="V3" s="59">
        <f t="shared" si="0"/>
        <v>0</v>
      </c>
      <c r="W3" s="59">
        <f t="shared" si="0"/>
        <v>0</v>
      </c>
      <c r="X3" s="59">
        <f t="shared" si="0"/>
        <v>0</v>
      </c>
      <c r="Y3" s="59">
        <f t="shared" si="0"/>
        <v>0</v>
      </c>
      <c r="Z3" s="59">
        <f t="shared" si="0"/>
        <v>42</v>
      </c>
      <c r="AA3" s="59">
        <f t="shared" si="0"/>
        <v>0</v>
      </c>
    </row>
    <row r="4" spans="1:27">
      <c r="A4" s="27" t="s">
        <v>10</v>
      </c>
      <c r="B4" s="27" t="s">
        <v>373</v>
      </c>
      <c r="C4" s="27">
        <v>2097</v>
      </c>
      <c r="D4" s="27" t="s">
        <v>34</v>
      </c>
      <c r="E4" s="27" t="s">
        <v>13</v>
      </c>
      <c r="F4" s="27" t="s">
        <v>145</v>
      </c>
      <c r="G4" s="27" t="str">
        <f>_xlfn.CONCAT(inicioTerminales[[#This Row],[MARCA CHASIS]]," - ", inicioTerminales[[#This Row],[TIPO BUS]])</f>
        <v>MERCEDES BENZ - B2</v>
      </c>
      <c r="H4" s="27" t="s">
        <v>15</v>
      </c>
      <c r="I4" s="52">
        <v>44933</v>
      </c>
      <c r="J4" s="27" t="s">
        <v>830</v>
      </c>
      <c r="K4" s="27" t="s">
        <v>837</v>
      </c>
      <c r="L4" s="27" t="s">
        <v>845</v>
      </c>
      <c r="M4" s="27" t="s">
        <v>130</v>
      </c>
      <c r="N4" s="27" t="str">
        <f>inicioTerminales[[#This Row],[TIPO BUS]]&amp;"-"&amp;inicioTerminales[[#This Row],[MARCA CHASIS]]</f>
        <v>B2-MERCEDES BENZ</v>
      </c>
      <c r="Q4" s="54">
        <v>44933</v>
      </c>
      <c r="R4" s="55" t="s">
        <v>130</v>
      </c>
      <c r="S4" s="59">
        <f t="shared" si="0"/>
        <v>8</v>
      </c>
      <c r="T4" s="59">
        <f t="shared" si="0"/>
        <v>42</v>
      </c>
      <c r="U4" s="59">
        <f t="shared" si="0"/>
        <v>33</v>
      </c>
      <c r="V4" s="59">
        <f t="shared" si="0"/>
        <v>24</v>
      </c>
      <c r="W4" s="59">
        <f t="shared" si="0"/>
        <v>0</v>
      </c>
      <c r="X4" s="59">
        <f t="shared" si="0"/>
        <v>8</v>
      </c>
      <c r="Y4" s="59">
        <f t="shared" si="0"/>
        <v>0</v>
      </c>
      <c r="Z4" s="59">
        <f t="shared" si="0"/>
        <v>3</v>
      </c>
      <c r="AA4" s="59">
        <f t="shared" si="0"/>
        <v>0</v>
      </c>
    </row>
    <row r="5" spans="1:27">
      <c r="A5" s="27" t="s">
        <v>10</v>
      </c>
      <c r="B5" s="27" t="s">
        <v>374</v>
      </c>
      <c r="C5" s="27">
        <v>2098</v>
      </c>
      <c r="D5" s="27" t="s">
        <v>34</v>
      </c>
      <c r="E5" s="27" t="s">
        <v>13</v>
      </c>
      <c r="F5" s="27" t="s">
        <v>145</v>
      </c>
      <c r="G5" s="27" t="str">
        <f>_xlfn.CONCAT(inicioTerminales[[#This Row],[MARCA CHASIS]]," - ", inicioTerminales[[#This Row],[TIPO BUS]])</f>
        <v>MERCEDES BENZ - B2</v>
      </c>
      <c r="H5" s="27" t="s">
        <v>15</v>
      </c>
      <c r="I5" s="52">
        <v>44933</v>
      </c>
      <c r="J5" s="27" t="s">
        <v>830</v>
      </c>
      <c r="K5" s="27" t="s">
        <v>837</v>
      </c>
      <c r="L5" s="27" t="s">
        <v>845</v>
      </c>
      <c r="M5" s="27" t="s">
        <v>130</v>
      </c>
      <c r="N5" s="27" t="str">
        <f>inicioTerminales[[#This Row],[TIPO BUS]]&amp;"-"&amp;inicioTerminales[[#This Row],[MARCA CHASIS]]</f>
        <v>B2-MERCEDES BENZ</v>
      </c>
      <c r="Q5" s="54">
        <v>44982</v>
      </c>
      <c r="R5" s="55" t="s">
        <v>423</v>
      </c>
      <c r="S5" s="59">
        <f t="shared" si="0"/>
        <v>0</v>
      </c>
      <c r="T5" s="59">
        <f t="shared" si="0"/>
        <v>0</v>
      </c>
      <c r="U5" s="59">
        <f t="shared" si="0"/>
        <v>0</v>
      </c>
      <c r="V5" s="59">
        <f t="shared" si="0"/>
        <v>0</v>
      </c>
      <c r="W5" s="59">
        <f t="shared" si="0"/>
        <v>0</v>
      </c>
      <c r="X5" s="59">
        <f t="shared" si="0"/>
        <v>6</v>
      </c>
      <c r="Y5" s="59">
        <f t="shared" si="0"/>
        <v>67</v>
      </c>
      <c r="Z5" s="59">
        <f t="shared" si="0"/>
        <v>0</v>
      </c>
      <c r="AA5" s="59">
        <f t="shared" si="0"/>
        <v>0</v>
      </c>
    </row>
    <row r="6" spans="1:27">
      <c r="A6" s="27" t="s">
        <v>10</v>
      </c>
      <c r="B6" s="27" t="s">
        <v>375</v>
      </c>
      <c r="C6" s="27">
        <v>2099</v>
      </c>
      <c r="D6" s="27" t="s">
        <v>34</v>
      </c>
      <c r="E6" s="27" t="s">
        <v>13</v>
      </c>
      <c r="F6" s="27" t="s">
        <v>145</v>
      </c>
      <c r="G6" s="27" t="str">
        <f>_xlfn.CONCAT(inicioTerminales[[#This Row],[MARCA CHASIS]]," - ", inicioTerminales[[#This Row],[TIPO BUS]])</f>
        <v>MERCEDES BENZ - B2</v>
      </c>
      <c r="H6" s="27" t="s">
        <v>15</v>
      </c>
      <c r="I6" s="52">
        <v>44933</v>
      </c>
      <c r="J6" s="27" t="s">
        <v>830</v>
      </c>
      <c r="K6" s="27" t="s">
        <v>837</v>
      </c>
      <c r="L6" s="27" t="s">
        <v>845</v>
      </c>
      <c r="M6" s="27" t="s">
        <v>130</v>
      </c>
      <c r="N6" s="27" t="str">
        <f>inicioTerminales[[#This Row],[TIPO BUS]]&amp;"-"&amp;inicioTerminales[[#This Row],[MARCA CHASIS]]</f>
        <v>B2-MERCEDES BENZ</v>
      </c>
      <c r="Q6" s="54">
        <v>44991</v>
      </c>
      <c r="R6" s="55" t="s">
        <v>130</v>
      </c>
      <c r="S6" s="59">
        <f t="shared" si="0"/>
        <v>0</v>
      </c>
      <c r="T6" s="59">
        <f t="shared" si="0"/>
        <v>10</v>
      </c>
      <c r="U6" s="59">
        <f t="shared" si="0"/>
        <v>0</v>
      </c>
      <c r="V6" s="59">
        <f t="shared" si="0"/>
        <v>0</v>
      </c>
      <c r="W6" s="59">
        <f t="shared" si="0"/>
        <v>0</v>
      </c>
      <c r="X6" s="59">
        <f t="shared" si="0"/>
        <v>0</v>
      </c>
      <c r="Y6" s="59">
        <f t="shared" si="0"/>
        <v>0</v>
      </c>
      <c r="Z6" s="59">
        <f t="shared" si="0"/>
        <v>0</v>
      </c>
      <c r="AA6" s="59">
        <f t="shared" si="0"/>
        <v>0</v>
      </c>
    </row>
    <row r="7" spans="1:27">
      <c r="A7" s="27" t="s">
        <v>10</v>
      </c>
      <c r="B7" s="27" t="s">
        <v>376</v>
      </c>
      <c r="C7" s="27">
        <v>2100</v>
      </c>
      <c r="D7" s="27" t="s">
        <v>34</v>
      </c>
      <c r="E7" s="27" t="s">
        <v>13</v>
      </c>
      <c r="F7" s="27" t="s">
        <v>145</v>
      </c>
      <c r="G7" s="27" t="str">
        <f>_xlfn.CONCAT(inicioTerminales[[#This Row],[MARCA CHASIS]]," - ", inicioTerminales[[#This Row],[TIPO BUS]])</f>
        <v>MERCEDES BENZ - B2</v>
      </c>
      <c r="H7" s="27" t="s">
        <v>15</v>
      </c>
      <c r="I7" s="52">
        <v>44933</v>
      </c>
      <c r="J7" s="27" t="s">
        <v>830</v>
      </c>
      <c r="K7" s="27" t="s">
        <v>837</v>
      </c>
      <c r="L7" s="27" t="s">
        <v>845</v>
      </c>
      <c r="M7" s="27" t="s">
        <v>130</v>
      </c>
      <c r="N7" s="27" t="str">
        <f>inicioTerminales[[#This Row],[TIPO BUS]]&amp;"-"&amp;inicioTerminales[[#This Row],[MARCA CHASIS]]</f>
        <v>B2-MERCEDES BENZ</v>
      </c>
      <c r="Q7" s="54">
        <v>45003</v>
      </c>
      <c r="R7" s="55" t="s">
        <v>493</v>
      </c>
      <c r="S7" s="59">
        <f t="shared" si="0"/>
        <v>0</v>
      </c>
      <c r="T7" s="59">
        <f t="shared" si="0"/>
        <v>96</v>
      </c>
      <c r="U7" s="59">
        <f t="shared" si="0"/>
        <v>28</v>
      </c>
      <c r="V7" s="59">
        <f t="shared" si="0"/>
        <v>0</v>
      </c>
      <c r="W7" s="59">
        <f t="shared" si="0"/>
        <v>16</v>
      </c>
      <c r="X7" s="59">
        <f t="shared" si="0"/>
        <v>17</v>
      </c>
      <c r="Y7" s="59">
        <f t="shared" si="0"/>
        <v>3</v>
      </c>
      <c r="Z7" s="59">
        <f t="shared" si="0"/>
        <v>0</v>
      </c>
      <c r="AA7" s="59">
        <f t="shared" si="0"/>
        <v>0</v>
      </c>
    </row>
    <row r="8" spans="1:27">
      <c r="A8" s="27" t="s">
        <v>10</v>
      </c>
      <c r="B8" s="27" t="s">
        <v>377</v>
      </c>
      <c r="C8" s="27">
        <v>2101</v>
      </c>
      <c r="D8" s="27" t="s">
        <v>34</v>
      </c>
      <c r="E8" s="27" t="s">
        <v>13</v>
      </c>
      <c r="F8" s="27" t="s">
        <v>145</v>
      </c>
      <c r="G8" s="27" t="str">
        <f>_xlfn.CONCAT(inicioTerminales[[#This Row],[MARCA CHASIS]]," - ", inicioTerminales[[#This Row],[TIPO BUS]])</f>
        <v>MERCEDES BENZ - B2</v>
      </c>
      <c r="H8" s="27" t="s">
        <v>15</v>
      </c>
      <c r="I8" s="52">
        <v>44933</v>
      </c>
      <c r="J8" s="27" t="s">
        <v>830</v>
      </c>
      <c r="K8" s="27" t="s">
        <v>837</v>
      </c>
      <c r="L8" s="27" t="s">
        <v>845</v>
      </c>
      <c r="M8" s="27" t="s">
        <v>130</v>
      </c>
      <c r="N8" s="27" t="str">
        <f>inicioTerminales[[#This Row],[TIPO BUS]]&amp;"-"&amp;inicioTerminales[[#This Row],[MARCA CHASIS]]</f>
        <v>B2-MERCEDES BENZ</v>
      </c>
      <c r="Q8" s="56">
        <v>45007</v>
      </c>
      <c r="R8" s="57" t="s">
        <v>130</v>
      </c>
      <c r="S8" s="59">
        <f t="shared" si="0"/>
        <v>0</v>
      </c>
      <c r="T8" s="59">
        <f t="shared" si="0"/>
        <v>0</v>
      </c>
      <c r="U8" s="59">
        <f t="shared" si="0"/>
        <v>0</v>
      </c>
      <c r="V8" s="59">
        <f t="shared" si="0"/>
        <v>0</v>
      </c>
      <c r="W8" s="59">
        <f t="shared" si="0"/>
        <v>0</v>
      </c>
      <c r="X8" s="59">
        <f t="shared" si="0"/>
        <v>0</v>
      </c>
      <c r="Y8" s="59">
        <f t="shared" si="0"/>
        <v>0</v>
      </c>
      <c r="Z8" s="59">
        <f t="shared" si="0"/>
        <v>0</v>
      </c>
      <c r="AA8" s="59">
        <f t="shared" si="0"/>
        <v>0</v>
      </c>
    </row>
    <row r="9" spans="1:27">
      <c r="A9" s="27" t="s">
        <v>10</v>
      </c>
      <c r="B9" s="27" t="s">
        <v>378</v>
      </c>
      <c r="C9" s="27">
        <v>2102</v>
      </c>
      <c r="D9" s="27" t="s">
        <v>34</v>
      </c>
      <c r="E9" s="27" t="s">
        <v>13</v>
      </c>
      <c r="F9" s="27" t="s">
        <v>145</v>
      </c>
      <c r="G9" s="27" t="str">
        <f>_xlfn.CONCAT(inicioTerminales[[#This Row],[MARCA CHASIS]]," - ", inicioTerminales[[#This Row],[TIPO BUS]])</f>
        <v>MERCEDES BENZ - B2</v>
      </c>
      <c r="H9" s="27" t="s">
        <v>15</v>
      </c>
      <c r="I9" s="52">
        <v>44933</v>
      </c>
      <c r="J9" s="27" t="s">
        <v>830</v>
      </c>
      <c r="K9" s="27" t="s">
        <v>837</v>
      </c>
      <c r="L9" s="27" t="s">
        <v>845</v>
      </c>
      <c r="M9" s="27" t="s">
        <v>130</v>
      </c>
      <c r="N9" s="27" t="str">
        <f>inicioTerminales[[#This Row],[TIPO BUS]]&amp;"-"&amp;inicioTerminales[[#This Row],[MARCA CHASIS]]</f>
        <v>B2-MERCEDES BENZ</v>
      </c>
      <c r="Q9" s="54">
        <v>45024</v>
      </c>
      <c r="R9" s="55" t="s">
        <v>674</v>
      </c>
      <c r="S9" s="59">
        <f t="shared" si="0"/>
        <v>0</v>
      </c>
      <c r="T9" s="59">
        <f t="shared" si="0"/>
        <v>70</v>
      </c>
      <c r="U9" s="59">
        <f t="shared" si="0"/>
        <v>35</v>
      </c>
      <c r="V9" s="59">
        <f t="shared" si="0"/>
        <v>0</v>
      </c>
      <c r="W9" s="59">
        <f t="shared" si="0"/>
        <v>27</v>
      </c>
      <c r="X9" s="59">
        <f t="shared" si="0"/>
        <v>0</v>
      </c>
      <c r="Y9" s="59">
        <f t="shared" si="0"/>
        <v>0</v>
      </c>
      <c r="Z9" s="59">
        <f t="shared" si="0"/>
        <v>0</v>
      </c>
      <c r="AA9" s="59">
        <f t="shared" si="0"/>
        <v>25</v>
      </c>
    </row>
    <row r="10" spans="1:27">
      <c r="A10" s="27" t="s">
        <v>10</v>
      </c>
      <c r="B10" s="27" t="s">
        <v>379</v>
      </c>
      <c r="C10" s="27">
        <v>2103</v>
      </c>
      <c r="D10" s="27" t="s">
        <v>34</v>
      </c>
      <c r="E10" s="27" t="s">
        <v>25</v>
      </c>
      <c r="F10" s="27" t="s">
        <v>145</v>
      </c>
      <c r="G10" s="27" t="str">
        <f>_xlfn.CONCAT(inicioTerminales[[#This Row],[MARCA CHASIS]]," - ", inicioTerminales[[#This Row],[TIPO BUS]])</f>
        <v>MERCEDES BENZ - B2</v>
      </c>
      <c r="H10" s="27" t="s">
        <v>15</v>
      </c>
      <c r="I10" s="52">
        <v>44933</v>
      </c>
      <c r="J10" s="27" t="s">
        <v>830</v>
      </c>
      <c r="K10" s="27" t="s">
        <v>837</v>
      </c>
      <c r="L10" s="27" t="s">
        <v>845</v>
      </c>
      <c r="M10" s="27" t="s">
        <v>130</v>
      </c>
      <c r="N10" s="27" t="str">
        <f>inicioTerminales[[#This Row],[TIPO BUS]]&amp;"-"&amp;inicioTerminales[[#This Row],[MARCA CHASIS]]</f>
        <v>B2-MERCEDES BENZ</v>
      </c>
      <c r="Q10" s="54">
        <v>45038</v>
      </c>
      <c r="R10" s="55" t="s">
        <v>897</v>
      </c>
      <c r="S10" s="59">
        <f t="shared" si="0"/>
        <v>0</v>
      </c>
      <c r="T10" s="59">
        <f t="shared" si="0"/>
        <v>25</v>
      </c>
      <c r="U10" s="59">
        <f t="shared" si="0"/>
        <v>0</v>
      </c>
      <c r="V10" s="59">
        <f t="shared" si="0"/>
        <v>0</v>
      </c>
      <c r="W10" s="59">
        <f t="shared" si="0"/>
        <v>26</v>
      </c>
      <c r="X10" s="59">
        <f t="shared" si="0"/>
        <v>16</v>
      </c>
      <c r="Y10" s="59">
        <f t="shared" si="0"/>
        <v>0</v>
      </c>
      <c r="Z10" s="59">
        <f t="shared" si="0"/>
        <v>0</v>
      </c>
      <c r="AA10" s="59">
        <f t="shared" si="0"/>
        <v>0</v>
      </c>
    </row>
    <row r="11" spans="1:27">
      <c r="A11" s="27" t="s">
        <v>10</v>
      </c>
      <c r="B11" s="27" t="s">
        <v>380</v>
      </c>
      <c r="C11" s="27">
        <v>2104</v>
      </c>
      <c r="D11" s="27" t="s">
        <v>34</v>
      </c>
      <c r="E11" s="27" t="s">
        <v>13</v>
      </c>
      <c r="F11" s="27" t="s">
        <v>145</v>
      </c>
      <c r="G11" s="27" t="str">
        <f>_xlfn.CONCAT(inicioTerminales[[#This Row],[MARCA CHASIS]]," - ", inicioTerminales[[#This Row],[TIPO BUS]])</f>
        <v>MERCEDES BENZ - B2</v>
      </c>
      <c r="H11" s="27" t="s">
        <v>15</v>
      </c>
      <c r="I11" s="52">
        <v>44933</v>
      </c>
      <c r="J11" s="27" t="s">
        <v>830</v>
      </c>
      <c r="K11" s="27" t="s">
        <v>837</v>
      </c>
      <c r="L11" s="27" t="s">
        <v>845</v>
      </c>
      <c r="M11" s="27" t="s">
        <v>130</v>
      </c>
      <c r="N11" s="27" t="str">
        <f>inicioTerminales[[#This Row],[TIPO BUS]]&amp;"-"&amp;inicioTerminales[[#This Row],[MARCA CHASIS]]</f>
        <v>B2-MERCEDES BENZ</v>
      </c>
    </row>
    <row r="12" spans="1:27">
      <c r="A12" s="27" t="s">
        <v>10</v>
      </c>
      <c r="B12" s="27" t="s">
        <v>381</v>
      </c>
      <c r="C12" s="27">
        <v>2105</v>
      </c>
      <c r="D12" s="27" t="s">
        <v>34</v>
      </c>
      <c r="E12" s="27" t="s">
        <v>13</v>
      </c>
      <c r="F12" s="27" t="s">
        <v>145</v>
      </c>
      <c r="G12" s="27" t="str">
        <f>_xlfn.CONCAT(inicioTerminales[[#This Row],[MARCA CHASIS]]," - ", inicioTerminales[[#This Row],[TIPO BUS]])</f>
        <v>MERCEDES BENZ - B2</v>
      </c>
      <c r="H12" s="27" t="s">
        <v>15</v>
      </c>
      <c r="I12" s="52">
        <v>44933</v>
      </c>
      <c r="J12" s="27" t="s">
        <v>830</v>
      </c>
      <c r="K12" s="27" t="s">
        <v>837</v>
      </c>
      <c r="L12" s="27" t="s">
        <v>845</v>
      </c>
      <c r="M12" s="27" t="s">
        <v>130</v>
      </c>
      <c r="N12" s="27" t="str">
        <f>inicioTerminales[[#This Row],[TIPO BUS]]&amp;"-"&amp;inicioTerminales[[#This Row],[MARCA CHASIS]]</f>
        <v>B2-MERCEDES BENZ</v>
      </c>
    </row>
    <row r="13" spans="1:27">
      <c r="A13" s="27" t="s">
        <v>10</v>
      </c>
      <c r="B13" s="27" t="s">
        <v>382</v>
      </c>
      <c r="C13" s="27">
        <v>2106</v>
      </c>
      <c r="D13" s="27" t="s">
        <v>34</v>
      </c>
      <c r="E13" s="27" t="s">
        <v>13</v>
      </c>
      <c r="F13" s="27" t="s">
        <v>145</v>
      </c>
      <c r="G13" s="27" t="str">
        <f>_xlfn.CONCAT(inicioTerminales[[#This Row],[MARCA CHASIS]]," - ", inicioTerminales[[#This Row],[TIPO BUS]])</f>
        <v>MERCEDES BENZ - B2</v>
      </c>
      <c r="H13" s="27" t="s">
        <v>15</v>
      </c>
      <c r="I13" s="52">
        <v>44933</v>
      </c>
      <c r="J13" s="27" t="s">
        <v>830</v>
      </c>
      <c r="K13" s="27" t="s">
        <v>837</v>
      </c>
      <c r="L13" s="27" t="s">
        <v>845</v>
      </c>
      <c r="M13" s="27" t="s">
        <v>130</v>
      </c>
      <c r="N13" s="27" t="str">
        <f>inicioTerminales[[#This Row],[TIPO BUS]]&amp;"-"&amp;inicioTerminales[[#This Row],[MARCA CHASIS]]</f>
        <v>B2-MERCEDES BENZ</v>
      </c>
      <c r="S13" s="2" t="s">
        <v>830</v>
      </c>
      <c r="T13" s="7" t="s">
        <v>1341</v>
      </c>
    </row>
    <row r="14" spans="1:27">
      <c r="A14" s="27" t="s">
        <v>10</v>
      </c>
      <c r="B14" s="27" t="s">
        <v>383</v>
      </c>
      <c r="C14" s="27">
        <v>2107</v>
      </c>
      <c r="D14" s="27" t="s">
        <v>34</v>
      </c>
      <c r="E14" s="27" t="s">
        <v>13</v>
      </c>
      <c r="F14" s="27" t="s">
        <v>145</v>
      </c>
      <c r="G14" s="27" t="str">
        <f>_xlfn.CONCAT(inicioTerminales[[#This Row],[MARCA CHASIS]]," - ", inicioTerminales[[#This Row],[TIPO BUS]])</f>
        <v>MERCEDES BENZ - B2</v>
      </c>
      <c r="H14" s="27" t="s">
        <v>15</v>
      </c>
      <c r="I14" s="52">
        <v>44933</v>
      </c>
      <c r="J14" s="27" t="s">
        <v>830</v>
      </c>
      <c r="K14" s="27" t="s">
        <v>837</v>
      </c>
      <c r="L14" s="27" t="s">
        <v>845</v>
      </c>
      <c r="M14" s="27" t="s">
        <v>130</v>
      </c>
      <c r="N14" s="27" t="str">
        <f>inicioTerminales[[#This Row],[TIPO BUS]]&amp;"-"&amp;inicioTerminales[[#This Row],[MARCA CHASIS]]</f>
        <v>B2-MERCEDES BENZ</v>
      </c>
      <c r="Q14" s="27" t="s">
        <v>10</v>
      </c>
      <c r="R14" s="2" t="s">
        <v>880</v>
      </c>
      <c r="S14" s="60">
        <f>COUNTIFS($J:$J,S$13,$A:$A,$Q14)</f>
        <v>155</v>
      </c>
      <c r="T14" s="42">
        <f>COUNTIFS($J:$J,T$13,$A:$A,$Q14)</f>
        <v>210</v>
      </c>
    </row>
    <row r="15" spans="1:27">
      <c r="A15" s="27" t="s">
        <v>10</v>
      </c>
      <c r="B15" s="27" t="s">
        <v>384</v>
      </c>
      <c r="C15" s="27">
        <v>2108</v>
      </c>
      <c r="D15" s="27" t="s">
        <v>34</v>
      </c>
      <c r="E15" s="27" t="s">
        <v>13</v>
      </c>
      <c r="F15" s="27" t="s">
        <v>145</v>
      </c>
      <c r="G15" s="27" t="str">
        <f>_xlfn.CONCAT(inicioTerminales[[#This Row],[MARCA CHASIS]]," - ", inicioTerminales[[#This Row],[TIPO BUS]])</f>
        <v>MERCEDES BENZ - B2</v>
      </c>
      <c r="H15" s="27" t="s">
        <v>15</v>
      </c>
      <c r="I15" s="52">
        <v>44933</v>
      </c>
      <c r="J15" s="27" t="s">
        <v>830</v>
      </c>
      <c r="K15" s="27" t="s">
        <v>837</v>
      </c>
      <c r="L15" s="27" t="s">
        <v>845</v>
      </c>
      <c r="M15" s="27" t="s">
        <v>130</v>
      </c>
      <c r="N15" s="27" t="str">
        <f>inicioTerminales[[#This Row],[TIPO BUS]]&amp;"-"&amp;inicioTerminales[[#This Row],[MARCA CHASIS]]</f>
        <v>B2-MERCEDES BENZ</v>
      </c>
      <c r="Q15" s="27" t="s">
        <v>421</v>
      </c>
      <c r="R15" s="2" t="s">
        <v>891</v>
      </c>
      <c r="S15" s="61">
        <f>COUNTIFS($J:$J,S$13,$A:$A,$Q15)</f>
        <v>124</v>
      </c>
      <c r="T15" s="42">
        <f>COUNTIFS($J:$J,T$13,$A:$A,$Q15)</f>
        <v>260</v>
      </c>
    </row>
    <row r="16" spans="1:27">
      <c r="A16" s="27" t="s">
        <v>10</v>
      </c>
      <c r="B16" s="27" t="s">
        <v>385</v>
      </c>
      <c r="C16" s="27">
        <v>2109</v>
      </c>
      <c r="D16" s="27" t="s">
        <v>34</v>
      </c>
      <c r="E16" s="27" t="s">
        <v>13</v>
      </c>
      <c r="F16" s="27" t="s">
        <v>145</v>
      </c>
      <c r="G16" s="27" t="str">
        <f>_xlfn.CONCAT(inicioTerminales[[#This Row],[MARCA CHASIS]]," - ", inicioTerminales[[#This Row],[TIPO BUS]])</f>
        <v>MERCEDES BENZ - B2</v>
      </c>
      <c r="H16" s="27" t="s">
        <v>15</v>
      </c>
      <c r="I16" s="52">
        <v>44933</v>
      </c>
      <c r="J16" s="27" t="s">
        <v>830</v>
      </c>
      <c r="K16" s="27" t="s">
        <v>837</v>
      </c>
      <c r="L16" s="27" t="s">
        <v>845</v>
      </c>
      <c r="M16" s="27" t="s">
        <v>130</v>
      </c>
      <c r="N16" s="27" t="str">
        <f>inicioTerminales[[#This Row],[TIPO BUS]]&amp;"-"&amp;inicioTerminales[[#This Row],[MARCA CHASIS]]</f>
        <v>B2-MERCEDES BENZ</v>
      </c>
    </row>
    <row r="17" spans="1:21">
      <c r="A17" s="27" t="s">
        <v>10</v>
      </c>
      <c r="B17" s="27" t="s">
        <v>386</v>
      </c>
      <c r="C17" s="27">
        <v>2110</v>
      </c>
      <c r="D17" s="27" t="s">
        <v>34</v>
      </c>
      <c r="E17" s="27" t="s">
        <v>13</v>
      </c>
      <c r="F17" s="27" t="s">
        <v>145</v>
      </c>
      <c r="G17" s="27" t="str">
        <f>_xlfn.CONCAT(inicioTerminales[[#This Row],[MARCA CHASIS]]," - ", inicioTerminales[[#This Row],[TIPO BUS]])</f>
        <v>MERCEDES BENZ - B2</v>
      </c>
      <c r="H17" s="27" t="s">
        <v>15</v>
      </c>
      <c r="I17" s="52">
        <v>44933</v>
      </c>
      <c r="J17" s="27" t="s">
        <v>830</v>
      </c>
      <c r="K17" s="27" t="s">
        <v>837</v>
      </c>
      <c r="L17" s="27" t="s">
        <v>845</v>
      </c>
      <c r="M17" s="27" t="s">
        <v>130</v>
      </c>
      <c r="N17" s="27" t="str">
        <f>inicioTerminales[[#This Row],[TIPO BUS]]&amp;"-"&amp;inicioTerminales[[#This Row],[MARCA CHASIS]]</f>
        <v>B2-MERCEDES BENZ</v>
      </c>
    </row>
    <row r="18" spans="1:21">
      <c r="A18" s="27" t="s">
        <v>10</v>
      </c>
      <c r="B18" s="27" t="s">
        <v>400</v>
      </c>
      <c r="C18" s="27">
        <v>2112</v>
      </c>
      <c r="D18" s="27" t="s">
        <v>34</v>
      </c>
      <c r="E18" s="27" t="s">
        <v>13</v>
      </c>
      <c r="F18" s="27" t="s">
        <v>145</v>
      </c>
      <c r="G18" s="27" t="str">
        <f>_xlfn.CONCAT(inicioTerminales[[#This Row],[MARCA CHASIS]]," - ", inicioTerminales[[#This Row],[TIPO BUS]])</f>
        <v>MERCEDES BENZ - B2</v>
      </c>
      <c r="H18" s="27" t="s">
        <v>15</v>
      </c>
      <c r="I18" s="52">
        <v>44933</v>
      </c>
      <c r="J18" s="27" t="s">
        <v>830</v>
      </c>
      <c r="K18" s="27" t="s">
        <v>837</v>
      </c>
      <c r="L18" s="27" t="s">
        <v>845</v>
      </c>
      <c r="M18" s="27" t="s">
        <v>130</v>
      </c>
      <c r="N18" s="27" t="str">
        <f>inicioTerminales[[#This Row],[TIPO BUS]]&amp;"-"&amp;inicioTerminales[[#This Row],[MARCA CHASIS]]</f>
        <v>B2-MERCEDES BENZ</v>
      </c>
    </row>
    <row r="19" spans="1:21">
      <c r="A19" s="27" t="s">
        <v>10</v>
      </c>
      <c r="B19" s="27" t="s">
        <v>387</v>
      </c>
      <c r="C19" s="27">
        <v>2113</v>
      </c>
      <c r="D19" s="27" t="s">
        <v>34</v>
      </c>
      <c r="E19" s="27" t="s">
        <v>25</v>
      </c>
      <c r="F19" s="27" t="s">
        <v>145</v>
      </c>
      <c r="G19" s="27" t="str">
        <f>_xlfn.CONCAT(inicioTerminales[[#This Row],[MARCA CHASIS]]," - ", inicioTerminales[[#This Row],[TIPO BUS]])</f>
        <v>MERCEDES BENZ - B2</v>
      </c>
      <c r="H19" s="27" t="s">
        <v>15</v>
      </c>
      <c r="I19" s="52">
        <v>44933</v>
      </c>
      <c r="J19" s="27" t="s">
        <v>830</v>
      </c>
      <c r="K19" s="27" t="s">
        <v>837</v>
      </c>
      <c r="L19" s="27" t="s">
        <v>845</v>
      </c>
      <c r="M19" s="27" t="s">
        <v>130</v>
      </c>
      <c r="N19" s="27" t="str">
        <f>inicioTerminales[[#This Row],[TIPO BUS]]&amp;"-"&amp;inicioTerminales[[#This Row],[MARCA CHASIS]]</f>
        <v>B2-MERCEDES BENZ</v>
      </c>
      <c r="R19" s="2" t="s">
        <v>830</v>
      </c>
      <c r="S19" s="42" t="s">
        <v>36</v>
      </c>
      <c r="T19" s="42" t="s">
        <v>145</v>
      </c>
      <c r="U19" s="42" t="s">
        <v>690</v>
      </c>
    </row>
    <row r="20" spans="1:21">
      <c r="A20" s="27" t="s">
        <v>10</v>
      </c>
      <c r="B20" s="27" t="s">
        <v>35</v>
      </c>
      <c r="C20" s="27">
        <v>2055</v>
      </c>
      <c r="D20" s="27" t="s">
        <v>34</v>
      </c>
      <c r="E20" s="27" t="s">
        <v>13</v>
      </c>
      <c r="F20" s="27" t="s">
        <v>36</v>
      </c>
      <c r="G20" s="27" t="str">
        <f>_xlfn.CONCAT(inicioTerminales[[#This Row],[MARCA CHASIS]]," - ", inicioTerminales[[#This Row],[TIPO BUS]])</f>
        <v>SCANIA - B2</v>
      </c>
      <c r="H20" s="27" t="s">
        <v>15</v>
      </c>
      <c r="I20" s="52">
        <v>44912</v>
      </c>
      <c r="J20" s="27" t="s">
        <v>830</v>
      </c>
      <c r="K20" s="27" t="s">
        <v>837</v>
      </c>
      <c r="L20" s="27" t="s">
        <v>845</v>
      </c>
      <c r="M20" s="27" t="s">
        <v>130</v>
      </c>
      <c r="N20" s="27" t="str">
        <f>inicioTerminales[[#This Row],[TIPO BUS]]&amp;"-"&amp;inicioTerminales[[#This Row],[MARCA CHASIS]]</f>
        <v>B2-SCANIA</v>
      </c>
      <c r="R20" s="2" t="s">
        <v>1341</v>
      </c>
      <c r="S20" s="42" t="s">
        <v>149</v>
      </c>
      <c r="T20" s="42" t="s">
        <v>14</v>
      </c>
      <c r="U20" s="42" t="s">
        <v>1362</v>
      </c>
    </row>
    <row r="21" spans="1:21">
      <c r="A21" s="27" t="s">
        <v>10</v>
      </c>
      <c r="B21" s="27" t="s">
        <v>37</v>
      </c>
      <c r="C21" s="27">
        <v>2064</v>
      </c>
      <c r="D21" s="27" t="s">
        <v>34</v>
      </c>
      <c r="E21" s="27" t="s">
        <v>13</v>
      </c>
      <c r="F21" s="27" t="s">
        <v>36</v>
      </c>
      <c r="G21" s="27" t="str">
        <f>_xlfn.CONCAT(inicioTerminales[[#This Row],[MARCA CHASIS]]," - ", inicioTerminales[[#This Row],[TIPO BUS]])</f>
        <v>SCANIA - B2</v>
      </c>
      <c r="H21" s="27" t="s">
        <v>15</v>
      </c>
      <c r="I21" s="52">
        <v>44933</v>
      </c>
      <c r="J21" s="27" t="s">
        <v>830</v>
      </c>
      <c r="K21" s="27" t="s">
        <v>837</v>
      </c>
      <c r="L21" s="27" t="s">
        <v>845</v>
      </c>
      <c r="M21" s="27" t="s">
        <v>130</v>
      </c>
      <c r="N21" s="27" t="str">
        <f>inicioTerminales[[#This Row],[TIPO BUS]]&amp;"-"&amp;inicioTerminales[[#This Row],[MARCA CHASIS]]</f>
        <v>B2-SCANIA</v>
      </c>
    </row>
    <row r="22" spans="1:21">
      <c r="A22" s="27" t="s">
        <v>10</v>
      </c>
      <c r="B22" s="27" t="s">
        <v>39</v>
      </c>
      <c r="C22" s="27">
        <v>2070</v>
      </c>
      <c r="D22" s="27" t="s">
        <v>34</v>
      </c>
      <c r="E22" s="27" t="s">
        <v>13</v>
      </c>
      <c r="F22" s="27" t="s">
        <v>36</v>
      </c>
      <c r="G22" s="27" t="str">
        <f>_xlfn.CONCAT(inicioTerminales[[#This Row],[MARCA CHASIS]]," - ", inicioTerminales[[#This Row],[TIPO BUS]])</f>
        <v>SCANIA - B2</v>
      </c>
      <c r="H22" s="27" t="s">
        <v>15</v>
      </c>
      <c r="I22" s="52">
        <v>44912</v>
      </c>
      <c r="J22" s="27" t="s">
        <v>830</v>
      </c>
      <c r="K22" s="27" t="s">
        <v>837</v>
      </c>
      <c r="L22" s="27" t="s">
        <v>845</v>
      </c>
      <c r="M22" s="27" t="s">
        <v>130</v>
      </c>
      <c r="N22" s="27" t="str">
        <f>inicioTerminales[[#This Row],[TIPO BUS]]&amp;"-"&amp;inicioTerminales[[#This Row],[MARCA CHASIS]]</f>
        <v>B2-SCANIA</v>
      </c>
      <c r="R22" s="2" t="s">
        <v>1363</v>
      </c>
      <c r="S22" s="42">
        <f>SUM(S14:T15)*1.5</f>
        <v>1123.5</v>
      </c>
    </row>
    <row r="23" spans="1:21">
      <c r="A23" s="27" t="s">
        <v>10</v>
      </c>
      <c r="B23" s="27" t="s">
        <v>47</v>
      </c>
      <c r="C23" s="27">
        <v>2071</v>
      </c>
      <c r="D23" s="27" t="s">
        <v>34</v>
      </c>
      <c r="E23" s="27" t="s">
        <v>13</v>
      </c>
      <c r="F23" s="27" t="s">
        <v>36</v>
      </c>
      <c r="G23" s="27" t="str">
        <f>_xlfn.CONCAT(inicioTerminales[[#This Row],[MARCA CHASIS]]," - ", inicioTerminales[[#This Row],[TIPO BUS]])</f>
        <v>SCANIA - B2</v>
      </c>
      <c r="H23" s="27" t="s">
        <v>15</v>
      </c>
      <c r="I23" s="52">
        <v>44912</v>
      </c>
      <c r="J23" s="27" t="s">
        <v>830</v>
      </c>
      <c r="K23" s="27" t="s">
        <v>837</v>
      </c>
      <c r="L23" s="27" t="s">
        <v>845</v>
      </c>
      <c r="M23" s="27" t="s">
        <v>130</v>
      </c>
      <c r="N23" s="27" t="str">
        <f>inicioTerminales[[#This Row],[TIPO BUS]]&amp;"-"&amp;inicioTerminales[[#This Row],[MARCA CHASIS]]</f>
        <v>B2-SCANIA</v>
      </c>
    </row>
    <row r="24" spans="1:21">
      <c r="A24" s="27" t="s">
        <v>10</v>
      </c>
      <c r="B24" s="27" t="s">
        <v>11</v>
      </c>
      <c r="C24" s="27">
        <v>1002</v>
      </c>
      <c r="D24" s="27" t="s">
        <v>12</v>
      </c>
      <c r="E24" s="27" t="s">
        <v>13</v>
      </c>
      <c r="F24" s="27" t="s">
        <v>14</v>
      </c>
      <c r="G24" s="27" t="str">
        <f>_xlfn.CONCAT(inicioTerminales[[#This Row],[MARCA CHASIS]]," - ", inicioTerminales[[#This Row],[TIPO BUS]])</f>
        <v>VOLVO - A2</v>
      </c>
      <c r="H24" s="27" t="s">
        <v>15</v>
      </c>
      <c r="I24" s="52">
        <v>44912</v>
      </c>
      <c r="J24" s="27" t="s">
        <v>1341</v>
      </c>
      <c r="K24" s="27" t="s">
        <v>837</v>
      </c>
      <c r="L24" s="27" t="s">
        <v>845</v>
      </c>
      <c r="M24" s="27" t="s">
        <v>15</v>
      </c>
      <c r="N24" s="27" t="str">
        <f>inicioTerminales[[#This Row],[TIPO BUS]]&amp;"-"&amp;inicioTerminales[[#This Row],[MARCA CHASIS]]</f>
        <v>A2-VOLVO</v>
      </c>
    </row>
    <row r="25" spans="1:21">
      <c r="A25" s="27" t="s">
        <v>10</v>
      </c>
      <c r="B25" s="27" t="s">
        <v>18</v>
      </c>
      <c r="C25" s="27">
        <v>1003</v>
      </c>
      <c r="D25" s="27" t="s">
        <v>12</v>
      </c>
      <c r="E25" s="27" t="s">
        <v>13</v>
      </c>
      <c r="F25" s="27" t="s">
        <v>14</v>
      </c>
      <c r="G25" s="27" t="str">
        <f>_xlfn.CONCAT(inicioTerminales[[#This Row],[MARCA CHASIS]]," - ", inicioTerminales[[#This Row],[TIPO BUS]])</f>
        <v>VOLVO - A2</v>
      </c>
      <c r="H25" s="27" t="s">
        <v>15</v>
      </c>
      <c r="I25" s="52">
        <v>44912</v>
      </c>
      <c r="J25" s="27" t="s">
        <v>1341</v>
      </c>
      <c r="K25" s="27" t="s">
        <v>837</v>
      </c>
      <c r="L25" s="27" t="s">
        <v>845</v>
      </c>
      <c r="M25" s="27" t="s">
        <v>15</v>
      </c>
      <c r="N25" s="27" t="str">
        <f>inicioTerminales[[#This Row],[TIPO BUS]]&amp;"-"&amp;inicioTerminales[[#This Row],[MARCA CHASIS]]</f>
        <v>A2-VOLVO</v>
      </c>
    </row>
    <row r="26" spans="1:21">
      <c r="A26" s="27" t="s">
        <v>10</v>
      </c>
      <c r="B26" s="27" t="s">
        <v>21</v>
      </c>
      <c r="C26" s="27">
        <v>1004</v>
      </c>
      <c r="D26" s="27" t="s">
        <v>12</v>
      </c>
      <c r="E26" s="27" t="s">
        <v>13</v>
      </c>
      <c r="F26" s="27" t="s">
        <v>14</v>
      </c>
      <c r="G26" s="27" t="str">
        <f>_xlfn.CONCAT(inicioTerminales[[#This Row],[MARCA CHASIS]]," - ", inicioTerminales[[#This Row],[TIPO BUS]])</f>
        <v>VOLVO - A2</v>
      </c>
      <c r="H26" s="27" t="s">
        <v>15</v>
      </c>
      <c r="I26" s="52">
        <v>44912</v>
      </c>
      <c r="J26" s="27" t="s">
        <v>1341</v>
      </c>
      <c r="K26" s="27" t="s">
        <v>837</v>
      </c>
      <c r="L26" s="27" t="s">
        <v>845</v>
      </c>
      <c r="M26" s="27" t="s">
        <v>15</v>
      </c>
      <c r="N26" s="27" t="str">
        <f>inicioTerminales[[#This Row],[TIPO BUS]]&amp;"-"&amp;inicioTerminales[[#This Row],[MARCA CHASIS]]</f>
        <v>A2-VOLVO</v>
      </c>
    </row>
    <row r="27" spans="1:21">
      <c r="A27" s="27" t="s">
        <v>10</v>
      </c>
      <c r="B27" s="27" t="s">
        <v>23</v>
      </c>
      <c r="C27" s="27">
        <v>1005</v>
      </c>
      <c r="D27" s="27" t="s">
        <v>12</v>
      </c>
      <c r="E27" s="27" t="s">
        <v>13</v>
      </c>
      <c r="F27" s="27" t="s">
        <v>14</v>
      </c>
      <c r="G27" s="27" t="str">
        <f>_xlfn.CONCAT(inicioTerminales[[#This Row],[MARCA CHASIS]]," - ", inicioTerminales[[#This Row],[TIPO BUS]])</f>
        <v>VOLVO - A2</v>
      </c>
      <c r="H27" s="27" t="s">
        <v>15</v>
      </c>
      <c r="I27" s="52">
        <v>44912</v>
      </c>
      <c r="J27" s="27" t="s">
        <v>1341</v>
      </c>
      <c r="K27" s="27" t="s">
        <v>837</v>
      </c>
      <c r="L27" s="27" t="s">
        <v>845</v>
      </c>
      <c r="M27" s="27" t="s">
        <v>15</v>
      </c>
      <c r="N27" s="27" t="str">
        <f>inicioTerminales[[#This Row],[TIPO BUS]]&amp;"-"&amp;inicioTerminales[[#This Row],[MARCA CHASIS]]</f>
        <v>A2-VOLVO</v>
      </c>
    </row>
    <row r="28" spans="1:21">
      <c r="A28" s="27" t="s">
        <v>10</v>
      </c>
      <c r="B28" s="27" t="s">
        <v>24</v>
      </c>
      <c r="C28" s="27">
        <v>1008</v>
      </c>
      <c r="D28" s="27" t="s">
        <v>12</v>
      </c>
      <c r="E28" s="27" t="s">
        <v>25</v>
      </c>
      <c r="F28" s="27" t="s">
        <v>14</v>
      </c>
      <c r="G28" s="27" t="str">
        <f>_xlfn.CONCAT(inicioTerminales[[#This Row],[MARCA CHASIS]]," - ", inicioTerminales[[#This Row],[TIPO BUS]])</f>
        <v>VOLVO - A2</v>
      </c>
      <c r="H28" s="27" t="s">
        <v>15</v>
      </c>
      <c r="I28" s="52">
        <v>44912</v>
      </c>
      <c r="J28" s="27" t="s">
        <v>1341</v>
      </c>
      <c r="K28" s="27" t="s">
        <v>837</v>
      </c>
      <c r="L28" s="27" t="s">
        <v>845</v>
      </c>
      <c r="M28" s="27" t="s">
        <v>15</v>
      </c>
      <c r="N28" s="27" t="str">
        <f>inicioTerminales[[#This Row],[TIPO BUS]]&amp;"-"&amp;inicioTerminales[[#This Row],[MARCA CHASIS]]</f>
        <v>A2-VOLVO</v>
      </c>
    </row>
    <row r="29" spans="1:21">
      <c r="A29" s="27" t="s">
        <v>10</v>
      </c>
      <c r="B29" s="27" t="s">
        <v>26</v>
      </c>
      <c r="C29" s="27">
        <v>1009</v>
      </c>
      <c r="D29" s="27" t="s">
        <v>12</v>
      </c>
      <c r="E29" s="27" t="s">
        <v>25</v>
      </c>
      <c r="F29" s="27" t="s">
        <v>14</v>
      </c>
      <c r="G29" s="27" t="str">
        <f>_xlfn.CONCAT(inicioTerminales[[#This Row],[MARCA CHASIS]]," - ", inicioTerminales[[#This Row],[TIPO BUS]])</f>
        <v>VOLVO - A2</v>
      </c>
      <c r="H29" s="27" t="s">
        <v>15</v>
      </c>
      <c r="I29" s="52">
        <v>44912</v>
      </c>
      <c r="J29" s="27" t="s">
        <v>1341</v>
      </c>
      <c r="K29" s="27" t="s">
        <v>837</v>
      </c>
      <c r="L29" s="27" t="s">
        <v>845</v>
      </c>
      <c r="M29" s="27" t="s">
        <v>15</v>
      </c>
      <c r="N29" s="27" t="str">
        <f>inicioTerminales[[#This Row],[TIPO BUS]]&amp;"-"&amp;inicioTerminales[[#This Row],[MARCA CHASIS]]</f>
        <v>A2-VOLVO</v>
      </c>
    </row>
    <row r="30" spans="1:21">
      <c r="A30" s="27" t="s">
        <v>10</v>
      </c>
      <c r="B30" s="27" t="s">
        <v>27</v>
      </c>
      <c r="C30" s="27">
        <v>1010</v>
      </c>
      <c r="D30" s="27" t="s">
        <v>12</v>
      </c>
      <c r="E30" s="27" t="s">
        <v>13</v>
      </c>
      <c r="F30" s="27" t="s">
        <v>14</v>
      </c>
      <c r="G30" s="27" t="str">
        <f>_xlfn.CONCAT(inicioTerminales[[#This Row],[MARCA CHASIS]]," - ", inicioTerminales[[#This Row],[TIPO BUS]])</f>
        <v>VOLVO - A2</v>
      </c>
      <c r="H30" s="27" t="s">
        <v>15</v>
      </c>
      <c r="I30" s="52">
        <v>44912</v>
      </c>
      <c r="J30" s="27" t="s">
        <v>1341</v>
      </c>
      <c r="K30" s="27" t="s">
        <v>837</v>
      </c>
      <c r="L30" s="27" t="s">
        <v>845</v>
      </c>
      <c r="M30" s="27" t="s">
        <v>15</v>
      </c>
      <c r="N30" s="27" t="str">
        <f>inicioTerminales[[#This Row],[TIPO BUS]]&amp;"-"&amp;inicioTerminales[[#This Row],[MARCA CHASIS]]</f>
        <v>A2-VOLVO</v>
      </c>
    </row>
    <row r="31" spans="1:21">
      <c r="A31" s="27" t="s">
        <v>10</v>
      </c>
      <c r="B31" s="27" t="s">
        <v>28</v>
      </c>
      <c r="C31" s="27">
        <v>1011</v>
      </c>
      <c r="D31" s="27" t="s">
        <v>12</v>
      </c>
      <c r="E31" s="27" t="s">
        <v>13</v>
      </c>
      <c r="F31" s="27" t="s">
        <v>14</v>
      </c>
      <c r="G31" s="27" t="str">
        <f>_xlfn.CONCAT(inicioTerminales[[#This Row],[MARCA CHASIS]]," - ", inicioTerminales[[#This Row],[TIPO BUS]])</f>
        <v>VOLVO - A2</v>
      </c>
      <c r="H31" s="27" t="s">
        <v>15</v>
      </c>
      <c r="I31" s="52">
        <v>44912</v>
      </c>
      <c r="J31" s="27" t="s">
        <v>1341</v>
      </c>
      <c r="K31" s="27" t="s">
        <v>837</v>
      </c>
      <c r="L31" s="27" t="s">
        <v>845</v>
      </c>
      <c r="M31" s="27" t="s">
        <v>15</v>
      </c>
      <c r="N31" s="27" t="str">
        <f>inicioTerminales[[#This Row],[TIPO BUS]]&amp;"-"&amp;inicioTerminales[[#This Row],[MARCA CHASIS]]</f>
        <v>A2-VOLVO</v>
      </c>
    </row>
    <row r="32" spans="1:21">
      <c r="A32" s="27" t="s">
        <v>10</v>
      </c>
      <c r="B32" s="27" t="s">
        <v>31</v>
      </c>
      <c r="C32" s="27">
        <v>1012</v>
      </c>
      <c r="D32" s="27" t="s">
        <v>12</v>
      </c>
      <c r="E32" s="27" t="s">
        <v>13</v>
      </c>
      <c r="F32" s="27" t="s">
        <v>14</v>
      </c>
      <c r="G32" s="27" t="str">
        <f>_xlfn.CONCAT(inicioTerminales[[#This Row],[MARCA CHASIS]]," - ", inicioTerminales[[#This Row],[TIPO BUS]])</f>
        <v>VOLVO - A2</v>
      </c>
      <c r="H32" s="27" t="s">
        <v>15</v>
      </c>
      <c r="I32" s="52">
        <v>44912</v>
      </c>
      <c r="J32" s="27" t="s">
        <v>1341</v>
      </c>
      <c r="K32" s="27" t="s">
        <v>837</v>
      </c>
      <c r="L32" s="27" t="s">
        <v>845</v>
      </c>
      <c r="M32" s="27" t="s">
        <v>15</v>
      </c>
      <c r="N32" s="27" t="str">
        <f>inicioTerminales[[#This Row],[TIPO BUS]]&amp;"-"&amp;inicioTerminales[[#This Row],[MARCA CHASIS]]</f>
        <v>A2-VOLVO</v>
      </c>
    </row>
    <row r="33" spans="1:20">
      <c r="A33" s="27" t="s">
        <v>10</v>
      </c>
      <c r="B33" s="27" t="s">
        <v>32</v>
      </c>
      <c r="C33" s="27">
        <v>1013</v>
      </c>
      <c r="D33" s="27" t="s">
        <v>12</v>
      </c>
      <c r="E33" s="27" t="s">
        <v>13</v>
      </c>
      <c r="F33" s="27" t="s">
        <v>14</v>
      </c>
      <c r="G33" s="27" t="str">
        <f>_xlfn.CONCAT(inicioTerminales[[#This Row],[MARCA CHASIS]]," - ", inicioTerminales[[#This Row],[TIPO BUS]])</f>
        <v>VOLVO - A2</v>
      </c>
      <c r="H33" s="27" t="s">
        <v>15</v>
      </c>
      <c r="I33" s="52">
        <v>44912</v>
      </c>
      <c r="J33" s="27" t="s">
        <v>1341</v>
      </c>
      <c r="K33" s="27" t="s">
        <v>837</v>
      </c>
      <c r="L33" s="27" t="s">
        <v>845</v>
      </c>
      <c r="M33" s="27" t="s">
        <v>15</v>
      </c>
      <c r="N33" s="27" t="str">
        <f>inicioTerminales[[#This Row],[TIPO BUS]]&amp;"-"&amp;inicioTerminales[[#This Row],[MARCA CHASIS]]</f>
        <v>A2-VOLVO</v>
      </c>
    </row>
    <row r="34" spans="1:20">
      <c r="A34" s="27" t="s">
        <v>10</v>
      </c>
      <c r="B34" s="27" t="s">
        <v>33</v>
      </c>
      <c r="C34" s="27">
        <v>1015</v>
      </c>
      <c r="D34" s="27" t="s">
        <v>12</v>
      </c>
      <c r="E34" s="27" t="s">
        <v>13</v>
      </c>
      <c r="F34" s="27" t="s">
        <v>14</v>
      </c>
      <c r="G34" s="27" t="str">
        <f>_xlfn.CONCAT(inicioTerminales[[#This Row],[MARCA CHASIS]]," - ", inicioTerminales[[#This Row],[TIPO BUS]])</f>
        <v>VOLVO - A2</v>
      </c>
      <c r="H34" s="27" t="s">
        <v>15</v>
      </c>
      <c r="I34" s="52">
        <v>44912</v>
      </c>
      <c r="J34" s="27" t="s">
        <v>1341</v>
      </c>
      <c r="K34" s="27" t="s">
        <v>837</v>
      </c>
      <c r="L34" s="27" t="s">
        <v>845</v>
      </c>
      <c r="M34" s="27" t="s">
        <v>15</v>
      </c>
      <c r="N34" s="27" t="str">
        <f>inicioTerminales[[#This Row],[TIPO BUS]]&amp;"-"&amp;inicioTerminales[[#This Row],[MARCA CHASIS]]</f>
        <v>A2-VOLVO</v>
      </c>
      <c r="S34"/>
      <c r="T34"/>
    </row>
    <row r="35" spans="1:20">
      <c r="A35" s="27" t="s">
        <v>10</v>
      </c>
      <c r="B35" s="27" t="s">
        <v>129</v>
      </c>
      <c r="C35" s="27">
        <v>1000</v>
      </c>
      <c r="D35" s="27" t="s">
        <v>12</v>
      </c>
      <c r="E35" s="27" t="s">
        <v>13</v>
      </c>
      <c r="F35" s="27" t="s">
        <v>14</v>
      </c>
      <c r="G35" s="27" t="str">
        <f>_xlfn.CONCAT(inicioTerminales[[#This Row],[MARCA CHASIS]]," - ", inicioTerminales[[#This Row],[TIPO BUS]])</f>
        <v>VOLVO - A2</v>
      </c>
      <c r="H35" s="27" t="s">
        <v>130</v>
      </c>
      <c r="I35" s="52">
        <v>44912</v>
      </c>
      <c r="J35" s="27" t="s">
        <v>1341</v>
      </c>
      <c r="K35" s="27" t="s">
        <v>836</v>
      </c>
      <c r="L35" s="27" t="s">
        <v>851</v>
      </c>
      <c r="M35" s="27" t="s">
        <v>130</v>
      </c>
      <c r="N35" s="27" t="str">
        <f>inicioTerminales[[#This Row],[TIPO BUS]]&amp;"-"&amp;inicioTerminales[[#This Row],[MARCA CHASIS]]</f>
        <v>A2-VOLVO</v>
      </c>
      <c r="S35"/>
      <c r="T35"/>
    </row>
    <row r="36" spans="1:20">
      <c r="A36" s="27" t="s">
        <v>10</v>
      </c>
      <c r="B36" s="27" t="s">
        <v>132</v>
      </c>
      <c r="C36" s="27">
        <v>1001</v>
      </c>
      <c r="D36" s="27" t="s">
        <v>12</v>
      </c>
      <c r="E36" s="27" t="s">
        <v>13</v>
      </c>
      <c r="F36" s="27" t="s">
        <v>14</v>
      </c>
      <c r="G36" s="27" t="str">
        <f>_xlfn.CONCAT(inicioTerminales[[#This Row],[MARCA CHASIS]]," - ", inicioTerminales[[#This Row],[TIPO BUS]])</f>
        <v>VOLVO - A2</v>
      </c>
      <c r="H36" s="27" t="s">
        <v>130</v>
      </c>
      <c r="I36" s="52">
        <v>44912</v>
      </c>
      <c r="J36" s="27" t="s">
        <v>1341</v>
      </c>
      <c r="K36" s="27" t="s">
        <v>836</v>
      </c>
      <c r="L36" s="27" t="s">
        <v>851</v>
      </c>
      <c r="M36" s="27" t="s">
        <v>130</v>
      </c>
      <c r="N36" s="27" t="str">
        <f>inicioTerminales[[#This Row],[TIPO BUS]]&amp;"-"&amp;inicioTerminales[[#This Row],[MARCA CHASIS]]</f>
        <v>A2-VOLVO</v>
      </c>
      <c r="S36"/>
      <c r="T36"/>
    </row>
    <row r="37" spans="1:20">
      <c r="A37" s="27" t="s">
        <v>10</v>
      </c>
      <c r="B37" s="27" t="s">
        <v>248</v>
      </c>
      <c r="C37" s="27">
        <v>4031</v>
      </c>
      <c r="D37" s="27" t="s">
        <v>38</v>
      </c>
      <c r="E37" s="27" t="s">
        <v>13</v>
      </c>
      <c r="F37" s="27" t="s">
        <v>14</v>
      </c>
      <c r="G37" s="27" t="str">
        <f>_xlfn.CONCAT(inicioTerminales[[#This Row],[MARCA CHASIS]]," - ", inicioTerminales[[#This Row],[TIPO BUS]])</f>
        <v>VOLVO - C2</v>
      </c>
      <c r="H37" s="27" t="s">
        <v>15</v>
      </c>
      <c r="I37" s="52">
        <v>44928</v>
      </c>
      <c r="J37" s="27" t="s">
        <v>1341</v>
      </c>
      <c r="K37" s="27" t="s">
        <v>837</v>
      </c>
      <c r="L37" s="27" t="s">
        <v>845</v>
      </c>
      <c r="M37" s="27" t="s">
        <v>15</v>
      </c>
      <c r="N37" s="27" t="str">
        <f>inicioTerminales[[#This Row],[TIPO BUS]]&amp;"-"&amp;inicioTerminales[[#This Row],[MARCA CHASIS]]</f>
        <v>C2-VOLVO</v>
      </c>
      <c r="S37"/>
      <c r="T37"/>
    </row>
    <row r="38" spans="1:20">
      <c r="A38" s="27" t="s">
        <v>10</v>
      </c>
      <c r="B38" s="27" t="s">
        <v>40</v>
      </c>
      <c r="C38" s="27">
        <v>4035</v>
      </c>
      <c r="D38" s="27" t="s">
        <v>38</v>
      </c>
      <c r="E38" s="27" t="s">
        <v>13</v>
      </c>
      <c r="F38" s="27" t="s">
        <v>14</v>
      </c>
      <c r="G38" s="27" t="str">
        <f>_xlfn.CONCAT(inicioTerminales[[#This Row],[MARCA CHASIS]]," - ", inicioTerminales[[#This Row],[TIPO BUS]])</f>
        <v>VOLVO - C2</v>
      </c>
      <c r="H38" s="27" t="s">
        <v>15</v>
      </c>
      <c r="I38" s="52">
        <v>44928</v>
      </c>
      <c r="J38" s="27" t="s">
        <v>1341</v>
      </c>
      <c r="K38" s="27" t="s">
        <v>837</v>
      </c>
      <c r="L38" s="27" t="s">
        <v>845</v>
      </c>
      <c r="M38" s="27" t="s">
        <v>15</v>
      </c>
      <c r="N38" s="27" t="str">
        <f>inicioTerminales[[#This Row],[TIPO BUS]]&amp;"-"&amp;inicioTerminales[[#This Row],[MARCA CHASIS]]</f>
        <v>C2-VOLVO</v>
      </c>
      <c r="S38"/>
      <c r="T38"/>
    </row>
    <row r="39" spans="1:20">
      <c r="A39" s="27" t="s">
        <v>10</v>
      </c>
      <c r="B39" s="27" t="s">
        <v>42</v>
      </c>
      <c r="C39" s="27">
        <v>4036</v>
      </c>
      <c r="D39" s="27" t="s">
        <v>38</v>
      </c>
      <c r="E39" s="27" t="s">
        <v>13</v>
      </c>
      <c r="F39" s="27" t="s">
        <v>14</v>
      </c>
      <c r="G39" s="27" t="str">
        <f>_xlfn.CONCAT(inicioTerminales[[#This Row],[MARCA CHASIS]]," - ", inicioTerminales[[#This Row],[TIPO BUS]])</f>
        <v>VOLVO - C2</v>
      </c>
      <c r="H39" s="27" t="s">
        <v>15</v>
      </c>
      <c r="I39" s="52">
        <v>44928</v>
      </c>
      <c r="J39" s="27" t="s">
        <v>1341</v>
      </c>
      <c r="K39" s="27" t="s">
        <v>837</v>
      </c>
      <c r="L39" s="27" t="s">
        <v>845</v>
      </c>
      <c r="M39" s="27" t="s">
        <v>15</v>
      </c>
      <c r="N39" s="27" t="str">
        <f>inicioTerminales[[#This Row],[TIPO BUS]]&amp;"-"&amp;inicioTerminales[[#This Row],[MARCA CHASIS]]</f>
        <v>C2-VOLVO</v>
      </c>
      <c r="S39"/>
      <c r="T39"/>
    </row>
    <row r="40" spans="1:20">
      <c r="A40" s="27" t="s">
        <v>10</v>
      </c>
      <c r="B40" s="27" t="s">
        <v>43</v>
      </c>
      <c r="C40" s="27">
        <v>4038</v>
      </c>
      <c r="D40" s="27" t="s">
        <v>38</v>
      </c>
      <c r="E40" s="27" t="s">
        <v>13</v>
      </c>
      <c r="F40" s="27" t="s">
        <v>14</v>
      </c>
      <c r="G40" s="27" t="str">
        <f>_xlfn.CONCAT(inicioTerminales[[#This Row],[MARCA CHASIS]]," - ", inicioTerminales[[#This Row],[TIPO BUS]])</f>
        <v>VOLVO - C2</v>
      </c>
      <c r="H40" s="27" t="s">
        <v>15</v>
      </c>
      <c r="I40" s="52">
        <v>44928</v>
      </c>
      <c r="J40" s="27" t="s">
        <v>1341</v>
      </c>
      <c r="K40" s="27" t="s">
        <v>837</v>
      </c>
      <c r="L40" s="27" t="s">
        <v>845</v>
      </c>
      <c r="M40" s="27" t="s">
        <v>15</v>
      </c>
      <c r="N40" s="27" t="str">
        <f>inicioTerminales[[#This Row],[TIPO BUS]]&amp;"-"&amp;inicioTerminales[[#This Row],[MARCA CHASIS]]</f>
        <v>C2-VOLVO</v>
      </c>
      <c r="S40"/>
      <c r="T40"/>
    </row>
    <row r="41" spans="1:20">
      <c r="A41" s="27" t="s">
        <v>10</v>
      </c>
      <c r="B41" s="27" t="s">
        <v>44</v>
      </c>
      <c r="C41" s="27">
        <v>4040</v>
      </c>
      <c r="D41" s="27" t="s">
        <v>38</v>
      </c>
      <c r="E41" s="27" t="s">
        <v>13</v>
      </c>
      <c r="F41" s="27" t="s">
        <v>14</v>
      </c>
      <c r="G41" s="27" t="str">
        <f>_xlfn.CONCAT(inicioTerminales[[#This Row],[MARCA CHASIS]]," - ", inicioTerminales[[#This Row],[TIPO BUS]])</f>
        <v>VOLVO - C2</v>
      </c>
      <c r="H41" s="27" t="s">
        <v>15</v>
      </c>
      <c r="I41" s="52">
        <v>44928</v>
      </c>
      <c r="J41" s="27" t="s">
        <v>1341</v>
      </c>
      <c r="K41" s="27" t="s">
        <v>837</v>
      </c>
      <c r="L41" s="27" t="s">
        <v>845</v>
      </c>
      <c r="M41" s="27" t="s">
        <v>15</v>
      </c>
      <c r="N41" s="27" t="str">
        <f>inicioTerminales[[#This Row],[TIPO BUS]]&amp;"-"&amp;inicioTerminales[[#This Row],[MARCA CHASIS]]</f>
        <v>C2-VOLVO</v>
      </c>
    </row>
    <row r="42" spans="1:20">
      <c r="A42" s="27" t="s">
        <v>10</v>
      </c>
      <c r="B42" s="27" t="s">
        <v>249</v>
      </c>
      <c r="C42" s="27">
        <v>4041</v>
      </c>
      <c r="D42" s="27" t="s">
        <v>38</v>
      </c>
      <c r="E42" s="27" t="s">
        <v>13</v>
      </c>
      <c r="F42" s="27" t="s">
        <v>14</v>
      </c>
      <c r="G42" s="27" t="str">
        <f>_xlfn.CONCAT(inicioTerminales[[#This Row],[MARCA CHASIS]]," - ", inicioTerminales[[#This Row],[TIPO BUS]])</f>
        <v>VOLVO - C2</v>
      </c>
      <c r="H42" s="27" t="s">
        <v>15</v>
      </c>
      <c r="I42" s="52">
        <v>44928</v>
      </c>
      <c r="J42" s="27" t="s">
        <v>1341</v>
      </c>
      <c r="K42" s="27" t="s">
        <v>837</v>
      </c>
      <c r="L42" s="27" t="s">
        <v>845</v>
      </c>
      <c r="M42" s="27" t="s">
        <v>15</v>
      </c>
      <c r="N42" s="27" t="str">
        <f>inicioTerminales[[#This Row],[TIPO BUS]]&amp;"-"&amp;inicioTerminales[[#This Row],[MARCA CHASIS]]</f>
        <v>C2-VOLVO</v>
      </c>
    </row>
    <row r="43" spans="1:20">
      <c r="A43" s="27" t="s">
        <v>10</v>
      </c>
      <c r="B43" s="27" t="s">
        <v>250</v>
      </c>
      <c r="C43" s="27">
        <v>4042</v>
      </c>
      <c r="D43" s="27" t="s">
        <v>38</v>
      </c>
      <c r="E43" s="27" t="s">
        <v>25</v>
      </c>
      <c r="F43" s="27" t="s">
        <v>14</v>
      </c>
      <c r="G43" s="27" t="str">
        <f>_xlfn.CONCAT(inicioTerminales[[#This Row],[MARCA CHASIS]]," - ", inicioTerminales[[#This Row],[TIPO BUS]])</f>
        <v>VOLVO - C2</v>
      </c>
      <c r="H43" s="27" t="s">
        <v>15</v>
      </c>
      <c r="I43" s="52">
        <v>44928</v>
      </c>
      <c r="J43" s="27" t="s">
        <v>1341</v>
      </c>
      <c r="K43" s="27" t="s">
        <v>837</v>
      </c>
      <c r="L43" s="27" t="s">
        <v>845</v>
      </c>
      <c r="M43" s="27" t="s">
        <v>15</v>
      </c>
      <c r="N43" s="27" t="str">
        <f>inicioTerminales[[#This Row],[TIPO BUS]]&amp;"-"&amp;inicioTerminales[[#This Row],[MARCA CHASIS]]</f>
        <v>C2-VOLVO</v>
      </c>
    </row>
    <row r="44" spans="1:20">
      <c r="A44" s="27" t="s">
        <v>10</v>
      </c>
      <c r="B44" s="27" t="s">
        <v>46</v>
      </c>
      <c r="C44" s="27">
        <v>4043</v>
      </c>
      <c r="D44" s="27" t="s">
        <v>38</v>
      </c>
      <c r="E44" s="27" t="s">
        <v>25</v>
      </c>
      <c r="F44" s="27" t="s">
        <v>14</v>
      </c>
      <c r="G44" s="27" t="str">
        <f>_xlfn.CONCAT(inicioTerminales[[#This Row],[MARCA CHASIS]]," - ", inicioTerminales[[#This Row],[TIPO BUS]])</f>
        <v>VOLVO - C2</v>
      </c>
      <c r="H44" s="27" t="s">
        <v>15</v>
      </c>
      <c r="I44" s="52">
        <v>44928</v>
      </c>
      <c r="J44" s="27" t="s">
        <v>1341</v>
      </c>
      <c r="K44" s="27" t="s">
        <v>837</v>
      </c>
      <c r="L44" s="27" t="s">
        <v>845</v>
      </c>
      <c r="M44" s="27" t="s">
        <v>15</v>
      </c>
      <c r="N44" s="27" t="str">
        <f>inicioTerminales[[#This Row],[TIPO BUS]]&amp;"-"&amp;inicioTerminales[[#This Row],[MARCA CHASIS]]</f>
        <v>C2-VOLVO</v>
      </c>
    </row>
    <row r="45" spans="1:20">
      <c r="A45" s="27" t="s">
        <v>10</v>
      </c>
      <c r="B45" s="27" t="s">
        <v>48</v>
      </c>
      <c r="C45" s="27">
        <v>4044</v>
      </c>
      <c r="D45" s="27" t="s">
        <v>38</v>
      </c>
      <c r="E45" s="27" t="s">
        <v>13</v>
      </c>
      <c r="F45" s="27" t="s">
        <v>14</v>
      </c>
      <c r="G45" s="27" t="str">
        <f>_xlfn.CONCAT(inicioTerminales[[#This Row],[MARCA CHASIS]]," - ", inicioTerminales[[#This Row],[TIPO BUS]])</f>
        <v>VOLVO - C2</v>
      </c>
      <c r="H45" s="27" t="s">
        <v>15</v>
      </c>
      <c r="I45" s="52">
        <v>44928</v>
      </c>
      <c r="J45" s="27" t="s">
        <v>1341</v>
      </c>
      <c r="K45" s="27" t="s">
        <v>837</v>
      </c>
      <c r="L45" s="27" t="s">
        <v>845</v>
      </c>
      <c r="M45" s="27" t="s">
        <v>15</v>
      </c>
      <c r="N45" s="27" t="str">
        <f>inicioTerminales[[#This Row],[TIPO BUS]]&amp;"-"&amp;inicioTerminales[[#This Row],[MARCA CHASIS]]</f>
        <v>C2-VOLVO</v>
      </c>
    </row>
    <row r="46" spans="1:20">
      <c r="A46" s="27" t="s">
        <v>10</v>
      </c>
      <c r="B46" s="27" t="s">
        <v>49</v>
      </c>
      <c r="C46" s="27">
        <v>4046</v>
      </c>
      <c r="D46" s="27" t="s">
        <v>38</v>
      </c>
      <c r="E46" s="27" t="s">
        <v>13</v>
      </c>
      <c r="F46" s="27" t="s">
        <v>14</v>
      </c>
      <c r="G46" s="27" t="str">
        <f>_xlfn.CONCAT(inicioTerminales[[#This Row],[MARCA CHASIS]]," - ", inicioTerminales[[#This Row],[TIPO BUS]])</f>
        <v>VOLVO - C2</v>
      </c>
      <c r="H46" s="27" t="s">
        <v>15</v>
      </c>
      <c r="I46" s="52">
        <v>44928</v>
      </c>
      <c r="J46" s="27" t="s">
        <v>1341</v>
      </c>
      <c r="K46" s="27" t="s">
        <v>837</v>
      </c>
      <c r="L46" s="27" t="s">
        <v>845</v>
      </c>
      <c r="M46" s="27" t="s">
        <v>15</v>
      </c>
      <c r="N46" s="27" t="str">
        <f>inicioTerminales[[#This Row],[TIPO BUS]]&amp;"-"&amp;inicioTerminales[[#This Row],[MARCA CHASIS]]</f>
        <v>C2-VOLVO</v>
      </c>
    </row>
    <row r="47" spans="1:20">
      <c r="A47" s="27" t="s">
        <v>10</v>
      </c>
      <c r="B47" s="27" t="s">
        <v>50</v>
      </c>
      <c r="C47" s="27">
        <v>4048</v>
      </c>
      <c r="D47" s="27" t="s">
        <v>38</v>
      </c>
      <c r="E47" s="27" t="s">
        <v>13</v>
      </c>
      <c r="F47" s="27" t="s">
        <v>14</v>
      </c>
      <c r="G47" s="27" t="str">
        <f>_xlfn.CONCAT(inicioTerminales[[#This Row],[MARCA CHASIS]]," - ", inicioTerminales[[#This Row],[TIPO BUS]])</f>
        <v>VOLVO - C2</v>
      </c>
      <c r="H47" s="27" t="s">
        <v>15</v>
      </c>
      <c r="I47" s="52">
        <v>44928</v>
      </c>
      <c r="J47" s="27" t="s">
        <v>1341</v>
      </c>
      <c r="K47" s="27" t="s">
        <v>837</v>
      </c>
      <c r="L47" s="27" t="s">
        <v>845</v>
      </c>
      <c r="M47" s="27" t="s">
        <v>15</v>
      </c>
      <c r="N47" s="27" t="str">
        <f>inicioTerminales[[#This Row],[TIPO BUS]]&amp;"-"&amp;inicioTerminales[[#This Row],[MARCA CHASIS]]</f>
        <v>C2-VOLVO</v>
      </c>
    </row>
    <row r="48" spans="1:20">
      <c r="A48" s="27" t="s">
        <v>10</v>
      </c>
      <c r="B48" s="27" t="s">
        <v>51</v>
      </c>
      <c r="C48" s="27">
        <v>4049</v>
      </c>
      <c r="D48" s="27" t="s">
        <v>38</v>
      </c>
      <c r="E48" s="27" t="s">
        <v>13</v>
      </c>
      <c r="F48" s="27" t="s">
        <v>14</v>
      </c>
      <c r="G48" s="27" t="str">
        <f>_xlfn.CONCAT(inicioTerminales[[#This Row],[MARCA CHASIS]]," - ", inicioTerminales[[#This Row],[TIPO BUS]])</f>
        <v>VOLVO - C2</v>
      </c>
      <c r="H48" s="27" t="s">
        <v>15</v>
      </c>
      <c r="I48" s="52">
        <v>44928</v>
      </c>
      <c r="J48" s="27" t="s">
        <v>1341</v>
      </c>
      <c r="K48" s="27" t="s">
        <v>837</v>
      </c>
      <c r="L48" s="27" t="s">
        <v>845</v>
      </c>
      <c r="M48" s="27" t="s">
        <v>15</v>
      </c>
      <c r="N48" s="27" t="str">
        <f>inicioTerminales[[#This Row],[TIPO BUS]]&amp;"-"&amp;inicioTerminales[[#This Row],[MARCA CHASIS]]</f>
        <v>C2-VOLVO</v>
      </c>
    </row>
    <row r="49" spans="1:14">
      <c r="A49" s="27" t="s">
        <v>10</v>
      </c>
      <c r="B49" s="27" t="s">
        <v>52</v>
      </c>
      <c r="C49" s="27">
        <v>4050</v>
      </c>
      <c r="D49" s="27" t="s">
        <v>38</v>
      </c>
      <c r="E49" s="27" t="s">
        <v>13</v>
      </c>
      <c r="F49" s="27" t="s">
        <v>14</v>
      </c>
      <c r="G49" s="27" t="str">
        <f>_xlfn.CONCAT(inicioTerminales[[#This Row],[MARCA CHASIS]]," - ", inicioTerminales[[#This Row],[TIPO BUS]])</f>
        <v>VOLVO - C2</v>
      </c>
      <c r="H49" s="27" t="s">
        <v>15</v>
      </c>
      <c r="I49" s="52">
        <v>44928</v>
      </c>
      <c r="J49" s="27" t="s">
        <v>1341</v>
      </c>
      <c r="K49" s="27" t="s">
        <v>837</v>
      </c>
      <c r="L49" s="27" t="s">
        <v>845</v>
      </c>
      <c r="M49" s="27" t="s">
        <v>15</v>
      </c>
      <c r="N49" s="27" t="str">
        <f>inicioTerminales[[#This Row],[TIPO BUS]]&amp;"-"&amp;inicioTerminales[[#This Row],[MARCA CHASIS]]</f>
        <v>C2-VOLVO</v>
      </c>
    </row>
    <row r="50" spans="1:14">
      <c r="A50" s="27" t="s">
        <v>10</v>
      </c>
      <c r="B50" s="27" t="s">
        <v>251</v>
      </c>
      <c r="C50" s="27">
        <v>4051</v>
      </c>
      <c r="D50" s="27" t="s">
        <v>38</v>
      </c>
      <c r="E50" s="27" t="s">
        <v>13</v>
      </c>
      <c r="F50" s="27" t="s">
        <v>14</v>
      </c>
      <c r="G50" s="27" t="str">
        <f>_xlfn.CONCAT(inicioTerminales[[#This Row],[MARCA CHASIS]]," - ", inicioTerminales[[#This Row],[TIPO BUS]])</f>
        <v>VOLVO - C2</v>
      </c>
      <c r="H50" s="27" t="s">
        <v>15</v>
      </c>
      <c r="I50" s="52">
        <v>44928</v>
      </c>
      <c r="J50" s="27" t="s">
        <v>1341</v>
      </c>
      <c r="K50" s="27" t="s">
        <v>837</v>
      </c>
      <c r="L50" s="27" t="s">
        <v>845</v>
      </c>
      <c r="M50" s="27" t="s">
        <v>15</v>
      </c>
      <c r="N50" s="27" t="str">
        <f>inicioTerminales[[#This Row],[TIPO BUS]]&amp;"-"&amp;inicioTerminales[[#This Row],[MARCA CHASIS]]</f>
        <v>C2-VOLVO</v>
      </c>
    </row>
    <row r="51" spans="1:14">
      <c r="A51" s="27" t="s">
        <v>10</v>
      </c>
      <c r="B51" s="27" t="s">
        <v>53</v>
      </c>
      <c r="C51" s="27">
        <v>4052</v>
      </c>
      <c r="D51" s="27" t="s">
        <v>38</v>
      </c>
      <c r="E51" s="27" t="s">
        <v>13</v>
      </c>
      <c r="F51" s="27" t="s">
        <v>14</v>
      </c>
      <c r="G51" s="27" t="str">
        <f>_xlfn.CONCAT(inicioTerminales[[#This Row],[MARCA CHASIS]]," - ", inicioTerminales[[#This Row],[TIPO BUS]])</f>
        <v>VOLVO - C2</v>
      </c>
      <c r="H51" s="27" t="s">
        <v>15</v>
      </c>
      <c r="I51" s="52">
        <v>44928</v>
      </c>
      <c r="J51" s="27" t="s">
        <v>1341</v>
      </c>
      <c r="K51" s="27" t="s">
        <v>837</v>
      </c>
      <c r="L51" s="27" t="s">
        <v>845</v>
      </c>
      <c r="M51" s="27" t="s">
        <v>15</v>
      </c>
      <c r="N51" s="27" t="str">
        <f>inicioTerminales[[#This Row],[TIPO BUS]]&amp;"-"&amp;inicioTerminales[[#This Row],[MARCA CHASIS]]</f>
        <v>C2-VOLVO</v>
      </c>
    </row>
    <row r="52" spans="1:14">
      <c r="A52" s="27" t="s">
        <v>10</v>
      </c>
      <c r="B52" s="27" t="s">
        <v>252</v>
      </c>
      <c r="C52" s="27">
        <v>4056</v>
      </c>
      <c r="D52" s="27" t="s">
        <v>38</v>
      </c>
      <c r="E52" s="27" t="s">
        <v>13</v>
      </c>
      <c r="F52" s="27" t="s">
        <v>14</v>
      </c>
      <c r="G52" s="27" t="str">
        <f>_xlfn.CONCAT(inicioTerminales[[#This Row],[MARCA CHASIS]]," - ", inicioTerminales[[#This Row],[TIPO BUS]])</f>
        <v>VOLVO - C2</v>
      </c>
      <c r="H52" s="27" t="s">
        <v>15</v>
      </c>
      <c r="I52" s="52">
        <v>44928</v>
      </c>
      <c r="J52" s="27" t="s">
        <v>1341</v>
      </c>
      <c r="K52" s="27" t="s">
        <v>837</v>
      </c>
      <c r="L52" s="27" t="s">
        <v>845</v>
      </c>
      <c r="M52" s="27" t="s">
        <v>15</v>
      </c>
      <c r="N52" s="27" t="str">
        <f>inicioTerminales[[#This Row],[TIPO BUS]]&amp;"-"&amp;inicioTerminales[[#This Row],[MARCA CHASIS]]</f>
        <v>C2-VOLVO</v>
      </c>
    </row>
    <row r="53" spans="1:14">
      <c r="A53" s="27" t="s">
        <v>10</v>
      </c>
      <c r="B53" s="27" t="s">
        <v>54</v>
      </c>
      <c r="C53" s="27">
        <v>4057</v>
      </c>
      <c r="D53" s="27" t="s">
        <v>38</v>
      </c>
      <c r="E53" s="27" t="s">
        <v>13</v>
      </c>
      <c r="F53" s="27" t="s">
        <v>14</v>
      </c>
      <c r="G53" s="27" t="str">
        <f>_xlfn.CONCAT(inicioTerminales[[#This Row],[MARCA CHASIS]]," - ", inicioTerminales[[#This Row],[TIPO BUS]])</f>
        <v>VOLVO - C2</v>
      </c>
      <c r="H53" s="27" t="s">
        <v>15</v>
      </c>
      <c r="I53" s="52">
        <v>44928</v>
      </c>
      <c r="J53" s="27" t="s">
        <v>1341</v>
      </c>
      <c r="K53" s="27" t="s">
        <v>837</v>
      </c>
      <c r="L53" s="27" t="s">
        <v>845</v>
      </c>
      <c r="M53" s="27" t="s">
        <v>15</v>
      </c>
      <c r="N53" s="27" t="str">
        <f>inicioTerminales[[#This Row],[TIPO BUS]]&amp;"-"&amp;inicioTerminales[[#This Row],[MARCA CHASIS]]</f>
        <v>C2-VOLVO</v>
      </c>
    </row>
    <row r="54" spans="1:14">
      <c r="A54" s="27" t="s">
        <v>10</v>
      </c>
      <c r="B54" s="27" t="s">
        <v>55</v>
      </c>
      <c r="C54" s="27">
        <v>4058</v>
      </c>
      <c r="D54" s="27" t="s">
        <v>38</v>
      </c>
      <c r="E54" s="27" t="s">
        <v>13</v>
      </c>
      <c r="F54" s="27" t="s">
        <v>14</v>
      </c>
      <c r="G54" s="27" t="str">
        <f>_xlfn.CONCAT(inicioTerminales[[#This Row],[MARCA CHASIS]]," - ", inicioTerminales[[#This Row],[TIPO BUS]])</f>
        <v>VOLVO - C2</v>
      </c>
      <c r="H54" s="27" t="s">
        <v>15</v>
      </c>
      <c r="I54" s="52">
        <v>44928</v>
      </c>
      <c r="J54" s="27" t="s">
        <v>1341</v>
      </c>
      <c r="K54" s="27" t="s">
        <v>837</v>
      </c>
      <c r="L54" s="27" t="s">
        <v>845</v>
      </c>
      <c r="M54" s="27" t="s">
        <v>15</v>
      </c>
      <c r="N54" s="27" t="str">
        <f>inicioTerminales[[#This Row],[TIPO BUS]]&amp;"-"&amp;inicioTerminales[[#This Row],[MARCA CHASIS]]</f>
        <v>C2-VOLVO</v>
      </c>
    </row>
    <row r="55" spans="1:14">
      <c r="A55" s="27" t="s">
        <v>10</v>
      </c>
      <c r="B55" s="27" t="s">
        <v>230</v>
      </c>
      <c r="C55" s="27">
        <v>4006</v>
      </c>
      <c r="D55" s="27" t="s">
        <v>38</v>
      </c>
      <c r="E55" s="27" t="s">
        <v>13</v>
      </c>
      <c r="F55" s="27" t="s">
        <v>145</v>
      </c>
      <c r="G55" s="27" t="str">
        <f>_xlfn.CONCAT(inicioTerminales[[#This Row],[MARCA CHASIS]]," - ", inicioTerminales[[#This Row],[TIPO BUS]])</f>
        <v>MERCEDES BENZ - C2</v>
      </c>
      <c r="H55" s="27" t="s">
        <v>1364</v>
      </c>
      <c r="I55" s="52">
        <v>44933</v>
      </c>
      <c r="J55" s="27" t="s">
        <v>830</v>
      </c>
      <c r="K55" s="27" t="s">
        <v>1365</v>
      </c>
      <c r="L55" s="27" t="s">
        <v>845</v>
      </c>
      <c r="M55" s="27" t="s">
        <v>1364</v>
      </c>
      <c r="N55" s="27" t="str">
        <f>inicioTerminales[[#This Row],[TIPO BUS]]&amp;"-"&amp;inicioTerminales[[#This Row],[MARCA CHASIS]]</f>
        <v>C2-MERCEDES BENZ</v>
      </c>
    </row>
    <row r="56" spans="1:14">
      <c r="A56" s="27" t="s">
        <v>10</v>
      </c>
      <c r="B56" s="27" t="s">
        <v>255</v>
      </c>
      <c r="C56" s="27">
        <v>2091</v>
      </c>
      <c r="D56" s="27" t="s">
        <v>34</v>
      </c>
      <c r="E56" s="27" t="s">
        <v>13</v>
      </c>
      <c r="F56" s="27" t="s">
        <v>145</v>
      </c>
      <c r="G56" s="27" t="str">
        <f>_xlfn.CONCAT(inicioTerminales[[#This Row],[MARCA CHASIS]]," - ", inicioTerminales[[#This Row],[TIPO BUS]])</f>
        <v>MERCEDES BENZ - B2</v>
      </c>
      <c r="H56" s="27" t="s">
        <v>15</v>
      </c>
      <c r="I56" s="52">
        <v>44933</v>
      </c>
      <c r="J56" s="27" t="s">
        <v>830</v>
      </c>
      <c r="K56" s="27" t="s">
        <v>837</v>
      </c>
      <c r="L56" s="27" t="s">
        <v>845</v>
      </c>
      <c r="M56" s="27" t="s">
        <v>845</v>
      </c>
      <c r="N56" s="27" t="str">
        <f>inicioTerminales[[#This Row],[TIPO BUS]]&amp;"-"&amp;inicioTerminales[[#This Row],[MARCA CHASIS]]</f>
        <v>B2-MERCEDES BENZ</v>
      </c>
    </row>
    <row r="57" spans="1:14">
      <c r="A57" s="27" t="s">
        <v>10</v>
      </c>
      <c r="B57" s="27" t="s">
        <v>92</v>
      </c>
      <c r="C57" s="27">
        <v>2065</v>
      </c>
      <c r="D57" s="27" t="s">
        <v>34</v>
      </c>
      <c r="E57" s="27" t="s">
        <v>13</v>
      </c>
      <c r="F57" s="27" t="s">
        <v>36</v>
      </c>
      <c r="G57" s="27" t="str">
        <f>_xlfn.CONCAT(inicioTerminales[[#This Row],[MARCA CHASIS]]," - ", inicioTerminales[[#This Row],[TIPO BUS]])</f>
        <v>SCANIA - B2</v>
      </c>
      <c r="H57" s="27" t="s">
        <v>89</v>
      </c>
      <c r="I57" s="52">
        <v>44933</v>
      </c>
      <c r="J57" s="27" t="s">
        <v>830</v>
      </c>
      <c r="K57" s="27" t="s">
        <v>836</v>
      </c>
      <c r="L57" s="27" t="s">
        <v>1366</v>
      </c>
      <c r="M57" s="27" t="s">
        <v>130</v>
      </c>
      <c r="N57" s="27" t="str">
        <f>inicioTerminales[[#This Row],[TIPO BUS]]&amp;"-"&amp;inicioTerminales[[#This Row],[MARCA CHASIS]]</f>
        <v>B2-SCANIA</v>
      </c>
    </row>
    <row r="58" spans="1:14">
      <c r="A58" s="27" t="s">
        <v>10</v>
      </c>
      <c r="B58" s="27" t="s">
        <v>93</v>
      </c>
      <c r="C58" s="27">
        <v>2066</v>
      </c>
      <c r="D58" s="27" t="s">
        <v>34</v>
      </c>
      <c r="E58" s="27" t="s">
        <v>13</v>
      </c>
      <c r="F58" s="27" t="s">
        <v>36</v>
      </c>
      <c r="G58" s="27" t="str">
        <f>_xlfn.CONCAT(inicioTerminales[[#This Row],[MARCA CHASIS]]," - ", inicioTerminales[[#This Row],[TIPO BUS]])</f>
        <v>SCANIA - B2</v>
      </c>
      <c r="H58" s="27" t="s">
        <v>89</v>
      </c>
      <c r="I58" s="52">
        <v>44928</v>
      </c>
      <c r="J58" s="27" t="s">
        <v>830</v>
      </c>
      <c r="K58" s="27" t="s">
        <v>836</v>
      </c>
      <c r="L58" s="27" t="s">
        <v>1366</v>
      </c>
      <c r="M58" s="27" t="s">
        <v>130</v>
      </c>
      <c r="N58" s="27" t="str">
        <f>inicioTerminales[[#This Row],[TIPO BUS]]&amp;"-"&amp;inicioTerminales[[#This Row],[MARCA CHASIS]]</f>
        <v>B2-SCANIA</v>
      </c>
    </row>
    <row r="59" spans="1:14">
      <c r="A59" s="27" t="s">
        <v>10</v>
      </c>
      <c r="B59" s="27" t="s">
        <v>56</v>
      </c>
      <c r="C59" s="27">
        <v>4059</v>
      </c>
      <c r="D59" s="27" t="s">
        <v>38</v>
      </c>
      <c r="E59" s="27" t="s">
        <v>13</v>
      </c>
      <c r="F59" s="27" t="s">
        <v>14</v>
      </c>
      <c r="G59" s="27" t="str">
        <f>_xlfn.CONCAT(inicioTerminales[[#This Row],[MARCA CHASIS]]," - ", inicioTerminales[[#This Row],[TIPO BUS]])</f>
        <v>VOLVO - C2</v>
      </c>
      <c r="H59" s="27" t="s">
        <v>15</v>
      </c>
      <c r="I59" s="52">
        <v>44928</v>
      </c>
      <c r="J59" s="27" t="s">
        <v>1341</v>
      </c>
      <c r="K59" s="27" t="s">
        <v>837</v>
      </c>
      <c r="L59" s="27" t="s">
        <v>845</v>
      </c>
      <c r="M59" s="27" t="s">
        <v>15</v>
      </c>
      <c r="N59" s="27" t="str">
        <f>inicioTerminales[[#This Row],[TIPO BUS]]&amp;"-"&amp;inicioTerminales[[#This Row],[MARCA CHASIS]]</f>
        <v>C2-VOLVO</v>
      </c>
    </row>
    <row r="60" spans="1:14">
      <c r="A60" s="27" t="s">
        <v>10</v>
      </c>
      <c r="B60" s="27" t="s">
        <v>100</v>
      </c>
      <c r="C60" s="27">
        <v>4027</v>
      </c>
      <c r="D60" s="27" t="s">
        <v>38</v>
      </c>
      <c r="E60" s="27" t="s">
        <v>13</v>
      </c>
      <c r="F60" s="27" t="s">
        <v>14</v>
      </c>
      <c r="G60" s="27" t="str">
        <f>_xlfn.CONCAT(inicioTerminales[[#This Row],[MARCA CHASIS]]," - ", inicioTerminales[[#This Row],[TIPO BUS]])</f>
        <v>VOLVO - C2</v>
      </c>
      <c r="H60" s="27" t="s">
        <v>89</v>
      </c>
      <c r="I60" s="52">
        <v>44928</v>
      </c>
      <c r="J60" s="27" t="s">
        <v>1341</v>
      </c>
      <c r="K60" s="27" t="s">
        <v>836</v>
      </c>
      <c r="L60" s="27" t="s">
        <v>1366</v>
      </c>
      <c r="M60" s="27" t="s">
        <v>89</v>
      </c>
      <c r="N60" s="27" t="str">
        <f>inicioTerminales[[#This Row],[TIPO BUS]]&amp;"-"&amp;inicioTerminales[[#This Row],[MARCA CHASIS]]</f>
        <v>C2-VOLVO</v>
      </c>
    </row>
    <row r="61" spans="1:14">
      <c r="A61" s="27" t="s">
        <v>10</v>
      </c>
      <c r="B61" s="27" t="s">
        <v>101</v>
      </c>
      <c r="C61" s="27">
        <v>4025</v>
      </c>
      <c r="D61" s="27" t="s">
        <v>38</v>
      </c>
      <c r="E61" s="27" t="s">
        <v>13</v>
      </c>
      <c r="F61" s="27" t="s">
        <v>14</v>
      </c>
      <c r="G61" s="27" t="str">
        <f>_xlfn.CONCAT(inicioTerminales[[#This Row],[MARCA CHASIS]]," - ", inicioTerminales[[#This Row],[TIPO BUS]])</f>
        <v>VOLVO - C2</v>
      </c>
      <c r="H61" s="27" t="s">
        <v>89</v>
      </c>
      <c r="I61" s="52">
        <v>44928</v>
      </c>
      <c r="J61" s="27" t="s">
        <v>1341</v>
      </c>
      <c r="K61" s="27" t="s">
        <v>836</v>
      </c>
      <c r="L61" s="27" t="s">
        <v>1366</v>
      </c>
      <c r="M61" s="27" t="s">
        <v>89</v>
      </c>
      <c r="N61" s="27" t="str">
        <f>inicioTerminales[[#This Row],[TIPO BUS]]&amp;"-"&amp;inicioTerminales[[#This Row],[MARCA CHASIS]]</f>
        <v>C2-VOLVO</v>
      </c>
    </row>
    <row r="62" spans="1:14">
      <c r="A62" s="27" t="s">
        <v>10</v>
      </c>
      <c r="B62" s="27" t="s">
        <v>102</v>
      </c>
      <c r="C62" s="27">
        <v>4026</v>
      </c>
      <c r="D62" s="27" t="s">
        <v>38</v>
      </c>
      <c r="E62" s="27" t="s">
        <v>13</v>
      </c>
      <c r="F62" s="27" t="s">
        <v>14</v>
      </c>
      <c r="G62" s="27" t="str">
        <f>_xlfn.CONCAT(inicioTerminales[[#This Row],[MARCA CHASIS]]," - ", inicioTerminales[[#This Row],[TIPO BUS]])</f>
        <v>VOLVO - C2</v>
      </c>
      <c r="H62" s="27" t="s">
        <v>89</v>
      </c>
      <c r="I62" s="52">
        <v>44928</v>
      </c>
      <c r="J62" s="27" t="s">
        <v>1341</v>
      </c>
      <c r="K62" s="27" t="s">
        <v>836</v>
      </c>
      <c r="L62" s="27" t="s">
        <v>1366</v>
      </c>
      <c r="M62" s="27" t="s">
        <v>89</v>
      </c>
      <c r="N62" s="27" t="str">
        <f>inicioTerminales[[#This Row],[TIPO BUS]]&amp;"-"&amp;inicioTerminales[[#This Row],[MARCA CHASIS]]</f>
        <v>C2-VOLVO</v>
      </c>
    </row>
    <row r="63" spans="1:14">
      <c r="A63" s="27" t="s">
        <v>10</v>
      </c>
      <c r="B63" s="27" t="s">
        <v>103</v>
      </c>
      <c r="C63" s="27">
        <v>4028</v>
      </c>
      <c r="D63" s="27" t="s">
        <v>38</v>
      </c>
      <c r="E63" s="27" t="s">
        <v>13</v>
      </c>
      <c r="F63" s="27" t="s">
        <v>14</v>
      </c>
      <c r="G63" s="27" t="str">
        <f>_xlfn.CONCAT(inicioTerminales[[#This Row],[MARCA CHASIS]]," - ", inicioTerminales[[#This Row],[TIPO BUS]])</f>
        <v>VOLVO - C2</v>
      </c>
      <c r="H63" s="27" t="s">
        <v>89</v>
      </c>
      <c r="I63" s="52">
        <v>44928</v>
      </c>
      <c r="J63" s="27" t="s">
        <v>1341</v>
      </c>
      <c r="K63" s="27" t="s">
        <v>836</v>
      </c>
      <c r="L63" s="27" t="s">
        <v>1366</v>
      </c>
      <c r="M63" s="27" t="s">
        <v>89</v>
      </c>
      <c r="N63" s="27" t="str">
        <f>inicioTerminales[[#This Row],[TIPO BUS]]&amp;"-"&amp;inicioTerminales[[#This Row],[MARCA CHASIS]]</f>
        <v>C2-VOLVO</v>
      </c>
    </row>
    <row r="64" spans="1:14">
      <c r="A64" s="27" t="s">
        <v>10</v>
      </c>
      <c r="B64" s="27" t="s">
        <v>104</v>
      </c>
      <c r="C64" s="27">
        <v>4029</v>
      </c>
      <c r="D64" s="27" t="s">
        <v>38</v>
      </c>
      <c r="E64" s="27" t="s">
        <v>13</v>
      </c>
      <c r="F64" s="27" t="s">
        <v>14</v>
      </c>
      <c r="G64" s="27" t="str">
        <f>_xlfn.CONCAT(inicioTerminales[[#This Row],[MARCA CHASIS]]," - ", inicioTerminales[[#This Row],[TIPO BUS]])</f>
        <v>VOLVO - C2</v>
      </c>
      <c r="H64" s="27" t="s">
        <v>89</v>
      </c>
      <c r="I64" s="52">
        <v>44928</v>
      </c>
      <c r="J64" s="27" t="s">
        <v>1341</v>
      </c>
      <c r="K64" s="27" t="s">
        <v>836</v>
      </c>
      <c r="L64" s="27" t="s">
        <v>1366</v>
      </c>
      <c r="M64" s="27" t="s">
        <v>89</v>
      </c>
      <c r="N64" s="27" t="str">
        <f>inicioTerminales[[#This Row],[TIPO BUS]]&amp;"-"&amp;inicioTerminales[[#This Row],[MARCA CHASIS]]</f>
        <v>C2-VOLVO</v>
      </c>
    </row>
    <row r="65" spans="1:14">
      <c r="A65" s="27" t="s">
        <v>10</v>
      </c>
      <c r="B65" s="27" t="s">
        <v>105</v>
      </c>
      <c r="C65" s="27">
        <v>4032</v>
      </c>
      <c r="D65" s="27" t="s">
        <v>38</v>
      </c>
      <c r="E65" s="27" t="s">
        <v>13</v>
      </c>
      <c r="F65" s="27" t="s">
        <v>14</v>
      </c>
      <c r="G65" s="27" t="str">
        <f>_xlfn.CONCAT(inicioTerminales[[#This Row],[MARCA CHASIS]]," - ", inicioTerminales[[#This Row],[TIPO BUS]])</f>
        <v>VOLVO - C2</v>
      </c>
      <c r="H65" s="27" t="s">
        <v>89</v>
      </c>
      <c r="I65" s="52">
        <v>44928</v>
      </c>
      <c r="J65" s="27" t="s">
        <v>1341</v>
      </c>
      <c r="K65" s="27" t="s">
        <v>836</v>
      </c>
      <c r="L65" s="27" t="s">
        <v>1366</v>
      </c>
      <c r="M65" s="27" t="s">
        <v>89</v>
      </c>
      <c r="N65" s="27" t="str">
        <f>inicioTerminales[[#This Row],[TIPO BUS]]&amp;"-"&amp;inicioTerminales[[#This Row],[MARCA CHASIS]]</f>
        <v>C2-VOLVO</v>
      </c>
    </row>
    <row r="66" spans="1:14">
      <c r="A66" s="27" t="s">
        <v>10</v>
      </c>
      <c r="B66" s="27" t="s">
        <v>106</v>
      </c>
      <c r="C66" s="27">
        <v>4033</v>
      </c>
      <c r="D66" s="27" t="s">
        <v>38</v>
      </c>
      <c r="E66" s="27" t="s">
        <v>13</v>
      </c>
      <c r="F66" s="27" t="s">
        <v>14</v>
      </c>
      <c r="G66" s="27" t="str">
        <f>_xlfn.CONCAT(inicioTerminales[[#This Row],[MARCA CHASIS]]," - ", inicioTerminales[[#This Row],[TIPO BUS]])</f>
        <v>VOLVO - C2</v>
      </c>
      <c r="H66" s="27" t="s">
        <v>89</v>
      </c>
      <c r="I66" s="52">
        <v>44928</v>
      </c>
      <c r="J66" s="27" t="s">
        <v>1341</v>
      </c>
      <c r="K66" s="27" t="s">
        <v>836</v>
      </c>
      <c r="L66" s="27" t="s">
        <v>1366</v>
      </c>
      <c r="M66" s="27" t="s">
        <v>89</v>
      </c>
      <c r="N66" s="27" t="str">
        <f>inicioTerminales[[#This Row],[TIPO BUS]]&amp;"-"&amp;inicioTerminales[[#This Row],[MARCA CHASIS]]</f>
        <v>C2-VOLVO</v>
      </c>
    </row>
    <row r="67" spans="1:14">
      <c r="A67" s="27" t="s">
        <v>10</v>
      </c>
      <c r="B67" s="27" t="s">
        <v>107</v>
      </c>
      <c r="C67" s="27">
        <v>4034</v>
      </c>
      <c r="D67" s="27" t="s">
        <v>38</v>
      </c>
      <c r="E67" s="27" t="s">
        <v>13</v>
      </c>
      <c r="F67" s="27" t="s">
        <v>14</v>
      </c>
      <c r="G67" s="27" t="str">
        <f>_xlfn.CONCAT(inicioTerminales[[#This Row],[MARCA CHASIS]]," - ", inicioTerminales[[#This Row],[TIPO BUS]])</f>
        <v>VOLVO - C2</v>
      </c>
      <c r="H67" s="27" t="s">
        <v>89</v>
      </c>
      <c r="I67" s="52">
        <v>44928</v>
      </c>
      <c r="J67" s="27" t="s">
        <v>1341</v>
      </c>
      <c r="K67" s="27" t="s">
        <v>836</v>
      </c>
      <c r="L67" s="27" t="s">
        <v>1366</v>
      </c>
      <c r="M67" s="27" t="s">
        <v>89</v>
      </c>
      <c r="N67" s="27" t="str">
        <f>inicioTerminales[[#This Row],[TIPO BUS]]&amp;"-"&amp;inicioTerminales[[#This Row],[MARCA CHASIS]]</f>
        <v>C2-VOLVO</v>
      </c>
    </row>
    <row r="68" spans="1:14">
      <c r="A68" s="27" t="s">
        <v>10</v>
      </c>
      <c r="B68" s="27" t="s">
        <v>108</v>
      </c>
      <c r="C68" s="27">
        <v>4039</v>
      </c>
      <c r="D68" s="27" t="s">
        <v>38</v>
      </c>
      <c r="E68" s="27" t="s">
        <v>13</v>
      </c>
      <c r="F68" s="27" t="s">
        <v>14</v>
      </c>
      <c r="G68" s="27" t="str">
        <f>_xlfn.CONCAT(inicioTerminales[[#This Row],[MARCA CHASIS]]," - ", inicioTerminales[[#This Row],[TIPO BUS]])</f>
        <v>VOLVO - C2</v>
      </c>
      <c r="H68" s="27" t="s">
        <v>89</v>
      </c>
      <c r="I68" s="52">
        <v>44928</v>
      </c>
      <c r="J68" s="27" t="s">
        <v>1341</v>
      </c>
      <c r="K68" s="27" t="s">
        <v>836</v>
      </c>
      <c r="L68" s="27" t="s">
        <v>1366</v>
      </c>
      <c r="M68" s="27" t="s">
        <v>89</v>
      </c>
      <c r="N68" s="27" t="str">
        <f>inicioTerminales[[#This Row],[TIPO BUS]]&amp;"-"&amp;inicioTerminales[[#This Row],[MARCA CHASIS]]</f>
        <v>C2-VOLVO</v>
      </c>
    </row>
    <row r="69" spans="1:14">
      <c r="A69" s="27" t="s">
        <v>10</v>
      </c>
      <c r="B69" s="27" t="s">
        <v>88</v>
      </c>
      <c r="C69" s="27">
        <v>2046</v>
      </c>
      <c r="D69" s="27" t="s">
        <v>34</v>
      </c>
      <c r="E69" s="27" t="s">
        <v>13</v>
      </c>
      <c r="F69" s="27" t="s">
        <v>36</v>
      </c>
      <c r="G69" s="27" t="str">
        <f>_xlfn.CONCAT(inicioTerminales[[#This Row],[MARCA CHASIS]]," - ", inicioTerminales[[#This Row],[TIPO BUS]])</f>
        <v>SCANIA - B2</v>
      </c>
      <c r="H69" s="27" t="s">
        <v>89</v>
      </c>
      <c r="I69" s="52">
        <v>44912</v>
      </c>
      <c r="J69" s="27" t="s">
        <v>830</v>
      </c>
      <c r="K69" s="27" t="s">
        <v>836</v>
      </c>
      <c r="L69" s="27" t="s">
        <v>1366</v>
      </c>
      <c r="M69" s="27" t="s">
        <v>130</v>
      </c>
      <c r="N69" s="27" t="str">
        <f>inicioTerminales[[#This Row],[TIPO BUS]]&amp;"-"&amp;inicioTerminales[[#This Row],[MARCA CHASIS]]</f>
        <v>B2-SCANIA</v>
      </c>
    </row>
    <row r="70" spans="1:14">
      <c r="A70" s="27" t="s">
        <v>10</v>
      </c>
      <c r="B70" s="27" t="s">
        <v>94</v>
      </c>
      <c r="C70" s="27">
        <v>2074</v>
      </c>
      <c r="D70" s="27" t="s">
        <v>34</v>
      </c>
      <c r="E70" s="27" t="s">
        <v>13</v>
      </c>
      <c r="F70" s="27" t="s">
        <v>36</v>
      </c>
      <c r="G70" s="27" t="str">
        <f>_xlfn.CONCAT(inicioTerminales[[#This Row],[MARCA CHASIS]]," - ", inicioTerminales[[#This Row],[TIPO BUS]])</f>
        <v>SCANIA - B2</v>
      </c>
      <c r="H70" s="27" t="s">
        <v>89</v>
      </c>
      <c r="I70" s="52">
        <v>44933</v>
      </c>
      <c r="J70" s="27" t="s">
        <v>830</v>
      </c>
      <c r="K70" s="27" t="s">
        <v>836</v>
      </c>
      <c r="L70" s="27" t="s">
        <v>1366</v>
      </c>
      <c r="M70" s="27" t="s">
        <v>130</v>
      </c>
      <c r="N70" s="27" t="str">
        <f>inicioTerminales[[#This Row],[TIPO BUS]]&amp;"-"&amp;inicioTerminales[[#This Row],[MARCA CHASIS]]</f>
        <v>B2-SCANIA</v>
      </c>
    </row>
    <row r="71" spans="1:14">
      <c r="A71" s="27" t="s">
        <v>10</v>
      </c>
      <c r="B71" s="27" t="s">
        <v>95</v>
      </c>
      <c r="C71" s="27">
        <v>2075</v>
      </c>
      <c r="D71" s="27" t="s">
        <v>34</v>
      </c>
      <c r="E71" s="27" t="s">
        <v>13</v>
      </c>
      <c r="F71" s="27" t="s">
        <v>36</v>
      </c>
      <c r="G71" s="27" t="str">
        <f>_xlfn.CONCAT(inicioTerminales[[#This Row],[MARCA CHASIS]]," - ", inicioTerminales[[#This Row],[TIPO BUS]])</f>
        <v>SCANIA - B2</v>
      </c>
      <c r="H71" s="27" t="s">
        <v>89</v>
      </c>
      <c r="I71" s="52">
        <v>44933</v>
      </c>
      <c r="J71" s="27" t="s">
        <v>830</v>
      </c>
      <c r="K71" s="27" t="s">
        <v>836</v>
      </c>
      <c r="L71" s="27" t="s">
        <v>1366</v>
      </c>
      <c r="M71" s="27" t="s">
        <v>130</v>
      </c>
      <c r="N71" s="27" t="str">
        <f>inicioTerminales[[#This Row],[TIPO BUS]]&amp;"-"&amp;inicioTerminales[[#This Row],[MARCA CHASIS]]</f>
        <v>B2-SCANIA</v>
      </c>
    </row>
    <row r="72" spans="1:14">
      <c r="A72" s="27" t="s">
        <v>10</v>
      </c>
      <c r="B72" s="27" t="s">
        <v>90</v>
      </c>
      <c r="C72" s="27">
        <v>2076</v>
      </c>
      <c r="D72" s="27" t="s">
        <v>34</v>
      </c>
      <c r="E72" s="27" t="s">
        <v>13</v>
      </c>
      <c r="F72" s="27" t="s">
        <v>36</v>
      </c>
      <c r="G72" s="27" t="str">
        <f>_xlfn.CONCAT(inicioTerminales[[#This Row],[MARCA CHASIS]]," - ", inicioTerminales[[#This Row],[TIPO BUS]])</f>
        <v>SCANIA - B2</v>
      </c>
      <c r="H72" s="27" t="s">
        <v>89</v>
      </c>
      <c r="I72" s="52">
        <v>44928</v>
      </c>
      <c r="J72" s="27" t="s">
        <v>830</v>
      </c>
      <c r="K72" s="27" t="s">
        <v>836</v>
      </c>
      <c r="L72" s="27" t="s">
        <v>1366</v>
      </c>
      <c r="M72" s="27" t="s">
        <v>130</v>
      </c>
      <c r="N72" s="27" t="str">
        <f>inicioTerminales[[#This Row],[TIPO BUS]]&amp;"-"&amp;inicioTerminales[[#This Row],[MARCA CHASIS]]</f>
        <v>B2-SCANIA</v>
      </c>
    </row>
    <row r="73" spans="1:14">
      <c r="A73" s="27" t="s">
        <v>10</v>
      </c>
      <c r="B73" s="27" t="s">
        <v>98</v>
      </c>
      <c r="C73" s="27">
        <v>2077</v>
      </c>
      <c r="D73" s="27" t="s">
        <v>34</v>
      </c>
      <c r="E73" s="27" t="s">
        <v>13</v>
      </c>
      <c r="F73" s="27" t="s">
        <v>36</v>
      </c>
      <c r="G73" s="27" t="str">
        <f>_xlfn.CONCAT(inicioTerminales[[#This Row],[MARCA CHASIS]]," - ", inicioTerminales[[#This Row],[TIPO BUS]])</f>
        <v>SCANIA - B2</v>
      </c>
      <c r="H73" s="27" t="s">
        <v>89</v>
      </c>
      <c r="I73" s="52">
        <v>44933</v>
      </c>
      <c r="J73" s="27" t="s">
        <v>830</v>
      </c>
      <c r="K73" s="27" t="s">
        <v>836</v>
      </c>
      <c r="L73" s="27" t="s">
        <v>1366</v>
      </c>
      <c r="M73" s="27" t="s">
        <v>130</v>
      </c>
      <c r="N73" s="27" t="str">
        <f>inicioTerminales[[#This Row],[TIPO BUS]]&amp;"-"&amp;inicioTerminales[[#This Row],[MARCA CHASIS]]</f>
        <v>B2-SCANIA</v>
      </c>
    </row>
    <row r="74" spans="1:14">
      <c r="A74" s="27" t="s">
        <v>10</v>
      </c>
      <c r="B74" s="27" t="s">
        <v>91</v>
      </c>
      <c r="C74" s="27">
        <v>2078</v>
      </c>
      <c r="D74" s="27" t="s">
        <v>34</v>
      </c>
      <c r="E74" s="27" t="s">
        <v>13</v>
      </c>
      <c r="F74" s="27" t="s">
        <v>36</v>
      </c>
      <c r="G74" s="27" t="str">
        <f>_xlfn.CONCAT(inicioTerminales[[#This Row],[MARCA CHASIS]]," - ", inicioTerminales[[#This Row],[TIPO BUS]])</f>
        <v>SCANIA - B2</v>
      </c>
      <c r="H74" s="27" t="s">
        <v>89</v>
      </c>
      <c r="I74" s="52">
        <v>44928</v>
      </c>
      <c r="J74" s="27" t="s">
        <v>830</v>
      </c>
      <c r="K74" s="27" t="s">
        <v>836</v>
      </c>
      <c r="L74" s="27" t="s">
        <v>1366</v>
      </c>
      <c r="M74" s="27" t="s">
        <v>130</v>
      </c>
      <c r="N74" s="27" t="str">
        <f>inicioTerminales[[#This Row],[TIPO BUS]]&amp;"-"&amp;inicioTerminales[[#This Row],[MARCA CHASIS]]</f>
        <v>B2-SCANIA</v>
      </c>
    </row>
    <row r="75" spans="1:14">
      <c r="A75" s="27" t="s">
        <v>10</v>
      </c>
      <c r="B75" s="27" t="s">
        <v>99</v>
      </c>
      <c r="C75" s="27">
        <v>2079</v>
      </c>
      <c r="D75" s="27" t="s">
        <v>34</v>
      </c>
      <c r="E75" s="27" t="s">
        <v>13</v>
      </c>
      <c r="F75" s="27" t="s">
        <v>36</v>
      </c>
      <c r="G75" s="27" t="str">
        <f>_xlfn.CONCAT(inicioTerminales[[#This Row],[MARCA CHASIS]]," - ", inicioTerminales[[#This Row],[TIPO BUS]])</f>
        <v>SCANIA - B2</v>
      </c>
      <c r="H75" s="27" t="s">
        <v>89</v>
      </c>
      <c r="I75" s="52">
        <v>44928</v>
      </c>
      <c r="J75" s="27" t="s">
        <v>830</v>
      </c>
      <c r="K75" s="27" t="s">
        <v>836</v>
      </c>
      <c r="L75" s="27" t="s">
        <v>1366</v>
      </c>
      <c r="M75" s="27" t="s">
        <v>130</v>
      </c>
      <c r="N75" s="27" t="str">
        <f>inicioTerminales[[#This Row],[TIPO BUS]]&amp;"-"&amp;inicioTerminales[[#This Row],[MARCA CHASIS]]</f>
        <v>B2-SCANIA</v>
      </c>
    </row>
    <row r="76" spans="1:14">
      <c r="A76" s="27" t="s">
        <v>10</v>
      </c>
      <c r="B76" s="27" t="s">
        <v>109</v>
      </c>
      <c r="C76" s="27">
        <v>4045</v>
      </c>
      <c r="D76" s="27" t="s">
        <v>38</v>
      </c>
      <c r="E76" s="27" t="s">
        <v>13</v>
      </c>
      <c r="F76" s="27" t="s">
        <v>14</v>
      </c>
      <c r="G76" s="27" t="str">
        <f>_xlfn.CONCAT(inicioTerminales[[#This Row],[MARCA CHASIS]]," - ", inicioTerminales[[#This Row],[TIPO BUS]])</f>
        <v>VOLVO - C2</v>
      </c>
      <c r="H76" s="27" t="s">
        <v>89</v>
      </c>
      <c r="I76" s="52">
        <v>44928</v>
      </c>
      <c r="J76" s="27" t="s">
        <v>1341</v>
      </c>
      <c r="K76" s="27" t="s">
        <v>836</v>
      </c>
      <c r="L76" s="27" t="s">
        <v>1366</v>
      </c>
      <c r="M76" s="27" t="s">
        <v>89</v>
      </c>
      <c r="N76" s="27" t="str">
        <f>inicioTerminales[[#This Row],[TIPO BUS]]&amp;"-"&amp;inicioTerminales[[#This Row],[MARCA CHASIS]]</f>
        <v>C2-VOLVO</v>
      </c>
    </row>
    <row r="77" spans="1:14">
      <c r="A77" s="27" t="s">
        <v>10</v>
      </c>
      <c r="B77" s="27" t="s">
        <v>110</v>
      </c>
      <c r="C77" s="27">
        <v>4030</v>
      </c>
      <c r="D77" s="27" t="s">
        <v>38</v>
      </c>
      <c r="E77" s="27" t="s">
        <v>13</v>
      </c>
      <c r="F77" s="27" t="s">
        <v>14</v>
      </c>
      <c r="G77" s="27" t="str">
        <f>_xlfn.CONCAT(inicioTerminales[[#This Row],[MARCA CHASIS]]," - ", inicioTerminales[[#This Row],[TIPO BUS]])</f>
        <v>VOLVO - C2</v>
      </c>
      <c r="H77" s="27" t="s">
        <v>89</v>
      </c>
      <c r="I77" s="52">
        <v>44928</v>
      </c>
      <c r="J77" s="27" t="s">
        <v>1341</v>
      </c>
      <c r="K77" s="27" t="s">
        <v>836</v>
      </c>
      <c r="L77" s="27" t="s">
        <v>1366</v>
      </c>
      <c r="M77" s="27" t="s">
        <v>89</v>
      </c>
      <c r="N77" s="27" t="str">
        <f>inicioTerminales[[#This Row],[TIPO BUS]]&amp;"-"&amp;inicioTerminales[[#This Row],[MARCA CHASIS]]</f>
        <v>C2-VOLVO</v>
      </c>
    </row>
    <row r="78" spans="1:14">
      <c r="A78" s="27" t="s">
        <v>10</v>
      </c>
      <c r="B78" s="27" t="s">
        <v>111</v>
      </c>
      <c r="C78" s="27">
        <v>4037</v>
      </c>
      <c r="D78" s="27" t="s">
        <v>38</v>
      </c>
      <c r="E78" s="27" t="s">
        <v>13</v>
      </c>
      <c r="F78" s="27" t="s">
        <v>14</v>
      </c>
      <c r="G78" s="27" t="str">
        <f>_xlfn.CONCAT(inicioTerminales[[#This Row],[MARCA CHASIS]]," - ", inicioTerminales[[#This Row],[TIPO BUS]])</f>
        <v>VOLVO - C2</v>
      </c>
      <c r="H78" s="27" t="s">
        <v>89</v>
      </c>
      <c r="I78" s="52">
        <v>44928</v>
      </c>
      <c r="J78" s="27" t="s">
        <v>1341</v>
      </c>
      <c r="K78" s="27" t="s">
        <v>836</v>
      </c>
      <c r="L78" s="27" t="s">
        <v>1366</v>
      </c>
      <c r="M78" s="27" t="s">
        <v>89</v>
      </c>
      <c r="N78" s="27" t="str">
        <f>inicioTerminales[[#This Row],[TIPO BUS]]&amp;"-"&amp;inicioTerminales[[#This Row],[MARCA CHASIS]]</f>
        <v>C2-VOLVO</v>
      </c>
    </row>
    <row r="79" spans="1:14">
      <c r="A79" s="27" t="s">
        <v>10</v>
      </c>
      <c r="B79" s="27" t="s">
        <v>112</v>
      </c>
      <c r="C79" s="27">
        <v>4047</v>
      </c>
      <c r="D79" s="27" t="s">
        <v>38</v>
      </c>
      <c r="E79" s="27" t="s">
        <v>13</v>
      </c>
      <c r="F79" s="27" t="s">
        <v>14</v>
      </c>
      <c r="G79" s="27" t="str">
        <f>_xlfn.CONCAT(inicioTerminales[[#This Row],[MARCA CHASIS]]," - ", inicioTerminales[[#This Row],[TIPO BUS]])</f>
        <v>VOLVO - C2</v>
      </c>
      <c r="H79" s="27" t="s">
        <v>89</v>
      </c>
      <c r="I79" s="52">
        <v>44928</v>
      </c>
      <c r="J79" s="27" t="s">
        <v>1341</v>
      </c>
      <c r="K79" s="27" t="s">
        <v>836</v>
      </c>
      <c r="L79" s="27" t="s">
        <v>1366</v>
      </c>
      <c r="M79" s="27" t="s">
        <v>89</v>
      </c>
      <c r="N79" s="27" t="str">
        <f>inicioTerminales[[#This Row],[TIPO BUS]]&amp;"-"&amp;inicioTerminales[[#This Row],[MARCA CHASIS]]</f>
        <v>C2-VOLVO</v>
      </c>
    </row>
    <row r="80" spans="1:14">
      <c r="A80" s="27" t="s">
        <v>10</v>
      </c>
      <c r="B80" s="27" t="s">
        <v>113</v>
      </c>
      <c r="C80" s="27">
        <v>4053</v>
      </c>
      <c r="D80" s="27" t="s">
        <v>38</v>
      </c>
      <c r="E80" s="27" t="s">
        <v>13</v>
      </c>
      <c r="F80" s="27" t="s">
        <v>14</v>
      </c>
      <c r="G80" s="27" t="str">
        <f>_xlfn.CONCAT(inicioTerminales[[#This Row],[MARCA CHASIS]]," - ", inicioTerminales[[#This Row],[TIPO BUS]])</f>
        <v>VOLVO - C2</v>
      </c>
      <c r="H80" s="27" t="s">
        <v>89</v>
      </c>
      <c r="I80" s="52">
        <v>44928</v>
      </c>
      <c r="J80" s="27" t="s">
        <v>1341</v>
      </c>
      <c r="K80" s="27" t="s">
        <v>836</v>
      </c>
      <c r="L80" s="27" t="s">
        <v>1366</v>
      </c>
      <c r="M80" s="27" t="s">
        <v>89</v>
      </c>
      <c r="N80" s="27" t="str">
        <f>inicioTerminales[[#This Row],[TIPO BUS]]&amp;"-"&amp;inicioTerminales[[#This Row],[MARCA CHASIS]]</f>
        <v>C2-VOLVO</v>
      </c>
    </row>
    <row r="81" spans="1:14">
      <c r="A81" s="27" t="s">
        <v>10</v>
      </c>
      <c r="B81" s="27" t="s">
        <v>114</v>
      </c>
      <c r="C81" s="27">
        <v>4054</v>
      </c>
      <c r="D81" s="27" t="s">
        <v>38</v>
      </c>
      <c r="E81" s="27" t="s">
        <v>13</v>
      </c>
      <c r="F81" s="27" t="s">
        <v>14</v>
      </c>
      <c r="G81" s="27" t="str">
        <f>_xlfn.CONCAT(inicioTerminales[[#This Row],[MARCA CHASIS]]," - ", inicioTerminales[[#This Row],[TIPO BUS]])</f>
        <v>VOLVO - C2</v>
      </c>
      <c r="H81" s="27" t="s">
        <v>89</v>
      </c>
      <c r="I81" s="52">
        <v>44928</v>
      </c>
      <c r="J81" s="27" t="s">
        <v>1341</v>
      </c>
      <c r="K81" s="27" t="s">
        <v>836</v>
      </c>
      <c r="L81" s="27" t="s">
        <v>1366</v>
      </c>
      <c r="M81" s="27" t="s">
        <v>89</v>
      </c>
      <c r="N81" s="27" t="str">
        <f>inicioTerminales[[#This Row],[TIPO BUS]]&amp;"-"&amp;inicioTerminales[[#This Row],[MARCA CHASIS]]</f>
        <v>C2-VOLVO</v>
      </c>
    </row>
    <row r="82" spans="1:14">
      <c r="A82" s="27" t="s">
        <v>10</v>
      </c>
      <c r="B82" s="27" t="s">
        <v>115</v>
      </c>
      <c r="C82" s="27">
        <v>4055</v>
      </c>
      <c r="D82" s="27" t="s">
        <v>38</v>
      </c>
      <c r="E82" s="27" t="s">
        <v>13</v>
      </c>
      <c r="F82" s="27" t="s">
        <v>14</v>
      </c>
      <c r="G82" s="27" t="str">
        <f>_xlfn.CONCAT(inicioTerminales[[#This Row],[MARCA CHASIS]]," - ", inicioTerminales[[#This Row],[TIPO BUS]])</f>
        <v>VOLVO - C2</v>
      </c>
      <c r="H82" s="27" t="s">
        <v>89</v>
      </c>
      <c r="I82" s="52">
        <v>44928</v>
      </c>
      <c r="J82" s="27" t="s">
        <v>1341</v>
      </c>
      <c r="K82" s="27" t="s">
        <v>836</v>
      </c>
      <c r="L82" s="27" t="s">
        <v>1366</v>
      </c>
      <c r="M82" s="27" t="s">
        <v>89</v>
      </c>
      <c r="N82" s="27" t="str">
        <f>inicioTerminales[[#This Row],[TIPO BUS]]&amp;"-"&amp;inicioTerminales[[#This Row],[MARCA CHASIS]]</f>
        <v>C2-VOLVO</v>
      </c>
    </row>
    <row r="83" spans="1:14">
      <c r="A83" s="27" t="s">
        <v>10</v>
      </c>
      <c r="B83" s="27" t="s">
        <v>116</v>
      </c>
      <c r="C83" s="27">
        <v>4060</v>
      </c>
      <c r="D83" s="27" t="s">
        <v>38</v>
      </c>
      <c r="E83" s="27" t="s">
        <v>13</v>
      </c>
      <c r="F83" s="27" t="s">
        <v>14</v>
      </c>
      <c r="G83" s="27" t="str">
        <f>_xlfn.CONCAT(inicioTerminales[[#This Row],[MARCA CHASIS]]," - ", inicioTerminales[[#This Row],[TIPO BUS]])</f>
        <v>VOLVO - C2</v>
      </c>
      <c r="H83" s="27" t="s">
        <v>89</v>
      </c>
      <c r="I83" s="52">
        <v>44928</v>
      </c>
      <c r="J83" s="27" t="s">
        <v>1341</v>
      </c>
      <c r="K83" s="27" t="s">
        <v>836</v>
      </c>
      <c r="L83" s="27" t="s">
        <v>1366</v>
      </c>
      <c r="M83" s="27" t="s">
        <v>89</v>
      </c>
      <c r="N83" s="27" t="str">
        <f>inicioTerminales[[#This Row],[TIPO BUS]]&amp;"-"&amp;inicioTerminales[[#This Row],[MARCA CHASIS]]</f>
        <v>C2-VOLVO</v>
      </c>
    </row>
    <row r="84" spans="1:14">
      <c r="A84" s="27" t="s">
        <v>10</v>
      </c>
      <c r="B84" s="27" t="s">
        <v>117</v>
      </c>
      <c r="C84" s="27">
        <v>4062</v>
      </c>
      <c r="D84" s="27" t="s">
        <v>38</v>
      </c>
      <c r="E84" s="27" t="s">
        <v>13</v>
      </c>
      <c r="F84" s="27" t="s">
        <v>14</v>
      </c>
      <c r="G84" s="27" t="str">
        <f>_xlfn.CONCAT(inicioTerminales[[#This Row],[MARCA CHASIS]]," - ", inicioTerminales[[#This Row],[TIPO BUS]])</f>
        <v>VOLVO - C2</v>
      </c>
      <c r="H84" s="27" t="s">
        <v>89</v>
      </c>
      <c r="I84" s="52">
        <v>44928</v>
      </c>
      <c r="J84" s="27" t="s">
        <v>1341</v>
      </c>
      <c r="K84" s="27" t="s">
        <v>836</v>
      </c>
      <c r="L84" s="27" t="s">
        <v>1366</v>
      </c>
      <c r="M84" s="27" t="s">
        <v>89</v>
      </c>
      <c r="N84" s="27" t="str">
        <f>inicioTerminales[[#This Row],[TIPO BUS]]&amp;"-"&amp;inicioTerminales[[#This Row],[MARCA CHASIS]]</f>
        <v>C2-VOLVO</v>
      </c>
    </row>
    <row r="85" spans="1:14">
      <c r="A85" s="27" t="s">
        <v>10</v>
      </c>
      <c r="B85" s="27" t="s">
        <v>118</v>
      </c>
      <c r="C85" s="27">
        <v>4065</v>
      </c>
      <c r="D85" s="27" t="s">
        <v>38</v>
      </c>
      <c r="E85" s="27" t="s">
        <v>13</v>
      </c>
      <c r="F85" s="27" t="s">
        <v>14</v>
      </c>
      <c r="G85" s="27" t="str">
        <f>_xlfn.CONCAT(inicioTerminales[[#This Row],[MARCA CHASIS]]," - ", inicioTerminales[[#This Row],[TIPO BUS]])</f>
        <v>VOLVO - C2</v>
      </c>
      <c r="H85" s="27" t="s">
        <v>89</v>
      </c>
      <c r="I85" s="52">
        <v>44928</v>
      </c>
      <c r="J85" s="27" t="s">
        <v>1341</v>
      </c>
      <c r="K85" s="27" t="s">
        <v>836</v>
      </c>
      <c r="L85" s="27" t="s">
        <v>1366</v>
      </c>
      <c r="M85" s="27" t="s">
        <v>89</v>
      </c>
      <c r="N85" s="27" t="str">
        <f>inicioTerminales[[#This Row],[TIPO BUS]]&amp;"-"&amp;inicioTerminales[[#This Row],[MARCA CHASIS]]</f>
        <v>C2-VOLVO</v>
      </c>
    </row>
    <row r="86" spans="1:14">
      <c r="A86" s="27" t="s">
        <v>10</v>
      </c>
      <c r="B86" s="27" t="s">
        <v>253</v>
      </c>
      <c r="C86" s="27">
        <v>4066</v>
      </c>
      <c r="D86" s="27" t="s">
        <v>38</v>
      </c>
      <c r="E86" s="27" t="s">
        <v>25</v>
      </c>
      <c r="F86" s="27" t="s">
        <v>14</v>
      </c>
      <c r="G86" s="27" t="str">
        <f>_xlfn.CONCAT(inicioTerminales[[#This Row],[MARCA CHASIS]]," - ", inicioTerminales[[#This Row],[TIPO BUS]])</f>
        <v>VOLVO - C2</v>
      </c>
      <c r="H86" s="27" t="s">
        <v>89</v>
      </c>
      <c r="I86" s="52">
        <v>44928</v>
      </c>
      <c r="J86" s="27" t="s">
        <v>1341</v>
      </c>
      <c r="K86" s="27" t="s">
        <v>836</v>
      </c>
      <c r="L86" s="27" t="s">
        <v>1366</v>
      </c>
      <c r="M86" s="27" t="s">
        <v>89</v>
      </c>
      <c r="N86" s="27" t="str">
        <f>inicioTerminales[[#This Row],[TIPO BUS]]&amp;"-"&amp;inicioTerminales[[#This Row],[MARCA CHASIS]]</f>
        <v>C2-VOLVO</v>
      </c>
    </row>
    <row r="87" spans="1:14">
      <c r="A87" s="27" t="s">
        <v>10</v>
      </c>
      <c r="B87" s="27" t="s">
        <v>57</v>
      </c>
      <c r="C87" s="27">
        <v>4061</v>
      </c>
      <c r="D87" s="27" t="s">
        <v>38</v>
      </c>
      <c r="E87" s="27" t="s">
        <v>13</v>
      </c>
      <c r="F87" s="27" t="s">
        <v>14</v>
      </c>
      <c r="G87" s="27" t="str">
        <f>_xlfn.CONCAT(inicioTerminales[[#This Row],[MARCA CHASIS]]," - ", inicioTerminales[[#This Row],[TIPO BUS]])</f>
        <v>VOLVO - C2</v>
      </c>
      <c r="H87" s="27" t="s">
        <v>130</v>
      </c>
      <c r="I87" s="52">
        <v>44928</v>
      </c>
      <c r="J87" s="27" t="s">
        <v>1341</v>
      </c>
      <c r="K87" s="27" t="s">
        <v>836</v>
      </c>
      <c r="L87" s="27" t="s">
        <v>851</v>
      </c>
      <c r="M87" s="27" t="s">
        <v>130</v>
      </c>
      <c r="N87" s="27" t="str">
        <f>inicioTerminales[[#This Row],[TIPO BUS]]&amp;"-"&amp;inicioTerminales[[#This Row],[MARCA CHASIS]]</f>
        <v>C2-VOLVO</v>
      </c>
    </row>
    <row r="88" spans="1:14">
      <c r="A88" s="27" t="s">
        <v>10</v>
      </c>
      <c r="B88" s="27" t="s">
        <v>58</v>
      </c>
      <c r="C88" s="27">
        <v>4063</v>
      </c>
      <c r="D88" s="27" t="s">
        <v>38</v>
      </c>
      <c r="E88" s="27" t="s">
        <v>13</v>
      </c>
      <c r="F88" s="27" t="s">
        <v>14</v>
      </c>
      <c r="G88" s="27" t="str">
        <f>_xlfn.CONCAT(inicioTerminales[[#This Row],[MARCA CHASIS]]," - ", inicioTerminales[[#This Row],[TIPO BUS]])</f>
        <v>VOLVO - C2</v>
      </c>
      <c r="H88" s="27" t="s">
        <v>130</v>
      </c>
      <c r="I88" s="52">
        <v>44928</v>
      </c>
      <c r="J88" s="27" t="s">
        <v>1341</v>
      </c>
      <c r="K88" s="27" t="s">
        <v>836</v>
      </c>
      <c r="L88" s="27" t="s">
        <v>851</v>
      </c>
      <c r="M88" s="27" t="s">
        <v>130</v>
      </c>
      <c r="N88" s="27" t="str">
        <f>inicioTerminales[[#This Row],[TIPO BUS]]&amp;"-"&amp;inicioTerminales[[#This Row],[MARCA CHASIS]]</f>
        <v>C2-VOLVO</v>
      </c>
    </row>
    <row r="89" spans="1:14">
      <c r="A89" s="27" t="s">
        <v>10</v>
      </c>
      <c r="B89" s="27" t="s">
        <v>59</v>
      </c>
      <c r="C89" s="27">
        <v>4064</v>
      </c>
      <c r="D89" s="27" t="s">
        <v>38</v>
      </c>
      <c r="E89" s="27" t="s">
        <v>13</v>
      </c>
      <c r="F89" s="27" t="s">
        <v>14</v>
      </c>
      <c r="G89" s="27" t="str">
        <f>_xlfn.CONCAT(inicioTerminales[[#This Row],[MARCA CHASIS]]," - ", inicioTerminales[[#This Row],[TIPO BUS]])</f>
        <v>VOLVO - C2</v>
      </c>
      <c r="H89" s="27" t="s">
        <v>130</v>
      </c>
      <c r="I89" s="52">
        <v>44928</v>
      </c>
      <c r="J89" s="27" t="s">
        <v>1341</v>
      </c>
      <c r="K89" s="27" t="s">
        <v>836</v>
      </c>
      <c r="L89" s="27" t="s">
        <v>851</v>
      </c>
      <c r="M89" s="27" t="s">
        <v>130</v>
      </c>
      <c r="N89" s="27" t="str">
        <f>inicioTerminales[[#This Row],[TIPO BUS]]&amp;"-"&amp;inicioTerminales[[#This Row],[MARCA CHASIS]]</f>
        <v>C2-VOLVO</v>
      </c>
    </row>
    <row r="90" spans="1:14">
      <c r="A90" s="27" t="s">
        <v>10</v>
      </c>
      <c r="B90" s="27" t="s">
        <v>60</v>
      </c>
      <c r="C90" s="27">
        <v>4067</v>
      </c>
      <c r="D90" s="27" t="s">
        <v>38</v>
      </c>
      <c r="E90" s="27" t="s">
        <v>13</v>
      </c>
      <c r="F90" s="27" t="s">
        <v>14</v>
      </c>
      <c r="G90" s="27" t="str">
        <f>_xlfn.CONCAT(inicioTerminales[[#This Row],[MARCA CHASIS]]," - ", inicioTerminales[[#This Row],[TIPO BUS]])</f>
        <v>VOLVO - C2</v>
      </c>
      <c r="H90" s="27" t="s">
        <v>15</v>
      </c>
      <c r="I90" s="52">
        <v>44933</v>
      </c>
      <c r="J90" s="27" t="s">
        <v>1341</v>
      </c>
      <c r="K90" s="27" t="s">
        <v>837</v>
      </c>
      <c r="L90" s="27" t="s">
        <v>845</v>
      </c>
      <c r="M90" s="27" t="s">
        <v>15</v>
      </c>
      <c r="N90" s="27" t="str">
        <f>inicioTerminales[[#This Row],[TIPO BUS]]&amp;"-"&amp;inicioTerminales[[#This Row],[MARCA CHASIS]]</f>
        <v>C2-VOLVO</v>
      </c>
    </row>
    <row r="91" spans="1:14">
      <c r="A91" s="27" t="s">
        <v>10</v>
      </c>
      <c r="B91" s="27" t="s">
        <v>134</v>
      </c>
      <c r="C91" s="27">
        <v>1018</v>
      </c>
      <c r="D91" s="27" t="s">
        <v>12</v>
      </c>
      <c r="E91" s="27" t="s">
        <v>13</v>
      </c>
      <c r="F91" s="27" t="s">
        <v>14</v>
      </c>
      <c r="G91" s="27" t="str">
        <f>_xlfn.CONCAT(inicioTerminales[[#This Row],[MARCA CHASIS]]," - ", inicioTerminales[[#This Row],[TIPO BUS]])</f>
        <v>VOLVO - A2</v>
      </c>
      <c r="H91" s="27" t="s">
        <v>130</v>
      </c>
      <c r="I91" s="52">
        <v>44933</v>
      </c>
      <c r="J91" s="27" t="s">
        <v>1341</v>
      </c>
      <c r="K91" s="27" t="s">
        <v>836</v>
      </c>
      <c r="L91" s="27" t="s">
        <v>851</v>
      </c>
      <c r="M91" s="27" t="s">
        <v>130</v>
      </c>
      <c r="N91" s="27" t="str">
        <f>inicioTerminales[[#This Row],[TIPO BUS]]&amp;"-"&amp;inicioTerminales[[#This Row],[MARCA CHASIS]]</f>
        <v>A2-VOLVO</v>
      </c>
    </row>
    <row r="92" spans="1:14">
      <c r="A92" s="27" t="s">
        <v>10</v>
      </c>
      <c r="B92" s="27" t="s">
        <v>136</v>
      </c>
      <c r="C92" s="27">
        <v>1019</v>
      </c>
      <c r="D92" s="27" t="s">
        <v>12</v>
      </c>
      <c r="E92" s="27" t="s">
        <v>13</v>
      </c>
      <c r="F92" s="27" t="s">
        <v>14</v>
      </c>
      <c r="G92" s="27" t="str">
        <f>_xlfn.CONCAT(inicioTerminales[[#This Row],[MARCA CHASIS]]," - ", inicioTerminales[[#This Row],[TIPO BUS]])</f>
        <v>VOLVO - A2</v>
      </c>
      <c r="H92" s="27" t="s">
        <v>130</v>
      </c>
      <c r="I92" s="52">
        <v>44933</v>
      </c>
      <c r="J92" s="27" t="s">
        <v>1341</v>
      </c>
      <c r="K92" s="27" t="s">
        <v>836</v>
      </c>
      <c r="L92" s="27" t="s">
        <v>851</v>
      </c>
      <c r="M92" s="27" t="s">
        <v>130</v>
      </c>
      <c r="N92" s="27" t="str">
        <f>inicioTerminales[[#This Row],[TIPO BUS]]&amp;"-"&amp;inicioTerminales[[#This Row],[MARCA CHASIS]]</f>
        <v>A2-VOLVO</v>
      </c>
    </row>
    <row r="93" spans="1:14">
      <c r="A93" s="27" t="s">
        <v>10</v>
      </c>
      <c r="B93" s="27" t="s">
        <v>138</v>
      </c>
      <c r="C93" s="27">
        <v>1020</v>
      </c>
      <c r="D93" s="27" t="s">
        <v>12</v>
      </c>
      <c r="E93" s="27" t="s">
        <v>13</v>
      </c>
      <c r="F93" s="27" t="s">
        <v>14</v>
      </c>
      <c r="G93" s="27" t="str">
        <f>_xlfn.CONCAT(inicioTerminales[[#This Row],[MARCA CHASIS]]," - ", inicioTerminales[[#This Row],[TIPO BUS]])</f>
        <v>VOLVO - A2</v>
      </c>
      <c r="H93" s="27" t="s">
        <v>130</v>
      </c>
      <c r="I93" s="52">
        <v>44933</v>
      </c>
      <c r="J93" s="27" t="s">
        <v>1341</v>
      </c>
      <c r="K93" s="27" t="s">
        <v>836</v>
      </c>
      <c r="L93" s="27" t="s">
        <v>851</v>
      </c>
      <c r="M93" s="27" t="s">
        <v>130</v>
      </c>
      <c r="N93" s="27" t="str">
        <f>inicioTerminales[[#This Row],[TIPO BUS]]&amp;"-"&amp;inicioTerminales[[#This Row],[MARCA CHASIS]]</f>
        <v>A2-VOLVO</v>
      </c>
    </row>
    <row r="94" spans="1:14">
      <c r="A94" s="27" t="s">
        <v>10</v>
      </c>
      <c r="B94" s="27" t="s">
        <v>139</v>
      </c>
      <c r="C94" s="27">
        <v>1021</v>
      </c>
      <c r="D94" s="27" t="s">
        <v>12</v>
      </c>
      <c r="E94" s="27" t="s">
        <v>13</v>
      </c>
      <c r="F94" s="27" t="s">
        <v>14</v>
      </c>
      <c r="G94" s="27" t="str">
        <f>_xlfn.CONCAT(inicioTerminales[[#This Row],[MARCA CHASIS]]," - ", inicioTerminales[[#This Row],[TIPO BUS]])</f>
        <v>VOLVO - A2</v>
      </c>
      <c r="H94" s="27" t="s">
        <v>130</v>
      </c>
      <c r="I94" s="52">
        <v>44933</v>
      </c>
      <c r="J94" s="27" t="s">
        <v>1341</v>
      </c>
      <c r="K94" s="27" t="s">
        <v>836</v>
      </c>
      <c r="L94" s="27" t="s">
        <v>851</v>
      </c>
      <c r="M94" s="27" t="s">
        <v>130</v>
      </c>
      <c r="N94" s="27" t="str">
        <f>inicioTerminales[[#This Row],[TIPO BUS]]&amp;"-"&amp;inicioTerminales[[#This Row],[MARCA CHASIS]]</f>
        <v>A2-VOLVO</v>
      </c>
    </row>
    <row r="95" spans="1:14">
      <c r="A95" s="27" t="s">
        <v>10</v>
      </c>
      <c r="B95" s="27" t="s">
        <v>140</v>
      </c>
      <c r="C95" s="27">
        <v>1022</v>
      </c>
      <c r="D95" s="27" t="s">
        <v>12</v>
      </c>
      <c r="E95" s="27" t="s">
        <v>13</v>
      </c>
      <c r="F95" s="27" t="s">
        <v>14</v>
      </c>
      <c r="G95" s="27" t="str">
        <f>_xlfn.CONCAT(inicioTerminales[[#This Row],[MARCA CHASIS]]," - ", inicioTerminales[[#This Row],[TIPO BUS]])</f>
        <v>VOLVO - A2</v>
      </c>
      <c r="H95" s="27" t="s">
        <v>130</v>
      </c>
      <c r="I95" s="52">
        <v>44933</v>
      </c>
      <c r="J95" s="27" t="s">
        <v>1341</v>
      </c>
      <c r="K95" s="27" t="s">
        <v>836</v>
      </c>
      <c r="L95" s="27" t="s">
        <v>851</v>
      </c>
      <c r="M95" s="27" t="s">
        <v>130</v>
      </c>
      <c r="N95" s="27" t="str">
        <f>inicioTerminales[[#This Row],[TIPO BUS]]&amp;"-"&amp;inicioTerminales[[#This Row],[MARCA CHASIS]]</f>
        <v>A2-VOLVO</v>
      </c>
    </row>
    <row r="96" spans="1:14">
      <c r="A96" s="27" t="s">
        <v>10</v>
      </c>
      <c r="B96" s="27" t="s">
        <v>141</v>
      </c>
      <c r="C96" s="27">
        <v>1023</v>
      </c>
      <c r="D96" s="27" t="s">
        <v>12</v>
      </c>
      <c r="E96" s="27" t="s">
        <v>25</v>
      </c>
      <c r="F96" s="27" t="s">
        <v>14</v>
      </c>
      <c r="G96" s="27" t="str">
        <f>_xlfn.CONCAT(inicioTerminales[[#This Row],[MARCA CHASIS]]," - ", inicioTerminales[[#This Row],[TIPO BUS]])</f>
        <v>VOLVO - A2</v>
      </c>
      <c r="H96" s="27" t="s">
        <v>130</v>
      </c>
      <c r="I96" s="52">
        <v>44933</v>
      </c>
      <c r="J96" s="27" t="s">
        <v>1341</v>
      </c>
      <c r="K96" s="27" t="s">
        <v>836</v>
      </c>
      <c r="L96" s="27" t="s">
        <v>851</v>
      </c>
      <c r="M96" s="27" t="s">
        <v>130</v>
      </c>
      <c r="N96" s="27" t="str">
        <f>inicioTerminales[[#This Row],[TIPO BUS]]&amp;"-"&amp;inicioTerminales[[#This Row],[MARCA CHASIS]]</f>
        <v>A2-VOLVO</v>
      </c>
    </row>
    <row r="97" spans="1:14">
      <c r="A97" s="27" t="s">
        <v>10</v>
      </c>
      <c r="B97" s="27" t="s">
        <v>142</v>
      </c>
      <c r="C97" s="27">
        <v>1028</v>
      </c>
      <c r="D97" s="27" t="s">
        <v>12</v>
      </c>
      <c r="E97" s="27" t="s">
        <v>13</v>
      </c>
      <c r="F97" s="27" t="s">
        <v>14</v>
      </c>
      <c r="G97" s="27" t="str">
        <f>_xlfn.CONCAT(inicioTerminales[[#This Row],[MARCA CHASIS]]," - ", inicioTerminales[[#This Row],[TIPO BUS]])</f>
        <v>VOLVO - A2</v>
      </c>
      <c r="H97" s="27" t="s">
        <v>130</v>
      </c>
      <c r="I97" s="52">
        <v>44933</v>
      </c>
      <c r="J97" s="27" t="s">
        <v>1341</v>
      </c>
      <c r="K97" s="27" t="s">
        <v>836</v>
      </c>
      <c r="L97" s="27" t="s">
        <v>851</v>
      </c>
      <c r="M97" s="27" t="s">
        <v>130</v>
      </c>
      <c r="N97" s="27" t="str">
        <f>inicioTerminales[[#This Row],[TIPO BUS]]&amp;"-"&amp;inicioTerminales[[#This Row],[MARCA CHASIS]]</f>
        <v>A2-VOLVO</v>
      </c>
    </row>
    <row r="98" spans="1:14">
      <c r="A98" s="27" t="s">
        <v>10</v>
      </c>
      <c r="B98" s="27" t="s">
        <v>143</v>
      </c>
      <c r="C98" s="27">
        <v>1029</v>
      </c>
      <c r="D98" s="27" t="s">
        <v>12</v>
      </c>
      <c r="E98" s="27" t="s">
        <v>13</v>
      </c>
      <c r="F98" s="27" t="s">
        <v>14</v>
      </c>
      <c r="G98" s="27" t="str">
        <f>_xlfn.CONCAT(inicioTerminales[[#This Row],[MARCA CHASIS]]," - ", inicioTerminales[[#This Row],[TIPO BUS]])</f>
        <v>VOLVO - A2</v>
      </c>
      <c r="H98" s="27" t="s">
        <v>130</v>
      </c>
      <c r="I98" s="52">
        <v>44933</v>
      </c>
      <c r="J98" s="27" t="s">
        <v>1341</v>
      </c>
      <c r="K98" s="27" t="s">
        <v>836</v>
      </c>
      <c r="L98" s="27" t="s">
        <v>851</v>
      </c>
      <c r="M98" s="27" t="s">
        <v>130</v>
      </c>
      <c r="N98" s="27" t="str">
        <f>inicioTerminales[[#This Row],[TIPO BUS]]&amp;"-"&amp;inicioTerminales[[#This Row],[MARCA CHASIS]]</f>
        <v>A2-VOLVO</v>
      </c>
    </row>
    <row r="99" spans="1:14">
      <c r="A99" s="27" t="s">
        <v>10</v>
      </c>
      <c r="B99" s="27" t="s">
        <v>156</v>
      </c>
      <c r="C99" s="27">
        <v>3000</v>
      </c>
      <c r="D99" s="27" t="s">
        <v>147</v>
      </c>
      <c r="E99" s="27" t="s">
        <v>25</v>
      </c>
      <c r="F99" s="27" t="s">
        <v>149</v>
      </c>
      <c r="G99" s="27" t="str">
        <f>_xlfn.CONCAT(inicioTerminales[[#This Row],[MARCA CHASIS]]," - ", inicioTerminales[[#This Row],[TIPO BUS]])</f>
        <v>FOTON - BE</v>
      </c>
      <c r="H99" s="27" t="s">
        <v>130</v>
      </c>
      <c r="I99" s="52">
        <v>44933</v>
      </c>
      <c r="J99" s="27" t="s">
        <v>1341</v>
      </c>
      <c r="K99" s="27" t="s">
        <v>836</v>
      </c>
      <c r="L99" s="27" t="s">
        <v>851</v>
      </c>
      <c r="M99" s="27" t="s">
        <v>130</v>
      </c>
      <c r="N99" s="27" t="str">
        <f>inicioTerminales[[#This Row],[TIPO BUS]]&amp;"-"&amp;inicioTerminales[[#This Row],[MARCA CHASIS]]</f>
        <v>BE-FOTON</v>
      </c>
    </row>
    <row r="100" spans="1:14">
      <c r="A100" s="27" t="s">
        <v>10</v>
      </c>
      <c r="B100" s="27" t="s">
        <v>158</v>
      </c>
      <c r="C100" s="27">
        <v>3001</v>
      </c>
      <c r="D100" s="27" t="s">
        <v>147</v>
      </c>
      <c r="E100" s="27" t="s">
        <v>25</v>
      </c>
      <c r="F100" s="27" t="s">
        <v>149</v>
      </c>
      <c r="G100" s="27" t="str">
        <f>_xlfn.CONCAT(inicioTerminales[[#This Row],[MARCA CHASIS]]," - ", inicioTerminales[[#This Row],[TIPO BUS]])</f>
        <v>FOTON - BE</v>
      </c>
      <c r="H100" s="27" t="s">
        <v>130</v>
      </c>
      <c r="I100" s="52">
        <v>44933</v>
      </c>
      <c r="J100" s="27" t="s">
        <v>1341</v>
      </c>
      <c r="K100" s="27" t="s">
        <v>836</v>
      </c>
      <c r="L100" s="27" t="s">
        <v>851</v>
      </c>
      <c r="M100" s="27" t="s">
        <v>130</v>
      </c>
      <c r="N100" s="27" t="str">
        <f>inicioTerminales[[#This Row],[TIPO BUS]]&amp;"-"&amp;inicioTerminales[[#This Row],[MARCA CHASIS]]</f>
        <v>BE-FOTON</v>
      </c>
    </row>
    <row r="101" spans="1:14">
      <c r="A101" s="27" t="s">
        <v>10</v>
      </c>
      <c r="B101" s="27" t="s">
        <v>159</v>
      </c>
      <c r="C101" s="27">
        <v>3002</v>
      </c>
      <c r="D101" s="27" t="s">
        <v>147</v>
      </c>
      <c r="E101" s="27" t="s">
        <v>25</v>
      </c>
      <c r="F101" s="27" t="s">
        <v>149</v>
      </c>
      <c r="G101" s="27" t="str">
        <f>_xlfn.CONCAT(inicioTerminales[[#This Row],[MARCA CHASIS]]," - ", inicioTerminales[[#This Row],[TIPO BUS]])</f>
        <v>FOTON - BE</v>
      </c>
      <c r="H101" s="27" t="s">
        <v>130</v>
      </c>
      <c r="I101" s="52">
        <v>44933</v>
      </c>
      <c r="J101" s="27" t="s">
        <v>1341</v>
      </c>
      <c r="K101" s="27" t="s">
        <v>836</v>
      </c>
      <c r="L101" s="27" t="s">
        <v>851</v>
      </c>
      <c r="M101" s="27" t="s">
        <v>130</v>
      </c>
      <c r="N101" s="27" t="str">
        <f>inicioTerminales[[#This Row],[TIPO BUS]]&amp;"-"&amp;inicioTerminales[[#This Row],[MARCA CHASIS]]</f>
        <v>BE-FOTON</v>
      </c>
    </row>
    <row r="102" spans="1:14">
      <c r="A102" s="27" t="s">
        <v>10</v>
      </c>
      <c r="B102" s="27" t="s">
        <v>157</v>
      </c>
      <c r="C102" s="27">
        <v>3003</v>
      </c>
      <c r="D102" s="27" t="s">
        <v>147</v>
      </c>
      <c r="E102" s="27" t="s">
        <v>25</v>
      </c>
      <c r="F102" s="27" t="s">
        <v>149</v>
      </c>
      <c r="G102" s="27" t="str">
        <f>_xlfn.CONCAT(inicioTerminales[[#This Row],[MARCA CHASIS]]," - ", inicioTerminales[[#This Row],[TIPO BUS]])</f>
        <v>FOTON - BE</v>
      </c>
      <c r="H102" s="27" t="s">
        <v>130</v>
      </c>
      <c r="I102" s="52">
        <v>44933</v>
      </c>
      <c r="J102" s="27" t="s">
        <v>1341</v>
      </c>
      <c r="K102" s="27" t="s">
        <v>836</v>
      </c>
      <c r="L102" s="27" t="s">
        <v>851</v>
      </c>
      <c r="M102" s="27" t="s">
        <v>130</v>
      </c>
      <c r="N102" s="27" t="str">
        <f>inicioTerminales[[#This Row],[TIPO BUS]]&amp;"-"&amp;inicioTerminales[[#This Row],[MARCA CHASIS]]</f>
        <v>BE-FOTON</v>
      </c>
    </row>
    <row r="103" spans="1:14">
      <c r="A103" s="27" t="s">
        <v>10</v>
      </c>
      <c r="B103" s="27" t="s">
        <v>160</v>
      </c>
      <c r="C103" s="27">
        <v>3004</v>
      </c>
      <c r="D103" s="27" t="s">
        <v>147</v>
      </c>
      <c r="E103" s="27" t="s">
        <v>25</v>
      </c>
      <c r="F103" s="27" t="s">
        <v>149</v>
      </c>
      <c r="G103" s="27" t="str">
        <f>_xlfn.CONCAT(inicioTerminales[[#This Row],[MARCA CHASIS]]," - ", inicioTerminales[[#This Row],[TIPO BUS]])</f>
        <v>FOTON - BE</v>
      </c>
      <c r="H103" s="27" t="s">
        <v>130</v>
      </c>
      <c r="I103" s="52">
        <v>44933</v>
      </c>
      <c r="J103" s="27" t="s">
        <v>1341</v>
      </c>
      <c r="K103" s="27" t="s">
        <v>836</v>
      </c>
      <c r="L103" s="27" t="s">
        <v>851</v>
      </c>
      <c r="M103" s="27" t="s">
        <v>130</v>
      </c>
      <c r="N103" s="27" t="str">
        <f>inicioTerminales[[#This Row],[TIPO BUS]]&amp;"-"&amp;inicioTerminales[[#This Row],[MARCA CHASIS]]</f>
        <v>BE-FOTON</v>
      </c>
    </row>
    <row r="104" spans="1:14">
      <c r="A104" s="27" t="s">
        <v>10</v>
      </c>
      <c r="B104" s="27" t="s">
        <v>161</v>
      </c>
      <c r="C104" s="27">
        <v>3005</v>
      </c>
      <c r="D104" s="27" t="s">
        <v>147</v>
      </c>
      <c r="E104" s="27" t="s">
        <v>25</v>
      </c>
      <c r="F104" s="27" t="s">
        <v>149</v>
      </c>
      <c r="G104" s="27" t="str">
        <f>_xlfn.CONCAT(inicioTerminales[[#This Row],[MARCA CHASIS]]," - ", inicioTerminales[[#This Row],[TIPO BUS]])</f>
        <v>FOTON - BE</v>
      </c>
      <c r="H104" s="27" t="s">
        <v>130</v>
      </c>
      <c r="I104" s="52">
        <v>44933</v>
      </c>
      <c r="J104" s="27" t="s">
        <v>1341</v>
      </c>
      <c r="K104" s="27" t="s">
        <v>836</v>
      </c>
      <c r="L104" s="27" t="s">
        <v>851</v>
      </c>
      <c r="M104" s="27" t="s">
        <v>130</v>
      </c>
      <c r="N104" s="27" t="str">
        <f>inicioTerminales[[#This Row],[TIPO BUS]]&amp;"-"&amp;inicioTerminales[[#This Row],[MARCA CHASIS]]</f>
        <v>BE-FOTON</v>
      </c>
    </row>
    <row r="105" spans="1:14">
      <c r="A105" s="27" t="s">
        <v>10</v>
      </c>
      <c r="B105" s="27" t="s">
        <v>162</v>
      </c>
      <c r="C105" s="27">
        <v>3006</v>
      </c>
      <c r="D105" s="27" t="s">
        <v>147</v>
      </c>
      <c r="E105" s="27" t="s">
        <v>25</v>
      </c>
      <c r="F105" s="27" t="s">
        <v>149</v>
      </c>
      <c r="G105" s="27" t="str">
        <f>_xlfn.CONCAT(inicioTerminales[[#This Row],[MARCA CHASIS]]," - ", inicioTerminales[[#This Row],[TIPO BUS]])</f>
        <v>FOTON - BE</v>
      </c>
      <c r="H105" s="27" t="s">
        <v>130</v>
      </c>
      <c r="I105" s="52">
        <v>44933</v>
      </c>
      <c r="J105" s="27" t="s">
        <v>1341</v>
      </c>
      <c r="K105" s="27" t="s">
        <v>836</v>
      </c>
      <c r="L105" s="27" t="s">
        <v>851</v>
      </c>
      <c r="M105" s="27" t="s">
        <v>130</v>
      </c>
      <c r="N105" s="27" t="str">
        <f>inicioTerminales[[#This Row],[TIPO BUS]]&amp;"-"&amp;inicioTerminales[[#This Row],[MARCA CHASIS]]</f>
        <v>BE-FOTON</v>
      </c>
    </row>
    <row r="106" spans="1:14">
      <c r="A106" s="27" t="s">
        <v>10</v>
      </c>
      <c r="B106" s="27" t="s">
        <v>163</v>
      </c>
      <c r="C106" s="27">
        <v>3007</v>
      </c>
      <c r="D106" s="27" t="s">
        <v>147</v>
      </c>
      <c r="E106" s="27" t="s">
        <v>25</v>
      </c>
      <c r="F106" s="27" t="s">
        <v>149</v>
      </c>
      <c r="G106" s="27" t="str">
        <f>_xlfn.CONCAT(inicioTerminales[[#This Row],[MARCA CHASIS]]," - ", inicioTerminales[[#This Row],[TIPO BUS]])</f>
        <v>FOTON - BE</v>
      </c>
      <c r="H106" s="27" t="s">
        <v>130</v>
      </c>
      <c r="I106" s="52">
        <v>44933</v>
      </c>
      <c r="J106" s="27" t="s">
        <v>1341</v>
      </c>
      <c r="K106" s="27" t="s">
        <v>836</v>
      </c>
      <c r="L106" s="27" t="s">
        <v>851</v>
      </c>
      <c r="M106" s="27" t="s">
        <v>130</v>
      </c>
      <c r="N106" s="27" t="str">
        <f>inicioTerminales[[#This Row],[TIPO BUS]]&amp;"-"&amp;inicioTerminales[[#This Row],[MARCA CHASIS]]</f>
        <v>BE-FOTON</v>
      </c>
    </row>
    <row r="107" spans="1:14">
      <c r="A107" s="27" t="s">
        <v>10</v>
      </c>
      <c r="B107" s="27" t="s">
        <v>164</v>
      </c>
      <c r="C107" s="27">
        <v>3008</v>
      </c>
      <c r="D107" s="27" t="s">
        <v>147</v>
      </c>
      <c r="E107" s="27" t="s">
        <v>25</v>
      </c>
      <c r="F107" s="27" t="s">
        <v>149</v>
      </c>
      <c r="G107" s="27" t="str">
        <f>_xlfn.CONCAT(inicioTerminales[[#This Row],[MARCA CHASIS]]," - ", inicioTerminales[[#This Row],[TIPO BUS]])</f>
        <v>FOTON - BE</v>
      </c>
      <c r="H107" s="27" t="s">
        <v>130</v>
      </c>
      <c r="I107" s="52">
        <v>44933</v>
      </c>
      <c r="J107" s="27" t="s">
        <v>1341</v>
      </c>
      <c r="K107" s="27" t="s">
        <v>836</v>
      </c>
      <c r="L107" s="27" t="s">
        <v>851</v>
      </c>
      <c r="M107" s="27" t="s">
        <v>130</v>
      </c>
      <c r="N107" s="27" t="str">
        <f>inicioTerminales[[#This Row],[TIPO BUS]]&amp;"-"&amp;inicioTerminales[[#This Row],[MARCA CHASIS]]</f>
        <v>BE-FOTON</v>
      </c>
    </row>
    <row r="108" spans="1:14">
      <c r="A108" s="27" t="s">
        <v>10</v>
      </c>
      <c r="B108" s="27" t="s">
        <v>165</v>
      </c>
      <c r="C108" s="27">
        <v>3009</v>
      </c>
      <c r="D108" s="27" t="s">
        <v>147</v>
      </c>
      <c r="E108" s="27" t="s">
        <v>13</v>
      </c>
      <c r="F108" s="27" t="s">
        <v>149</v>
      </c>
      <c r="G108" s="27" t="str">
        <f>_xlfn.CONCAT(inicioTerminales[[#This Row],[MARCA CHASIS]]," - ", inicioTerminales[[#This Row],[TIPO BUS]])</f>
        <v>FOTON - BE</v>
      </c>
      <c r="H108" s="27" t="s">
        <v>130</v>
      </c>
      <c r="I108" s="52">
        <v>44933</v>
      </c>
      <c r="J108" s="27" t="s">
        <v>1341</v>
      </c>
      <c r="K108" s="27" t="s">
        <v>836</v>
      </c>
      <c r="L108" s="27" t="s">
        <v>851</v>
      </c>
      <c r="M108" s="27" t="s">
        <v>130</v>
      </c>
      <c r="N108" s="27" t="str">
        <f>inicioTerminales[[#This Row],[TIPO BUS]]&amp;"-"&amp;inicioTerminales[[#This Row],[MARCA CHASIS]]</f>
        <v>BE-FOTON</v>
      </c>
    </row>
    <row r="109" spans="1:14">
      <c r="A109" s="27" t="s">
        <v>10</v>
      </c>
      <c r="B109" s="27" t="s">
        <v>166</v>
      </c>
      <c r="C109" s="27">
        <v>3010</v>
      </c>
      <c r="D109" s="27" t="s">
        <v>147</v>
      </c>
      <c r="E109" s="27" t="s">
        <v>13</v>
      </c>
      <c r="F109" s="27" t="s">
        <v>149</v>
      </c>
      <c r="G109" s="27" t="str">
        <f>_xlfn.CONCAT(inicioTerminales[[#This Row],[MARCA CHASIS]]," - ", inicioTerminales[[#This Row],[TIPO BUS]])</f>
        <v>FOTON - BE</v>
      </c>
      <c r="H109" s="27" t="s">
        <v>130</v>
      </c>
      <c r="I109" s="52">
        <v>44933</v>
      </c>
      <c r="J109" s="27" t="s">
        <v>1341</v>
      </c>
      <c r="K109" s="27" t="s">
        <v>836</v>
      </c>
      <c r="L109" s="27" t="s">
        <v>851</v>
      </c>
      <c r="M109" s="27" t="s">
        <v>130</v>
      </c>
      <c r="N109" s="27" t="str">
        <f>inicioTerminales[[#This Row],[TIPO BUS]]&amp;"-"&amp;inicioTerminales[[#This Row],[MARCA CHASIS]]</f>
        <v>BE-FOTON</v>
      </c>
    </row>
    <row r="110" spans="1:14">
      <c r="A110" s="27" t="s">
        <v>10</v>
      </c>
      <c r="B110" s="27" t="s">
        <v>167</v>
      </c>
      <c r="C110" s="27">
        <v>3011</v>
      </c>
      <c r="D110" s="27" t="s">
        <v>147</v>
      </c>
      <c r="E110" s="27" t="s">
        <v>13</v>
      </c>
      <c r="F110" s="27" t="s">
        <v>149</v>
      </c>
      <c r="G110" s="27" t="str">
        <f>_xlfn.CONCAT(inicioTerminales[[#This Row],[MARCA CHASIS]]," - ", inicioTerminales[[#This Row],[TIPO BUS]])</f>
        <v>FOTON - BE</v>
      </c>
      <c r="H110" s="27" t="s">
        <v>130</v>
      </c>
      <c r="I110" s="52">
        <v>44933</v>
      </c>
      <c r="J110" s="27" t="s">
        <v>1341</v>
      </c>
      <c r="K110" s="27" t="s">
        <v>836</v>
      </c>
      <c r="L110" s="27" t="s">
        <v>851</v>
      </c>
      <c r="M110" s="27" t="s">
        <v>130</v>
      </c>
      <c r="N110" s="27" t="str">
        <f>inicioTerminales[[#This Row],[TIPO BUS]]&amp;"-"&amp;inicioTerminales[[#This Row],[MARCA CHASIS]]</f>
        <v>BE-FOTON</v>
      </c>
    </row>
    <row r="111" spans="1:14">
      <c r="A111" s="27" t="s">
        <v>10</v>
      </c>
      <c r="B111" s="27" t="s">
        <v>168</v>
      </c>
      <c r="C111" s="27">
        <v>3012</v>
      </c>
      <c r="D111" s="27" t="s">
        <v>147</v>
      </c>
      <c r="E111" s="27" t="s">
        <v>13</v>
      </c>
      <c r="F111" s="27" t="s">
        <v>149</v>
      </c>
      <c r="G111" s="27" t="str">
        <f>_xlfn.CONCAT(inicioTerminales[[#This Row],[MARCA CHASIS]]," - ", inicioTerminales[[#This Row],[TIPO BUS]])</f>
        <v>FOTON - BE</v>
      </c>
      <c r="H111" s="27" t="s">
        <v>130</v>
      </c>
      <c r="I111" s="52">
        <v>44933</v>
      </c>
      <c r="J111" s="27" t="s">
        <v>1341</v>
      </c>
      <c r="K111" s="27" t="s">
        <v>836</v>
      </c>
      <c r="L111" s="27" t="s">
        <v>851</v>
      </c>
      <c r="M111" s="27" t="s">
        <v>130</v>
      </c>
      <c r="N111" s="27" t="str">
        <f>inicioTerminales[[#This Row],[TIPO BUS]]&amp;"-"&amp;inicioTerminales[[#This Row],[MARCA CHASIS]]</f>
        <v>BE-FOTON</v>
      </c>
    </row>
    <row r="112" spans="1:14">
      <c r="A112" s="27" t="s">
        <v>10</v>
      </c>
      <c r="B112" s="27" t="s">
        <v>169</v>
      </c>
      <c r="C112" s="27">
        <v>3013</v>
      </c>
      <c r="D112" s="27" t="s">
        <v>147</v>
      </c>
      <c r="E112" s="27" t="s">
        <v>13</v>
      </c>
      <c r="F112" s="27" t="s">
        <v>149</v>
      </c>
      <c r="G112" s="27" t="str">
        <f>_xlfn.CONCAT(inicioTerminales[[#This Row],[MARCA CHASIS]]," - ", inicioTerminales[[#This Row],[TIPO BUS]])</f>
        <v>FOTON - BE</v>
      </c>
      <c r="H112" s="27" t="s">
        <v>130</v>
      </c>
      <c r="I112" s="52">
        <v>44933</v>
      </c>
      <c r="J112" s="27" t="s">
        <v>1341</v>
      </c>
      <c r="K112" s="27" t="s">
        <v>836</v>
      </c>
      <c r="L112" s="27" t="s">
        <v>851</v>
      </c>
      <c r="M112" s="27" t="s">
        <v>130</v>
      </c>
      <c r="N112" s="27" t="str">
        <f>inicioTerminales[[#This Row],[TIPO BUS]]&amp;"-"&amp;inicioTerminales[[#This Row],[MARCA CHASIS]]</f>
        <v>BE-FOTON</v>
      </c>
    </row>
    <row r="113" spans="1:14">
      <c r="A113" s="27" t="s">
        <v>10</v>
      </c>
      <c r="B113" s="27" t="s">
        <v>170</v>
      </c>
      <c r="C113" s="27">
        <v>3014</v>
      </c>
      <c r="D113" s="27" t="s">
        <v>147</v>
      </c>
      <c r="E113" s="27" t="s">
        <v>13</v>
      </c>
      <c r="F113" s="27" t="s">
        <v>149</v>
      </c>
      <c r="G113" s="27" t="str">
        <f>_xlfn.CONCAT(inicioTerminales[[#This Row],[MARCA CHASIS]]," - ", inicioTerminales[[#This Row],[TIPO BUS]])</f>
        <v>FOTON - BE</v>
      </c>
      <c r="H113" s="27" t="s">
        <v>130</v>
      </c>
      <c r="I113" s="52">
        <v>44933</v>
      </c>
      <c r="J113" s="27" t="s">
        <v>1341</v>
      </c>
      <c r="K113" s="27" t="s">
        <v>836</v>
      </c>
      <c r="L113" s="27" t="s">
        <v>851</v>
      </c>
      <c r="M113" s="27" t="s">
        <v>130</v>
      </c>
      <c r="N113" s="27" t="str">
        <f>inicioTerminales[[#This Row],[TIPO BUS]]&amp;"-"&amp;inicioTerminales[[#This Row],[MARCA CHASIS]]</f>
        <v>BE-FOTON</v>
      </c>
    </row>
    <row r="114" spans="1:14">
      <c r="A114" s="27" t="s">
        <v>10</v>
      </c>
      <c r="B114" s="27" t="s">
        <v>171</v>
      </c>
      <c r="C114" s="27">
        <v>3015</v>
      </c>
      <c r="D114" s="27" t="s">
        <v>147</v>
      </c>
      <c r="E114" s="27" t="s">
        <v>13</v>
      </c>
      <c r="F114" s="27" t="s">
        <v>149</v>
      </c>
      <c r="G114" s="27" t="str">
        <f>_xlfn.CONCAT(inicioTerminales[[#This Row],[MARCA CHASIS]]," - ", inicioTerminales[[#This Row],[TIPO BUS]])</f>
        <v>FOTON - BE</v>
      </c>
      <c r="H114" s="27" t="s">
        <v>130</v>
      </c>
      <c r="I114" s="52">
        <v>44933</v>
      </c>
      <c r="J114" s="27" t="s">
        <v>1341</v>
      </c>
      <c r="K114" s="27" t="s">
        <v>836</v>
      </c>
      <c r="L114" s="27" t="s">
        <v>851</v>
      </c>
      <c r="M114" s="27" t="s">
        <v>130</v>
      </c>
      <c r="N114" s="27" t="str">
        <f>inicioTerminales[[#This Row],[TIPO BUS]]&amp;"-"&amp;inicioTerminales[[#This Row],[MARCA CHASIS]]</f>
        <v>BE-FOTON</v>
      </c>
    </row>
    <row r="115" spans="1:14">
      <c r="A115" s="27" t="s">
        <v>10</v>
      </c>
      <c r="B115" s="27" t="s">
        <v>172</v>
      </c>
      <c r="C115" s="27">
        <v>3016</v>
      </c>
      <c r="D115" s="27" t="s">
        <v>147</v>
      </c>
      <c r="E115" s="27" t="s">
        <v>13</v>
      </c>
      <c r="F115" s="27" t="s">
        <v>149</v>
      </c>
      <c r="G115" s="27" t="str">
        <f>_xlfn.CONCAT(inicioTerminales[[#This Row],[MARCA CHASIS]]," - ", inicioTerminales[[#This Row],[TIPO BUS]])</f>
        <v>FOTON - BE</v>
      </c>
      <c r="H115" s="27" t="s">
        <v>130</v>
      </c>
      <c r="I115" s="52">
        <v>44933</v>
      </c>
      <c r="J115" s="27" t="s">
        <v>1341</v>
      </c>
      <c r="K115" s="27" t="s">
        <v>836</v>
      </c>
      <c r="L115" s="27" t="s">
        <v>851</v>
      </c>
      <c r="M115" s="27" t="s">
        <v>130</v>
      </c>
      <c r="N115" s="27" t="str">
        <f>inicioTerminales[[#This Row],[TIPO BUS]]&amp;"-"&amp;inicioTerminales[[#This Row],[MARCA CHASIS]]</f>
        <v>BE-FOTON</v>
      </c>
    </row>
    <row r="116" spans="1:14">
      <c r="A116" s="27" t="s">
        <v>10</v>
      </c>
      <c r="B116" s="27" t="s">
        <v>173</v>
      </c>
      <c r="C116" s="27">
        <v>3017</v>
      </c>
      <c r="D116" s="27" t="s">
        <v>147</v>
      </c>
      <c r="E116" s="27" t="s">
        <v>13</v>
      </c>
      <c r="F116" s="27" t="s">
        <v>149</v>
      </c>
      <c r="G116" s="27" t="str">
        <f>_xlfn.CONCAT(inicioTerminales[[#This Row],[MARCA CHASIS]]," - ", inicioTerminales[[#This Row],[TIPO BUS]])</f>
        <v>FOTON - BE</v>
      </c>
      <c r="H116" s="27" t="s">
        <v>130</v>
      </c>
      <c r="I116" s="52">
        <v>44933</v>
      </c>
      <c r="J116" s="27" t="s">
        <v>1341</v>
      </c>
      <c r="K116" s="27" t="s">
        <v>836</v>
      </c>
      <c r="L116" s="27" t="s">
        <v>851</v>
      </c>
      <c r="M116" s="27" t="s">
        <v>130</v>
      </c>
      <c r="N116" s="27" t="str">
        <f>inicioTerminales[[#This Row],[TIPO BUS]]&amp;"-"&amp;inicioTerminales[[#This Row],[MARCA CHASIS]]</f>
        <v>BE-FOTON</v>
      </c>
    </row>
    <row r="117" spans="1:14">
      <c r="A117" s="27" t="s">
        <v>10</v>
      </c>
      <c r="B117" s="27" t="s">
        <v>174</v>
      </c>
      <c r="C117" s="27">
        <v>3018</v>
      </c>
      <c r="D117" s="27" t="s">
        <v>147</v>
      </c>
      <c r="E117" s="27" t="s">
        <v>13</v>
      </c>
      <c r="F117" s="27" t="s">
        <v>149</v>
      </c>
      <c r="G117" s="27" t="str">
        <f>_xlfn.CONCAT(inicioTerminales[[#This Row],[MARCA CHASIS]]," - ", inicioTerminales[[#This Row],[TIPO BUS]])</f>
        <v>FOTON - BE</v>
      </c>
      <c r="H117" s="27" t="s">
        <v>130</v>
      </c>
      <c r="I117" s="52">
        <v>44933</v>
      </c>
      <c r="J117" s="27" t="s">
        <v>1341</v>
      </c>
      <c r="K117" s="27" t="s">
        <v>836</v>
      </c>
      <c r="L117" s="27" t="s">
        <v>851</v>
      </c>
      <c r="M117" s="27" t="s">
        <v>130</v>
      </c>
      <c r="N117" s="27" t="str">
        <f>inicioTerminales[[#This Row],[TIPO BUS]]&amp;"-"&amp;inicioTerminales[[#This Row],[MARCA CHASIS]]</f>
        <v>BE-FOTON</v>
      </c>
    </row>
    <row r="118" spans="1:14">
      <c r="A118" s="27" t="s">
        <v>10</v>
      </c>
      <c r="B118" s="27" t="s">
        <v>175</v>
      </c>
      <c r="C118" s="27">
        <v>3019</v>
      </c>
      <c r="D118" s="27" t="s">
        <v>147</v>
      </c>
      <c r="E118" s="27" t="s">
        <v>13</v>
      </c>
      <c r="F118" s="27" t="s">
        <v>149</v>
      </c>
      <c r="G118" s="27" t="str">
        <f>_xlfn.CONCAT(inicioTerminales[[#This Row],[MARCA CHASIS]]," - ", inicioTerminales[[#This Row],[TIPO BUS]])</f>
        <v>FOTON - BE</v>
      </c>
      <c r="H118" s="27" t="s">
        <v>130</v>
      </c>
      <c r="I118" s="52">
        <v>44933</v>
      </c>
      <c r="J118" s="27" t="s">
        <v>1341</v>
      </c>
      <c r="K118" s="27" t="s">
        <v>836</v>
      </c>
      <c r="L118" s="27" t="s">
        <v>851</v>
      </c>
      <c r="M118" s="27" t="s">
        <v>130</v>
      </c>
      <c r="N118" s="27" t="str">
        <f>inicioTerminales[[#This Row],[TIPO BUS]]&amp;"-"&amp;inicioTerminales[[#This Row],[MARCA CHASIS]]</f>
        <v>BE-FOTON</v>
      </c>
    </row>
    <row r="119" spans="1:14">
      <c r="A119" s="27" t="s">
        <v>10</v>
      </c>
      <c r="B119" s="27" t="s">
        <v>176</v>
      </c>
      <c r="C119" s="27">
        <v>3020</v>
      </c>
      <c r="D119" s="27" t="s">
        <v>147</v>
      </c>
      <c r="E119" s="27" t="s">
        <v>13</v>
      </c>
      <c r="F119" s="27" t="s">
        <v>149</v>
      </c>
      <c r="G119" s="27" t="str">
        <f>_xlfn.CONCAT(inicioTerminales[[#This Row],[MARCA CHASIS]]," - ", inicioTerminales[[#This Row],[TIPO BUS]])</f>
        <v>FOTON - BE</v>
      </c>
      <c r="H119" s="27" t="s">
        <v>130</v>
      </c>
      <c r="I119" s="52">
        <v>44933</v>
      </c>
      <c r="J119" s="27" t="s">
        <v>1341</v>
      </c>
      <c r="K119" s="27" t="s">
        <v>836</v>
      </c>
      <c r="L119" s="27" t="s">
        <v>851</v>
      </c>
      <c r="M119" s="27" t="s">
        <v>130</v>
      </c>
      <c r="N119" s="27" t="str">
        <f>inicioTerminales[[#This Row],[TIPO BUS]]&amp;"-"&amp;inicioTerminales[[#This Row],[MARCA CHASIS]]</f>
        <v>BE-FOTON</v>
      </c>
    </row>
    <row r="120" spans="1:14">
      <c r="A120" s="27" t="s">
        <v>10</v>
      </c>
      <c r="B120" s="27" t="s">
        <v>177</v>
      </c>
      <c r="C120" s="27">
        <v>3021</v>
      </c>
      <c r="D120" s="27" t="s">
        <v>147</v>
      </c>
      <c r="E120" s="27" t="s">
        <v>13</v>
      </c>
      <c r="F120" s="27" t="s">
        <v>149</v>
      </c>
      <c r="G120" s="27" t="str">
        <f>_xlfn.CONCAT(inicioTerminales[[#This Row],[MARCA CHASIS]]," - ", inicioTerminales[[#This Row],[TIPO BUS]])</f>
        <v>FOTON - BE</v>
      </c>
      <c r="H120" s="27" t="s">
        <v>130</v>
      </c>
      <c r="I120" s="52">
        <v>44933</v>
      </c>
      <c r="J120" s="27" t="s">
        <v>1341</v>
      </c>
      <c r="K120" s="27" t="s">
        <v>836</v>
      </c>
      <c r="L120" s="27" t="s">
        <v>851</v>
      </c>
      <c r="M120" s="27" t="s">
        <v>130</v>
      </c>
      <c r="N120" s="27" t="str">
        <f>inicioTerminales[[#This Row],[TIPO BUS]]&amp;"-"&amp;inicioTerminales[[#This Row],[MARCA CHASIS]]</f>
        <v>BE-FOTON</v>
      </c>
    </row>
    <row r="121" spans="1:14">
      <c r="A121" s="27" t="s">
        <v>10</v>
      </c>
      <c r="B121" s="27" t="s">
        <v>178</v>
      </c>
      <c r="C121" s="27">
        <v>3022</v>
      </c>
      <c r="D121" s="27" t="s">
        <v>147</v>
      </c>
      <c r="E121" s="27" t="s">
        <v>13</v>
      </c>
      <c r="F121" s="27" t="s">
        <v>149</v>
      </c>
      <c r="G121" s="27" t="str">
        <f>_xlfn.CONCAT(inicioTerminales[[#This Row],[MARCA CHASIS]]," - ", inicioTerminales[[#This Row],[TIPO BUS]])</f>
        <v>FOTON - BE</v>
      </c>
      <c r="H121" s="27" t="s">
        <v>130</v>
      </c>
      <c r="I121" s="52">
        <v>44933</v>
      </c>
      <c r="J121" s="27" t="s">
        <v>1341</v>
      </c>
      <c r="K121" s="27" t="s">
        <v>836</v>
      </c>
      <c r="L121" s="27" t="s">
        <v>851</v>
      </c>
      <c r="M121" s="27" t="s">
        <v>130</v>
      </c>
      <c r="N121" s="27" t="str">
        <f>inicioTerminales[[#This Row],[TIPO BUS]]&amp;"-"&amp;inicioTerminales[[#This Row],[MARCA CHASIS]]</f>
        <v>BE-FOTON</v>
      </c>
    </row>
    <row r="122" spans="1:14">
      <c r="A122" s="27" t="s">
        <v>10</v>
      </c>
      <c r="B122" s="27" t="s">
        <v>179</v>
      </c>
      <c r="C122" s="27">
        <v>3023</v>
      </c>
      <c r="D122" s="27" t="s">
        <v>147</v>
      </c>
      <c r="E122" s="27" t="s">
        <v>13</v>
      </c>
      <c r="F122" s="27" t="s">
        <v>149</v>
      </c>
      <c r="G122" s="27" t="str">
        <f>_xlfn.CONCAT(inicioTerminales[[#This Row],[MARCA CHASIS]]," - ", inicioTerminales[[#This Row],[TIPO BUS]])</f>
        <v>FOTON - BE</v>
      </c>
      <c r="H122" s="27" t="s">
        <v>130</v>
      </c>
      <c r="I122" s="52">
        <v>44933</v>
      </c>
      <c r="J122" s="27" t="s">
        <v>1341</v>
      </c>
      <c r="K122" s="27" t="s">
        <v>836</v>
      </c>
      <c r="L122" s="27" t="s">
        <v>851</v>
      </c>
      <c r="M122" s="27" t="s">
        <v>130</v>
      </c>
      <c r="N122" s="27" t="str">
        <f>inicioTerminales[[#This Row],[TIPO BUS]]&amp;"-"&amp;inicioTerminales[[#This Row],[MARCA CHASIS]]</f>
        <v>BE-FOTON</v>
      </c>
    </row>
    <row r="123" spans="1:14">
      <c r="A123" s="27" t="s">
        <v>10</v>
      </c>
      <c r="B123" s="27" t="s">
        <v>180</v>
      </c>
      <c r="C123" s="27">
        <v>3024</v>
      </c>
      <c r="D123" s="27" t="s">
        <v>147</v>
      </c>
      <c r="E123" s="27" t="s">
        <v>13</v>
      </c>
      <c r="F123" s="27" t="s">
        <v>149</v>
      </c>
      <c r="G123" s="27" t="str">
        <f>_xlfn.CONCAT(inicioTerminales[[#This Row],[MARCA CHASIS]]," - ", inicioTerminales[[#This Row],[TIPO BUS]])</f>
        <v>FOTON - BE</v>
      </c>
      <c r="H123" s="27" t="s">
        <v>130</v>
      </c>
      <c r="I123" s="52">
        <v>44933</v>
      </c>
      <c r="J123" s="27" t="s">
        <v>1341</v>
      </c>
      <c r="K123" s="27" t="s">
        <v>836</v>
      </c>
      <c r="L123" s="27" t="s">
        <v>851</v>
      </c>
      <c r="M123" s="27" t="s">
        <v>130</v>
      </c>
      <c r="N123" s="27" t="str">
        <f>inicioTerminales[[#This Row],[TIPO BUS]]&amp;"-"&amp;inicioTerminales[[#This Row],[MARCA CHASIS]]</f>
        <v>BE-FOTON</v>
      </c>
    </row>
    <row r="124" spans="1:14">
      <c r="A124" s="27" t="s">
        <v>10</v>
      </c>
      <c r="B124" s="27" t="s">
        <v>181</v>
      </c>
      <c r="C124" s="27">
        <v>3025</v>
      </c>
      <c r="D124" s="27" t="s">
        <v>147</v>
      </c>
      <c r="E124" s="27" t="s">
        <v>13</v>
      </c>
      <c r="F124" s="27" t="s">
        <v>149</v>
      </c>
      <c r="G124" s="27" t="str">
        <f>_xlfn.CONCAT(inicioTerminales[[#This Row],[MARCA CHASIS]]," - ", inicioTerminales[[#This Row],[TIPO BUS]])</f>
        <v>FOTON - BE</v>
      </c>
      <c r="H124" s="27" t="s">
        <v>130</v>
      </c>
      <c r="I124" s="52">
        <v>44933</v>
      </c>
      <c r="J124" s="27" t="s">
        <v>1341</v>
      </c>
      <c r="K124" s="27" t="s">
        <v>836</v>
      </c>
      <c r="L124" s="27" t="s">
        <v>851</v>
      </c>
      <c r="M124" s="27" t="s">
        <v>130</v>
      </c>
      <c r="N124" s="27" t="str">
        <f>inicioTerminales[[#This Row],[TIPO BUS]]&amp;"-"&amp;inicioTerminales[[#This Row],[MARCA CHASIS]]</f>
        <v>BE-FOTON</v>
      </c>
    </row>
    <row r="125" spans="1:14">
      <c r="A125" s="27" t="s">
        <v>10</v>
      </c>
      <c r="B125" s="27" t="s">
        <v>182</v>
      </c>
      <c r="C125" s="27">
        <v>3026</v>
      </c>
      <c r="D125" s="27" t="s">
        <v>147</v>
      </c>
      <c r="E125" s="27" t="s">
        <v>13</v>
      </c>
      <c r="F125" s="27" t="s">
        <v>149</v>
      </c>
      <c r="G125" s="27" t="str">
        <f>_xlfn.CONCAT(inicioTerminales[[#This Row],[MARCA CHASIS]]," - ", inicioTerminales[[#This Row],[TIPO BUS]])</f>
        <v>FOTON - BE</v>
      </c>
      <c r="H125" s="27" t="s">
        <v>130</v>
      </c>
      <c r="I125" s="52">
        <v>44933</v>
      </c>
      <c r="J125" s="27" t="s">
        <v>1341</v>
      </c>
      <c r="K125" s="27" t="s">
        <v>836</v>
      </c>
      <c r="L125" s="27" t="s">
        <v>851</v>
      </c>
      <c r="M125" s="27" t="s">
        <v>130</v>
      </c>
      <c r="N125" s="27" t="str">
        <f>inicioTerminales[[#This Row],[TIPO BUS]]&amp;"-"&amp;inicioTerminales[[#This Row],[MARCA CHASIS]]</f>
        <v>BE-FOTON</v>
      </c>
    </row>
    <row r="126" spans="1:14">
      <c r="A126" s="27" t="s">
        <v>10</v>
      </c>
      <c r="B126" s="27" t="s">
        <v>183</v>
      </c>
      <c r="C126" s="27">
        <v>3027</v>
      </c>
      <c r="D126" s="27" t="s">
        <v>147</v>
      </c>
      <c r="E126" s="27" t="s">
        <v>13</v>
      </c>
      <c r="F126" s="27" t="s">
        <v>149</v>
      </c>
      <c r="G126" s="27" t="str">
        <f>_xlfn.CONCAT(inicioTerminales[[#This Row],[MARCA CHASIS]]," - ", inicioTerminales[[#This Row],[TIPO BUS]])</f>
        <v>FOTON - BE</v>
      </c>
      <c r="H126" s="27" t="s">
        <v>130</v>
      </c>
      <c r="I126" s="52">
        <v>44933</v>
      </c>
      <c r="J126" s="27" t="s">
        <v>1341</v>
      </c>
      <c r="K126" s="27" t="s">
        <v>836</v>
      </c>
      <c r="L126" s="27" t="s">
        <v>851</v>
      </c>
      <c r="M126" s="27" t="s">
        <v>130</v>
      </c>
      <c r="N126" s="27" t="str">
        <f>inicioTerminales[[#This Row],[TIPO BUS]]&amp;"-"&amp;inicioTerminales[[#This Row],[MARCA CHASIS]]</f>
        <v>BE-FOTON</v>
      </c>
    </row>
    <row r="127" spans="1:14">
      <c r="A127" s="27" t="s">
        <v>10</v>
      </c>
      <c r="B127" s="27" t="s">
        <v>184</v>
      </c>
      <c r="C127" s="27">
        <v>3028</v>
      </c>
      <c r="D127" s="27" t="s">
        <v>147</v>
      </c>
      <c r="E127" s="27" t="s">
        <v>13</v>
      </c>
      <c r="F127" s="27" t="s">
        <v>149</v>
      </c>
      <c r="G127" s="27" t="str">
        <f>_xlfn.CONCAT(inicioTerminales[[#This Row],[MARCA CHASIS]]," - ", inicioTerminales[[#This Row],[TIPO BUS]])</f>
        <v>FOTON - BE</v>
      </c>
      <c r="H127" s="27" t="s">
        <v>130</v>
      </c>
      <c r="I127" s="52">
        <v>44933</v>
      </c>
      <c r="J127" s="27" t="s">
        <v>1341</v>
      </c>
      <c r="K127" s="27" t="s">
        <v>836</v>
      </c>
      <c r="L127" s="27" t="s">
        <v>851</v>
      </c>
      <c r="M127" s="27" t="s">
        <v>130</v>
      </c>
      <c r="N127" s="27" t="str">
        <f>inicioTerminales[[#This Row],[TIPO BUS]]&amp;"-"&amp;inicioTerminales[[#This Row],[MARCA CHASIS]]</f>
        <v>BE-FOTON</v>
      </c>
    </row>
    <row r="128" spans="1:14">
      <c r="A128" s="27" t="s">
        <v>10</v>
      </c>
      <c r="B128" s="27" t="s">
        <v>185</v>
      </c>
      <c r="C128" s="27">
        <v>3029</v>
      </c>
      <c r="D128" s="27" t="s">
        <v>147</v>
      </c>
      <c r="E128" s="27" t="s">
        <v>13</v>
      </c>
      <c r="F128" s="27" t="s">
        <v>149</v>
      </c>
      <c r="G128" s="27" t="str">
        <f>_xlfn.CONCAT(inicioTerminales[[#This Row],[MARCA CHASIS]]," - ", inicioTerminales[[#This Row],[TIPO BUS]])</f>
        <v>FOTON - BE</v>
      </c>
      <c r="H128" s="27" t="s">
        <v>130</v>
      </c>
      <c r="I128" s="52">
        <v>44933</v>
      </c>
      <c r="J128" s="27" t="s">
        <v>1341</v>
      </c>
      <c r="K128" s="27" t="s">
        <v>836</v>
      </c>
      <c r="L128" s="27" t="s">
        <v>851</v>
      </c>
      <c r="M128" s="27" t="s">
        <v>130</v>
      </c>
      <c r="N128" s="27" t="str">
        <f>inicioTerminales[[#This Row],[TIPO BUS]]&amp;"-"&amp;inicioTerminales[[#This Row],[MARCA CHASIS]]</f>
        <v>BE-FOTON</v>
      </c>
    </row>
    <row r="129" spans="1:14">
      <c r="A129" s="27" t="s">
        <v>10</v>
      </c>
      <c r="B129" s="27" t="s">
        <v>186</v>
      </c>
      <c r="C129" s="27">
        <v>3030</v>
      </c>
      <c r="D129" s="27" t="s">
        <v>147</v>
      </c>
      <c r="E129" s="27" t="s">
        <v>13</v>
      </c>
      <c r="F129" s="27" t="s">
        <v>149</v>
      </c>
      <c r="G129" s="27" t="str">
        <f>_xlfn.CONCAT(inicioTerminales[[#This Row],[MARCA CHASIS]]," - ", inicioTerminales[[#This Row],[TIPO BUS]])</f>
        <v>FOTON - BE</v>
      </c>
      <c r="H129" s="27" t="s">
        <v>130</v>
      </c>
      <c r="I129" s="52">
        <v>44933</v>
      </c>
      <c r="J129" s="27" t="s">
        <v>1341</v>
      </c>
      <c r="K129" s="27" t="s">
        <v>836</v>
      </c>
      <c r="L129" s="27" t="s">
        <v>851</v>
      </c>
      <c r="M129" s="27" t="s">
        <v>130</v>
      </c>
      <c r="N129" s="27" t="str">
        <f>inicioTerminales[[#This Row],[TIPO BUS]]&amp;"-"&amp;inicioTerminales[[#This Row],[MARCA CHASIS]]</f>
        <v>BE-FOTON</v>
      </c>
    </row>
    <row r="130" spans="1:14">
      <c r="A130" s="27" t="s">
        <v>10</v>
      </c>
      <c r="B130" s="27" t="s">
        <v>187</v>
      </c>
      <c r="C130" s="27">
        <v>3031</v>
      </c>
      <c r="D130" s="27" t="s">
        <v>147</v>
      </c>
      <c r="E130" s="27" t="s">
        <v>13</v>
      </c>
      <c r="F130" s="27" t="s">
        <v>149</v>
      </c>
      <c r="G130" s="27" t="str">
        <f>_xlfn.CONCAT(inicioTerminales[[#This Row],[MARCA CHASIS]]," - ", inicioTerminales[[#This Row],[TIPO BUS]])</f>
        <v>FOTON - BE</v>
      </c>
      <c r="H130" s="27" t="s">
        <v>130</v>
      </c>
      <c r="I130" s="52">
        <v>44933</v>
      </c>
      <c r="J130" s="27" t="s">
        <v>1341</v>
      </c>
      <c r="K130" s="27" t="s">
        <v>836</v>
      </c>
      <c r="L130" s="27" t="s">
        <v>851</v>
      </c>
      <c r="M130" s="27" t="s">
        <v>130</v>
      </c>
      <c r="N130" s="27" t="str">
        <f>inicioTerminales[[#This Row],[TIPO BUS]]&amp;"-"&amp;inicioTerminales[[#This Row],[MARCA CHASIS]]</f>
        <v>BE-FOTON</v>
      </c>
    </row>
    <row r="131" spans="1:14">
      <c r="A131" s="27" t="s">
        <v>10</v>
      </c>
      <c r="B131" s="27" t="s">
        <v>188</v>
      </c>
      <c r="C131" s="27">
        <v>3032</v>
      </c>
      <c r="D131" s="27" t="s">
        <v>147</v>
      </c>
      <c r="E131" s="27" t="s">
        <v>13</v>
      </c>
      <c r="F131" s="27" t="s">
        <v>149</v>
      </c>
      <c r="G131" s="27" t="str">
        <f>_xlfn.CONCAT(inicioTerminales[[#This Row],[MARCA CHASIS]]," - ", inicioTerminales[[#This Row],[TIPO BUS]])</f>
        <v>FOTON - BE</v>
      </c>
      <c r="H131" s="27" t="s">
        <v>130</v>
      </c>
      <c r="I131" s="52">
        <v>44933</v>
      </c>
      <c r="J131" s="27" t="s">
        <v>1341</v>
      </c>
      <c r="K131" s="27" t="s">
        <v>836</v>
      </c>
      <c r="L131" s="27" t="s">
        <v>851</v>
      </c>
      <c r="M131" s="27" t="s">
        <v>130</v>
      </c>
      <c r="N131" s="27" t="str">
        <f>inicioTerminales[[#This Row],[TIPO BUS]]&amp;"-"&amp;inicioTerminales[[#This Row],[MARCA CHASIS]]</f>
        <v>BE-FOTON</v>
      </c>
    </row>
    <row r="132" spans="1:14">
      <c r="A132" s="27" t="s">
        <v>10</v>
      </c>
      <c r="B132" s="27" t="s">
        <v>189</v>
      </c>
      <c r="C132" s="27">
        <v>3033</v>
      </c>
      <c r="D132" s="27" t="s">
        <v>147</v>
      </c>
      <c r="E132" s="27" t="s">
        <v>13</v>
      </c>
      <c r="F132" s="27" t="s">
        <v>149</v>
      </c>
      <c r="G132" s="27" t="str">
        <f>_xlfn.CONCAT(inicioTerminales[[#This Row],[MARCA CHASIS]]," - ", inicioTerminales[[#This Row],[TIPO BUS]])</f>
        <v>FOTON - BE</v>
      </c>
      <c r="H132" s="27" t="s">
        <v>130</v>
      </c>
      <c r="I132" s="52">
        <v>44933</v>
      </c>
      <c r="J132" s="27" t="s">
        <v>1341</v>
      </c>
      <c r="K132" s="27" t="s">
        <v>836</v>
      </c>
      <c r="L132" s="27" t="s">
        <v>851</v>
      </c>
      <c r="M132" s="27" t="s">
        <v>130</v>
      </c>
      <c r="N132" s="27" t="str">
        <f>inicioTerminales[[#This Row],[TIPO BUS]]&amp;"-"&amp;inicioTerminales[[#This Row],[MARCA CHASIS]]</f>
        <v>BE-FOTON</v>
      </c>
    </row>
    <row r="133" spans="1:14">
      <c r="A133" s="27" t="s">
        <v>10</v>
      </c>
      <c r="B133" s="27" t="s">
        <v>190</v>
      </c>
      <c r="C133" s="27">
        <v>3034</v>
      </c>
      <c r="D133" s="27" t="s">
        <v>147</v>
      </c>
      <c r="E133" s="27" t="s">
        <v>13</v>
      </c>
      <c r="F133" s="27" t="s">
        <v>149</v>
      </c>
      <c r="G133" s="27" t="str">
        <f>_xlfn.CONCAT(inicioTerminales[[#This Row],[MARCA CHASIS]]," - ", inicioTerminales[[#This Row],[TIPO BUS]])</f>
        <v>FOTON - BE</v>
      </c>
      <c r="H133" s="27" t="s">
        <v>130</v>
      </c>
      <c r="I133" s="52">
        <v>44933</v>
      </c>
      <c r="J133" s="27" t="s">
        <v>1341</v>
      </c>
      <c r="K133" s="27" t="s">
        <v>836</v>
      </c>
      <c r="L133" s="27" t="s">
        <v>851</v>
      </c>
      <c r="M133" s="27" t="s">
        <v>130</v>
      </c>
      <c r="N133" s="27" t="str">
        <f>inicioTerminales[[#This Row],[TIPO BUS]]&amp;"-"&amp;inicioTerminales[[#This Row],[MARCA CHASIS]]</f>
        <v>BE-FOTON</v>
      </c>
    </row>
    <row r="134" spans="1:14">
      <c r="A134" s="27" t="s">
        <v>10</v>
      </c>
      <c r="B134" s="27" t="s">
        <v>191</v>
      </c>
      <c r="C134" s="27">
        <v>3035</v>
      </c>
      <c r="D134" s="27" t="s">
        <v>147</v>
      </c>
      <c r="E134" s="27" t="s">
        <v>13</v>
      </c>
      <c r="F134" s="27" t="s">
        <v>149</v>
      </c>
      <c r="G134" s="27" t="str">
        <f>_xlfn.CONCAT(inicioTerminales[[#This Row],[MARCA CHASIS]]," - ", inicioTerminales[[#This Row],[TIPO BUS]])</f>
        <v>FOTON - BE</v>
      </c>
      <c r="H134" s="27" t="s">
        <v>130</v>
      </c>
      <c r="I134" s="52">
        <v>44933</v>
      </c>
      <c r="J134" s="27" t="s">
        <v>1341</v>
      </c>
      <c r="K134" s="27" t="s">
        <v>836</v>
      </c>
      <c r="L134" s="27" t="s">
        <v>851</v>
      </c>
      <c r="M134" s="27" t="s">
        <v>130</v>
      </c>
      <c r="N134" s="27" t="str">
        <f>inicioTerminales[[#This Row],[TIPO BUS]]&amp;"-"&amp;inicioTerminales[[#This Row],[MARCA CHASIS]]</f>
        <v>BE-FOTON</v>
      </c>
    </row>
    <row r="135" spans="1:14">
      <c r="A135" s="27" t="s">
        <v>10</v>
      </c>
      <c r="B135" s="27" t="s">
        <v>192</v>
      </c>
      <c r="C135" s="27">
        <v>3036</v>
      </c>
      <c r="D135" s="27" t="s">
        <v>147</v>
      </c>
      <c r="E135" s="27" t="s">
        <v>13</v>
      </c>
      <c r="F135" s="27" t="s">
        <v>149</v>
      </c>
      <c r="G135" s="27" t="str">
        <f>_xlfn.CONCAT(inicioTerminales[[#This Row],[MARCA CHASIS]]," - ", inicioTerminales[[#This Row],[TIPO BUS]])</f>
        <v>FOTON - BE</v>
      </c>
      <c r="H135" s="27" t="s">
        <v>130</v>
      </c>
      <c r="I135" s="52">
        <v>44933</v>
      </c>
      <c r="J135" s="27" t="s">
        <v>1341</v>
      </c>
      <c r="K135" s="27" t="s">
        <v>836</v>
      </c>
      <c r="L135" s="27" t="s">
        <v>851</v>
      </c>
      <c r="M135" s="27" t="s">
        <v>130</v>
      </c>
      <c r="N135" s="27" t="str">
        <f>inicioTerminales[[#This Row],[TIPO BUS]]&amp;"-"&amp;inicioTerminales[[#This Row],[MARCA CHASIS]]</f>
        <v>BE-FOTON</v>
      </c>
    </row>
    <row r="136" spans="1:14">
      <c r="A136" s="27" t="s">
        <v>10</v>
      </c>
      <c r="B136" s="27" t="s">
        <v>193</v>
      </c>
      <c r="C136" s="27">
        <v>3037</v>
      </c>
      <c r="D136" s="27" t="s">
        <v>147</v>
      </c>
      <c r="E136" s="27" t="s">
        <v>13</v>
      </c>
      <c r="F136" s="27" t="s">
        <v>149</v>
      </c>
      <c r="G136" s="27" t="str">
        <f>_xlfn.CONCAT(inicioTerminales[[#This Row],[MARCA CHASIS]]," - ", inicioTerminales[[#This Row],[TIPO BUS]])</f>
        <v>FOTON - BE</v>
      </c>
      <c r="H136" s="27" t="s">
        <v>130</v>
      </c>
      <c r="I136" s="52">
        <v>44933</v>
      </c>
      <c r="J136" s="27" t="s">
        <v>1341</v>
      </c>
      <c r="K136" s="27" t="s">
        <v>836</v>
      </c>
      <c r="L136" s="27" t="s">
        <v>851</v>
      </c>
      <c r="M136" s="27" t="s">
        <v>130</v>
      </c>
      <c r="N136" s="27" t="str">
        <f>inicioTerminales[[#This Row],[TIPO BUS]]&amp;"-"&amp;inicioTerminales[[#This Row],[MARCA CHASIS]]</f>
        <v>BE-FOTON</v>
      </c>
    </row>
    <row r="137" spans="1:14">
      <c r="A137" s="27" t="s">
        <v>10</v>
      </c>
      <c r="B137" s="27" t="s">
        <v>194</v>
      </c>
      <c r="C137" s="27">
        <v>3038</v>
      </c>
      <c r="D137" s="27" t="s">
        <v>147</v>
      </c>
      <c r="E137" s="27" t="s">
        <v>13</v>
      </c>
      <c r="F137" s="27" t="s">
        <v>149</v>
      </c>
      <c r="G137" s="27" t="str">
        <f>_xlfn.CONCAT(inicioTerminales[[#This Row],[MARCA CHASIS]]," - ", inicioTerminales[[#This Row],[TIPO BUS]])</f>
        <v>FOTON - BE</v>
      </c>
      <c r="H137" s="27" t="s">
        <v>130</v>
      </c>
      <c r="I137" s="52">
        <v>44933</v>
      </c>
      <c r="J137" s="27" t="s">
        <v>1341</v>
      </c>
      <c r="K137" s="27" t="s">
        <v>836</v>
      </c>
      <c r="L137" s="27" t="s">
        <v>851</v>
      </c>
      <c r="M137" s="27" t="s">
        <v>130</v>
      </c>
      <c r="N137" s="27" t="str">
        <f>inicioTerminales[[#This Row],[TIPO BUS]]&amp;"-"&amp;inicioTerminales[[#This Row],[MARCA CHASIS]]</f>
        <v>BE-FOTON</v>
      </c>
    </row>
    <row r="138" spans="1:14">
      <c r="A138" s="27" t="s">
        <v>10</v>
      </c>
      <c r="B138" s="27" t="s">
        <v>195</v>
      </c>
      <c r="C138" s="27">
        <v>3039</v>
      </c>
      <c r="D138" s="27" t="s">
        <v>147</v>
      </c>
      <c r="E138" s="27" t="s">
        <v>13</v>
      </c>
      <c r="F138" s="27" t="s">
        <v>149</v>
      </c>
      <c r="G138" s="27" t="str">
        <f>_xlfn.CONCAT(inicioTerminales[[#This Row],[MARCA CHASIS]]," - ", inicioTerminales[[#This Row],[TIPO BUS]])</f>
        <v>FOTON - BE</v>
      </c>
      <c r="H138" s="27" t="s">
        <v>130</v>
      </c>
      <c r="I138" s="52">
        <v>44933</v>
      </c>
      <c r="J138" s="27" t="s">
        <v>1341</v>
      </c>
      <c r="K138" s="27" t="s">
        <v>836</v>
      </c>
      <c r="L138" s="27" t="s">
        <v>851</v>
      </c>
      <c r="M138" s="27" t="s">
        <v>130</v>
      </c>
      <c r="N138" s="27" t="str">
        <f>inicioTerminales[[#This Row],[TIPO BUS]]&amp;"-"&amp;inicioTerminales[[#This Row],[MARCA CHASIS]]</f>
        <v>BE-FOTON</v>
      </c>
    </row>
    <row r="139" spans="1:14">
      <c r="A139" s="27" t="s">
        <v>10</v>
      </c>
      <c r="B139" s="27" t="s">
        <v>196</v>
      </c>
      <c r="C139" s="27">
        <v>3040</v>
      </c>
      <c r="D139" s="27" t="s">
        <v>147</v>
      </c>
      <c r="E139" s="27" t="s">
        <v>13</v>
      </c>
      <c r="F139" s="27" t="s">
        <v>149</v>
      </c>
      <c r="G139" s="27" t="str">
        <f>_xlfn.CONCAT(inicioTerminales[[#This Row],[MARCA CHASIS]]," - ", inicioTerminales[[#This Row],[TIPO BUS]])</f>
        <v>FOTON - BE</v>
      </c>
      <c r="H139" s="27" t="s">
        <v>130</v>
      </c>
      <c r="I139" s="52">
        <v>44933</v>
      </c>
      <c r="J139" s="27" t="s">
        <v>1341</v>
      </c>
      <c r="K139" s="27" t="s">
        <v>836</v>
      </c>
      <c r="L139" s="27" t="s">
        <v>851</v>
      </c>
      <c r="M139" s="27" t="s">
        <v>130</v>
      </c>
      <c r="N139" s="27" t="str">
        <f>inicioTerminales[[#This Row],[TIPO BUS]]&amp;"-"&amp;inicioTerminales[[#This Row],[MARCA CHASIS]]</f>
        <v>BE-FOTON</v>
      </c>
    </row>
    <row r="140" spans="1:14">
      <c r="A140" s="27" t="s">
        <v>10</v>
      </c>
      <c r="B140" s="27" t="s">
        <v>197</v>
      </c>
      <c r="C140" s="27">
        <v>3041</v>
      </c>
      <c r="D140" s="27" t="s">
        <v>147</v>
      </c>
      <c r="E140" s="27" t="s">
        <v>13</v>
      </c>
      <c r="F140" s="27" t="s">
        <v>149</v>
      </c>
      <c r="G140" s="27" t="str">
        <f>_xlfn.CONCAT(inicioTerminales[[#This Row],[MARCA CHASIS]]," - ", inicioTerminales[[#This Row],[TIPO BUS]])</f>
        <v>FOTON - BE</v>
      </c>
      <c r="H140" s="27" t="s">
        <v>130</v>
      </c>
      <c r="I140" s="52">
        <v>44933</v>
      </c>
      <c r="J140" s="27" t="s">
        <v>1341</v>
      </c>
      <c r="K140" s="27" t="s">
        <v>836</v>
      </c>
      <c r="L140" s="27" t="s">
        <v>851</v>
      </c>
      <c r="M140" s="27" t="s">
        <v>130</v>
      </c>
      <c r="N140" s="27" t="str">
        <f>inicioTerminales[[#This Row],[TIPO BUS]]&amp;"-"&amp;inicioTerminales[[#This Row],[MARCA CHASIS]]</f>
        <v>BE-FOTON</v>
      </c>
    </row>
    <row r="141" spans="1:14">
      <c r="A141" s="27" t="s">
        <v>10</v>
      </c>
      <c r="B141" s="27" t="s">
        <v>254</v>
      </c>
      <c r="C141" s="27">
        <v>4068</v>
      </c>
      <c r="D141" s="27" t="s">
        <v>38</v>
      </c>
      <c r="E141" s="27" t="s">
        <v>13</v>
      </c>
      <c r="F141" s="27" t="s">
        <v>14</v>
      </c>
      <c r="G141" s="27" t="str">
        <f>_xlfn.CONCAT(inicioTerminales[[#This Row],[MARCA CHASIS]]," - ", inicioTerminales[[#This Row],[TIPO BUS]])</f>
        <v>VOLVO - C2</v>
      </c>
      <c r="H141" s="27" t="s">
        <v>130</v>
      </c>
      <c r="I141" s="52">
        <v>44933</v>
      </c>
      <c r="J141" s="27" t="s">
        <v>1341</v>
      </c>
      <c r="K141" s="27" t="s">
        <v>836</v>
      </c>
      <c r="L141" s="27" t="s">
        <v>851</v>
      </c>
      <c r="M141" s="27" t="s">
        <v>130</v>
      </c>
      <c r="N141" s="27" t="str">
        <f>inicioTerminales[[#This Row],[TIPO BUS]]&amp;"-"&amp;inicioTerminales[[#This Row],[MARCA CHASIS]]</f>
        <v>C2-VOLVO</v>
      </c>
    </row>
    <row r="142" spans="1:14">
      <c r="A142" s="27" t="s">
        <v>10</v>
      </c>
      <c r="B142" s="27" t="s">
        <v>61</v>
      </c>
      <c r="C142" s="27">
        <v>4069</v>
      </c>
      <c r="D142" s="27" t="s">
        <v>38</v>
      </c>
      <c r="E142" s="27" t="s">
        <v>13</v>
      </c>
      <c r="F142" s="27" t="s">
        <v>14</v>
      </c>
      <c r="G142" s="27" t="str">
        <f>_xlfn.CONCAT(inicioTerminales[[#This Row],[MARCA CHASIS]]," - ", inicioTerminales[[#This Row],[TIPO BUS]])</f>
        <v>VOLVO - C2</v>
      </c>
      <c r="H142" s="27" t="s">
        <v>130</v>
      </c>
      <c r="I142" s="52">
        <v>44933</v>
      </c>
      <c r="J142" s="27" t="s">
        <v>1341</v>
      </c>
      <c r="K142" s="27" t="s">
        <v>836</v>
      </c>
      <c r="L142" s="27" t="s">
        <v>851</v>
      </c>
      <c r="M142" s="27" t="s">
        <v>130</v>
      </c>
      <c r="N142" s="27" t="str">
        <f>inicioTerminales[[#This Row],[TIPO BUS]]&amp;"-"&amp;inicioTerminales[[#This Row],[MARCA CHASIS]]</f>
        <v>C2-VOLVO</v>
      </c>
    </row>
    <row r="143" spans="1:14">
      <c r="A143" s="27" t="s">
        <v>421</v>
      </c>
      <c r="B143" s="27" t="s">
        <v>438</v>
      </c>
      <c r="C143" s="27">
        <v>5000</v>
      </c>
      <c r="D143" s="27" t="s">
        <v>12</v>
      </c>
      <c r="E143" s="27" t="s">
        <v>13</v>
      </c>
      <c r="F143" s="27" t="s">
        <v>14</v>
      </c>
      <c r="G143" s="27" t="str">
        <f>_xlfn.CONCAT(inicioTerminales[[#This Row],[MARCA CHASIS]]," - ", inicioTerminales[[#This Row],[TIPO BUS]])</f>
        <v>VOLVO - A2</v>
      </c>
      <c r="H143" s="27" t="s">
        <v>423</v>
      </c>
      <c r="I143" s="52">
        <v>44982</v>
      </c>
      <c r="J143" s="27" t="s">
        <v>1341</v>
      </c>
      <c r="K143" s="27" t="s">
        <v>839</v>
      </c>
      <c r="L143" s="27" t="s">
        <v>1367</v>
      </c>
      <c r="M143" s="27" t="s">
        <v>423</v>
      </c>
      <c r="N143" s="27" t="str">
        <f>inicioTerminales[[#This Row],[TIPO BUS]]&amp;"-"&amp;inicioTerminales[[#This Row],[MARCA CHASIS]]</f>
        <v>A2-VOLVO</v>
      </c>
    </row>
    <row r="144" spans="1:14">
      <c r="A144" s="27" t="s">
        <v>421</v>
      </c>
      <c r="B144" s="27" t="s">
        <v>422</v>
      </c>
      <c r="C144" s="27">
        <v>5001</v>
      </c>
      <c r="D144" s="27" t="s">
        <v>12</v>
      </c>
      <c r="E144" s="27" t="s">
        <v>13</v>
      </c>
      <c r="F144" s="27" t="s">
        <v>14</v>
      </c>
      <c r="G144" s="27" t="str">
        <f>_xlfn.CONCAT(inicioTerminales[[#This Row],[MARCA CHASIS]]," - ", inicioTerminales[[#This Row],[TIPO BUS]])</f>
        <v>VOLVO - A2</v>
      </c>
      <c r="H144" s="27" t="s">
        <v>423</v>
      </c>
      <c r="I144" s="52">
        <v>44982</v>
      </c>
      <c r="J144" s="27" t="s">
        <v>1341</v>
      </c>
      <c r="K144" s="27" t="s">
        <v>839</v>
      </c>
      <c r="L144" s="27" t="s">
        <v>1367</v>
      </c>
      <c r="M144" s="27" t="s">
        <v>423</v>
      </c>
      <c r="N144" s="27" t="str">
        <f>inicioTerminales[[#This Row],[TIPO BUS]]&amp;"-"&amp;inicioTerminales[[#This Row],[MARCA CHASIS]]</f>
        <v>A2-VOLVO</v>
      </c>
    </row>
    <row r="145" spans="1:14">
      <c r="A145" s="27" t="s">
        <v>421</v>
      </c>
      <c r="B145" s="27" t="s">
        <v>425</v>
      </c>
      <c r="C145" s="27">
        <v>5002</v>
      </c>
      <c r="D145" s="27" t="s">
        <v>12</v>
      </c>
      <c r="E145" s="27" t="s">
        <v>13</v>
      </c>
      <c r="F145" s="27" t="s">
        <v>14</v>
      </c>
      <c r="G145" s="27" t="str">
        <f>_xlfn.CONCAT(inicioTerminales[[#This Row],[MARCA CHASIS]]," - ", inicioTerminales[[#This Row],[TIPO BUS]])</f>
        <v>VOLVO - A2</v>
      </c>
      <c r="H145" s="27" t="s">
        <v>423</v>
      </c>
      <c r="I145" s="52">
        <v>44982</v>
      </c>
      <c r="J145" s="27" t="s">
        <v>1341</v>
      </c>
      <c r="K145" s="27" t="s">
        <v>839</v>
      </c>
      <c r="L145" s="27" t="s">
        <v>1367</v>
      </c>
      <c r="M145" s="27" t="s">
        <v>423</v>
      </c>
      <c r="N145" s="27" t="str">
        <f>inicioTerminales[[#This Row],[TIPO BUS]]&amp;"-"&amp;inicioTerminales[[#This Row],[MARCA CHASIS]]</f>
        <v>A2-VOLVO</v>
      </c>
    </row>
    <row r="146" spans="1:14">
      <c r="A146" s="27" t="s">
        <v>421</v>
      </c>
      <c r="B146" s="27" t="s">
        <v>426</v>
      </c>
      <c r="C146" s="27">
        <v>5003</v>
      </c>
      <c r="D146" s="27" t="s">
        <v>12</v>
      </c>
      <c r="E146" s="27" t="s">
        <v>13</v>
      </c>
      <c r="F146" s="27" t="s">
        <v>14</v>
      </c>
      <c r="G146" s="27" t="str">
        <f>_xlfn.CONCAT(inicioTerminales[[#This Row],[MARCA CHASIS]]," - ", inicioTerminales[[#This Row],[TIPO BUS]])</f>
        <v>VOLVO - A2</v>
      </c>
      <c r="H146" s="27" t="s">
        <v>423</v>
      </c>
      <c r="I146" s="52">
        <v>44982</v>
      </c>
      <c r="J146" s="27" t="s">
        <v>1341</v>
      </c>
      <c r="K146" s="27" t="s">
        <v>839</v>
      </c>
      <c r="L146" s="27" t="s">
        <v>1367</v>
      </c>
      <c r="M146" s="27" t="s">
        <v>423</v>
      </c>
      <c r="N146" s="27" t="str">
        <f>inicioTerminales[[#This Row],[TIPO BUS]]&amp;"-"&amp;inicioTerminales[[#This Row],[MARCA CHASIS]]</f>
        <v>A2-VOLVO</v>
      </c>
    </row>
    <row r="147" spans="1:14">
      <c r="A147" s="27" t="s">
        <v>421</v>
      </c>
      <c r="B147" s="27" t="s">
        <v>427</v>
      </c>
      <c r="C147" s="27">
        <v>5004</v>
      </c>
      <c r="D147" s="27" t="s">
        <v>12</v>
      </c>
      <c r="E147" s="27" t="s">
        <v>13</v>
      </c>
      <c r="F147" s="27" t="s">
        <v>14</v>
      </c>
      <c r="G147" s="27" t="str">
        <f>_xlfn.CONCAT(inicioTerminales[[#This Row],[MARCA CHASIS]]," - ", inicioTerminales[[#This Row],[TIPO BUS]])</f>
        <v>VOLVO - A2</v>
      </c>
      <c r="H147" s="27" t="s">
        <v>423</v>
      </c>
      <c r="I147" s="52">
        <v>44982</v>
      </c>
      <c r="J147" s="27" t="s">
        <v>1341</v>
      </c>
      <c r="K147" s="27" t="s">
        <v>839</v>
      </c>
      <c r="L147" s="27" t="s">
        <v>1367</v>
      </c>
      <c r="M147" s="27" t="s">
        <v>423</v>
      </c>
      <c r="N147" s="27" t="str">
        <f>inicioTerminales[[#This Row],[TIPO BUS]]&amp;"-"&amp;inicioTerminales[[#This Row],[MARCA CHASIS]]</f>
        <v>A2-VOLVO</v>
      </c>
    </row>
    <row r="148" spans="1:14">
      <c r="A148" s="27" t="s">
        <v>421</v>
      </c>
      <c r="B148" s="27" t="s">
        <v>428</v>
      </c>
      <c r="C148" s="27">
        <v>5005</v>
      </c>
      <c r="D148" s="27" t="s">
        <v>12</v>
      </c>
      <c r="E148" s="27" t="s">
        <v>13</v>
      </c>
      <c r="F148" s="27" t="s">
        <v>14</v>
      </c>
      <c r="G148" s="27" t="str">
        <f>_xlfn.CONCAT(inicioTerminales[[#This Row],[MARCA CHASIS]]," - ", inicioTerminales[[#This Row],[TIPO BUS]])</f>
        <v>VOLVO - A2</v>
      </c>
      <c r="H148" s="27" t="s">
        <v>423</v>
      </c>
      <c r="I148" s="52">
        <v>44982</v>
      </c>
      <c r="J148" s="27" t="s">
        <v>1341</v>
      </c>
      <c r="K148" s="27" t="s">
        <v>839</v>
      </c>
      <c r="L148" s="27" t="s">
        <v>1367</v>
      </c>
      <c r="M148" s="27" t="s">
        <v>423</v>
      </c>
      <c r="N148" s="27" t="str">
        <f>inicioTerminales[[#This Row],[TIPO BUS]]&amp;"-"&amp;inicioTerminales[[#This Row],[MARCA CHASIS]]</f>
        <v>A2-VOLVO</v>
      </c>
    </row>
    <row r="149" spans="1:14">
      <c r="A149" s="27" t="s">
        <v>421</v>
      </c>
      <c r="B149" s="27" t="s">
        <v>448</v>
      </c>
      <c r="C149" s="27">
        <v>6093</v>
      </c>
      <c r="D149" s="27" t="s">
        <v>34</v>
      </c>
      <c r="E149" s="27" t="s">
        <v>25</v>
      </c>
      <c r="F149" s="27" t="s">
        <v>14</v>
      </c>
      <c r="G149" s="27" t="str">
        <f>_xlfn.CONCAT(inicioTerminales[[#This Row],[MARCA CHASIS]]," - ", inicioTerminales[[#This Row],[TIPO BUS]])</f>
        <v>VOLVO - B2</v>
      </c>
      <c r="H149" s="27" t="s">
        <v>423</v>
      </c>
      <c r="I149" s="52">
        <v>44982</v>
      </c>
      <c r="J149" s="27" t="s">
        <v>1341</v>
      </c>
      <c r="K149" s="27" t="s">
        <v>839</v>
      </c>
      <c r="L149" s="27" t="s">
        <v>1367</v>
      </c>
      <c r="M149" s="27" t="s">
        <v>423</v>
      </c>
      <c r="N149" s="27" t="str">
        <f>inicioTerminales[[#This Row],[TIPO BUS]]&amp;"-"&amp;inicioTerminales[[#This Row],[MARCA CHASIS]]</f>
        <v>B2-VOLVO</v>
      </c>
    </row>
    <row r="150" spans="1:14">
      <c r="A150" s="27" t="s">
        <v>421</v>
      </c>
      <c r="B150" s="27" t="s">
        <v>549</v>
      </c>
      <c r="C150" s="27">
        <v>6094</v>
      </c>
      <c r="D150" s="27" t="s">
        <v>34</v>
      </c>
      <c r="E150" s="27" t="s">
        <v>25</v>
      </c>
      <c r="F150" s="27" t="s">
        <v>14</v>
      </c>
      <c r="G150" s="27" t="str">
        <f>_xlfn.CONCAT(inicioTerminales[[#This Row],[MARCA CHASIS]]," - ", inicioTerminales[[#This Row],[TIPO BUS]])</f>
        <v>VOLVO - B2</v>
      </c>
      <c r="H150" s="27" t="s">
        <v>423</v>
      </c>
      <c r="I150" s="52">
        <v>44982</v>
      </c>
      <c r="J150" s="27" t="s">
        <v>1341</v>
      </c>
      <c r="K150" s="27" t="s">
        <v>839</v>
      </c>
      <c r="L150" s="27" t="s">
        <v>1367</v>
      </c>
      <c r="M150" s="27" t="s">
        <v>423</v>
      </c>
      <c r="N150" s="27" t="str">
        <f>inicioTerminales[[#This Row],[TIPO BUS]]&amp;"-"&amp;inicioTerminales[[#This Row],[MARCA CHASIS]]</f>
        <v>B2-VOLVO</v>
      </c>
    </row>
    <row r="151" spans="1:14">
      <c r="A151" s="27" t="s">
        <v>421</v>
      </c>
      <c r="B151" s="27" t="s">
        <v>550</v>
      </c>
      <c r="C151" s="27">
        <v>6095</v>
      </c>
      <c r="D151" s="27" t="s">
        <v>34</v>
      </c>
      <c r="E151" s="27" t="s">
        <v>25</v>
      </c>
      <c r="F151" s="27" t="s">
        <v>14</v>
      </c>
      <c r="G151" s="27" t="str">
        <f>_xlfn.CONCAT(inicioTerminales[[#This Row],[MARCA CHASIS]]," - ", inicioTerminales[[#This Row],[TIPO BUS]])</f>
        <v>VOLVO - B2</v>
      </c>
      <c r="H151" s="27" t="s">
        <v>423</v>
      </c>
      <c r="I151" s="52">
        <v>44982</v>
      </c>
      <c r="J151" s="27" t="s">
        <v>1341</v>
      </c>
      <c r="K151" s="27" t="s">
        <v>839</v>
      </c>
      <c r="L151" s="27" t="s">
        <v>1367</v>
      </c>
      <c r="M151" s="27" t="s">
        <v>423</v>
      </c>
      <c r="N151" s="27" t="str">
        <f>inicioTerminales[[#This Row],[TIPO BUS]]&amp;"-"&amp;inicioTerminales[[#This Row],[MARCA CHASIS]]</f>
        <v>B2-VOLVO</v>
      </c>
    </row>
    <row r="152" spans="1:14">
      <c r="A152" s="27" t="s">
        <v>421</v>
      </c>
      <c r="B152" s="27" t="s">
        <v>449</v>
      </c>
      <c r="C152" s="27">
        <v>6096</v>
      </c>
      <c r="D152" s="27" t="s">
        <v>34</v>
      </c>
      <c r="E152" s="27" t="s">
        <v>25</v>
      </c>
      <c r="F152" s="27" t="s">
        <v>14</v>
      </c>
      <c r="G152" s="27" t="str">
        <f>_xlfn.CONCAT(inicioTerminales[[#This Row],[MARCA CHASIS]]," - ", inicioTerminales[[#This Row],[TIPO BUS]])</f>
        <v>VOLVO - B2</v>
      </c>
      <c r="H152" s="27" t="s">
        <v>423</v>
      </c>
      <c r="I152" s="52">
        <v>44982</v>
      </c>
      <c r="J152" s="27" t="s">
        <v>1341</v>
      </c>
      <c r="K152" s="27" t="s">
        <v>839</v>
      </c>
      <c r="L152" s="27" t="s">
        <v>1367</v>
      </c>
      <c r="M152" s="27" t="s">
        <v>423</v>
      </c>
      <c r="N152" s="27" t="str">
        <f>inicioTerminales[[#This Row],[TIPO BUS]]&amp;"-"&amp;inicioTerminales[[#This Row],[MARCA CHASIS]]</f>
        <v>B2-VOLVO</v>
      </c>
    </row>
    <row r="153" spans="1:14">
      <c r="A153" s="27" t="s">
        <v>421</v>
      </c>
      <c r="B153" s="27" t="s">
        <v>450</v>
      </c>
      <c r="C153" s="27">
        <v>6101</v>
      </c>
      <c r="D153" s="27" t="s">
        <v>34</v>
      </c>
      <c r="E153" s="27" t="s">
        <v>13</v>
      </c>
      <c r="F153" s="27" t="s">
        <v>14</v>
      </c>
      <c r="G153" s="27" t="str">
        <f>_xlfn.CONCAT(inicioTerminales[[#This Row],[MARCA CHASIS]]," - ", inicioTerminales[[#This Row],[TIPO BUS]])</f>
        <v>VOLVO - B2</v>
      </c>
      <c r="H153" s="27" t="s">
        <v>423</v>
      </c>
      <c r="I153" s="52">
        <v>44982</v>
      </c>
      <c r="J153" s="27" t="s">
        <v>1341</v>
      </c>
      <c r="K153" s="27" t="s">
        <v>839</v>
      </c>
      <c r="L153" s="27" t="s">
        <v>1367</v>
      </c>
      <c r="M153" s="27" t="s">
        <v>423</v>
      </c>
      <c r="N153" s="27" t="str">
        <f>inicioTerminales[[#This Row],[TIPO BUS]]&amp;"-"&amp;inicioTerminales[[#This Row],[MARCA CHASIS]]</f>
        <v>B2-VOLVO</v>
      </c>
    </row>
    <row r="154" spans="1:14">
      <c r="A154" s="27" t="s">
        <v>421</v>
      </c>
      <c r="B154" s="27" t="s">
        <v>555</v>
      </c>
      <c r="C154" s="27">
        <v>6102</v>
      </c>
      <c r="D154" s="27" t="s">
        <v>34</v>
      </c>
      <c r="E154" s="27" t="s">
        <v>13</v>
      </c>
      <c r="F154" s="27" t="s">
        <v>14</v>
      </c>
      <c r="G154" s="27" t="str">
        <f>_xlfn.CONCAT(inicioTerminales[[#This Row],[MARCA CHASIS]]," - ", inicioTerminales[[#This Row],[TIPO BUS]])</f>
        <v>VOLVO - B2</v>
      </c>
      <c r="H154" s="27" t="s">
        <v>423</v>
      </c>
      <c r="I154" s="52">
        <v>44982</v>
      </c>
      <c r="J154" s="27" t="s">
        <v>1341</v>
      </c>
      <c r="K154" s="27" t="s">
        <v>839</v>
      </c>
      <c r="L154" s="27" t="s">
        <v>1367</v>
      </c>
      <c r="M154" s="27" t="s">
        <v>423</v>
      </c>
      <c r="N154" s="27" t="str">
        <f>inicioTerminales[[#This Row],[TIPO BUS]]&amp;"-"&amp;inicioTerminales[[#This Row],[MARCA CHASIS]]</f>
        <v>B2-VOLVO</v>
      </c>
    </row>
    <row r="155" spans="1:14">
      <c r="A155" s="27" t="s">
        <v>421</v>
      </c>
      <c r="B155" s="27" t="s">
        <v>451</v>
      </c>
      <c r="C155" s="27">
        <v>6104</v>
      </c>
      <c r="D155" s="27" t="s">
        <v>34</v>
      </c>
      <c r="E155" s="27" t="s">
        <v>13</v>
      </c>
      <c r="F155" s="27" t="s">
        <v>14</v>
      </c>
      <c r="G155" s="27" t="str">
        <f>_xlfn.CONCAT(inicioTerminales[[#This Row],[MARCA CHASIS]]," - ", inicioTerminales[[#This Row],[TIPO BUS]])</f>
        <v>VOLVO - B2</v>
      </c>
      <c r="H155" s="27" t="s">
        <v>423</v>
      </c>
      <c r="I155" s="52">
        <v>44982</v>
      </c>
      <c r="J155" s="27" t="s">
        <v>1341</v>
      </c>
      <c r="K155" s="27" t="s">
        <v>839</v>
      </c>
      <c r="L155" s="27" t="s">
        <v>1367</v>
      </c>
      <c r="M155" s="27" t="s">
        <v>423</v>
      </c>
      <c r="N155" s="27" t="str">
        <f>inicioTerminales[[#This Row],[TIPO BUS]]&amp;"-"&amp;inicioTerminales[[#This Row],[MARCA CHASIS]]</f>
        <v>B2-VOLVO</v>
      </c>
    </row>
    <row r="156" spans="1:14">
      <c r="A156" s="27" t="s">
        <v>421</v>
      </c>
      <c r="B156" s="27" t="s">
        <v>452</v>
      </c>
      <c r="C156" s="27">
        <v>6105</v>
      </c>
      <c r="D156" s="27" t="s">
        <v>34</v>
      </c>
      <c r="E156" s="27" t="s">
        <v>13</v>
      </c>
      <c r="F156" s="27" t="s">
        <v>14</v>
      </c>
      <c r="G156" s="27" t="str">
        <f>_xlfn.CONCAT(inicioTerminales[[#This Row],[MARCA CHASIS]]," - ", inicioTerminales[[#This Row],[TIPO BUS]])</f>
        <v>VOLVO - B2</v>
      </c>
      <c r="H156" s="27" t="s">
        <v>423</v>
      </c>
      <c r="I156" s="52">
        <v>44982</v>
      </c>
      <c r="J156" s="27" t="s">
        <v>1341</v>
      </c>
      <c r="K156" s="27" t="s">
        <v>839</v>
      </c>
      <c r="L156" s="27" t="s">
        <v>1367</v>
      </c>
      <c r="M156" s="27" t="s">
        <v>423</v>
      </c>
      <c r="N156" s="27" t="str">
        <f>inicioTerminales[[#This Row],[TIPO BUS]]&amp;"-"&amp;inicioTerminales[[#This Row],[MARCA CHASIS]]</f>
        <v>B2-VOLVO</v>
      </c>
    </row>
    <row r="157" spans="1:14">
      <c r="A157" s="27" t="s">
        <v>421</v>
      </c>
      <c r="B157" s="27" t="s">
        <v>453</v>
      </c>
      <c r="C157" s="27">
        <v>6106</v>
      </c>
      <c r="D157" s="27" t="s">
        <v>34</v>
      </c>
      <c r="E157" s="27" t="s">
        <v>13</v>
      </c>
      <c r="F157" s="27" t="s">
        <v>14</v>
      </c>
      <c r="G157" s="27" t="str">
        <f>_xlfn.CONCAT(inicioTerminales[[#This Row],[MARCA CHASIS]]," - ", inicioTerminales[[#This Row],[TIPO BUS]])</f>
        <v>VOLVO - B2</v>
      </c>
      <c r="H157" s="27" t="s">
        <v>423</v>
      </c>
      <c r="I157" s="52">
        <v>44982</v>
      </c>
      <c r="J157" s="27" t="s">
        <v>1341</v>
      </c>
      <c r="K157" s="27" t="s">
        <v>839</v>
      </c>
      <c r="L157" s="27" t="s">
        <v>1367</v>
      </c>
      <c r="M157" s="27" t="s">
        <v>423</v>
      </c>
      <c r="N157" s="27" t="str">
        <f>inicioTerminales[[#This Row],[TIPO BUS]]&amp;"-"&amp;inicioTerminales[[#This Row],[MARCA CHASIS]]</f>
        <v>B2-VOLVO</v>
      </c>
    </row>
    <row r="158" spans="1:14">
      <c r="A158" s="27" t="s">
        <v>421</v>
      </c>
      <c r="B158" s="27" t="s">
        <v>454</v>
      </c>
      <c r="C158" s="27">
        <v>6108</v>
      </c>
      <c r="D158" s="27" t="s">
        <v>34</v>
      </c>
      <c r="E158" s="27" t="s">
        <v>13</v>
      </c>
      <c r="F158" s="27" t="s">
        <v>14</v>
      </c>
      <c r="G158" s="27" t="str">
        <f>_xlfn.CONCAT(inicioTerminales[[#This Row],[MARCA CHASIS]]," - ", inicioTerminales[[#This Row],[TIPO BUS]])</f>
        <v>VOLVO - B2</v>
      </c>
      <c r="H158" s="27" t="s">
        <v>423</v>
      </c>
      <c r="I158" s="52">
        <v>44982</v>
      </c>
      <c r="J158" s="27" t="s">
        <v>1341</v>
      </c>
      <c r="K158" s="27" t="s">
        <v>839</v>
      </c>
      <c r="L158" s="27" t="s">
        <v>1367</v>
      </c>
      <c r="M158" s="27" t="s">
        <v>423</v>
      </c>
      <c r="N158" s="27" t="str">
        <f>inicioTerminales[[#This Row],[TIPO BUS]]&amp;"-"&amp;inicioTerminales[[#This Row],[MARCA CHASIS]]</f>
        <v>B2-VOLVO</v>
      </c>
    </row>
    <row r="159" spans="1:14">
      <c r="A159" s="27" t="s">
        <v>421</v>
      </c>
      <c r="B159" s="27" t="s">
        <v>557</v>
      </c>
      <c r="C159" s="27">
        <v>6109</v>
      </c>
      <c r="D159" s="27" t="s">
        <v>34</v>
      </c>
      <c r="E159" s="27" t="s">
        <v>13</v>
      </c>
      <c r="F159" s="27" t="s">
        <v>14</v>
      </c>
      <c r="G159" s="27" t="str">
        <f>_xlfn.CONCAT(inicioTerminales[[#This Row],[MARCA CHASIS]]," - ", inicioTerminales[[#This Row],[TIPO BUS]])</f>
        <v>VOLVO - B2</v>
      </c>
      <c r="H159" s="27" t="s">
        <v>423</v>
      </c>
      <c r="I159" s="52">
        <v>44982</v>
      </c>
      <c r="J159" s="27" t="s">
        <v>1341</v>
      </c>
      <c r="K159" s="27" t="s">
        <v>839</v>
      </c>
      <c r="L159" s="27" t="s">
        <v>1367</v>
      </c>
      <c r="M159" s="27" t="s">
        <v>423</v>
      </c>
      <c r="N159" s="27" t="str">
        <f>inicioTerminales[[#This Row],[TIPO BUS]]&amp;"-"&amp;inicioTerminales[[#This Row],[MARCA CHASIS]]</f>
        <v>B2-VOLVO</v>
      </c>
    </row>
    <row r="160" spans="1:14">
      <c r="A160" s="27" t="s">
        <v>421</v>
      </c>
      <c r="B160" s="27" t="s">
        <v>558</v>
      </c>
      <c r="C160" s="27">
        <v>6110</v>
      </c>
      <c r="D160" s="27" t="s">
        <v>34</v>
      </c>
      <c r="E160" s="27" t="s">
        <v>13</v>
      </c>
      <c r="F160" s="27" t="s">
        <v>14</v>
      </c>
      <c r="G160" s="27" t="str">
        <f>_xlfn.CONCAT(inicioTerminales[[#This Row],[MARCA CHASIS]]," - ", inicioTerminales[[#This Row],[TIPO BUS]])</f>
        <v>VOLVO - B2</v>
      </c>
      <c r="H160" s="27" t="s">
        <v>423</v>
      </c>
      <c r="I160" s="52">
        <v>44982</v>
      </c>
      <c r="J160" s="27" t="s">
        <v>1341</v>
      </c>
      <c r="K160" s="27" t="s">
        <v>839</v>
      </c>
      <c r="L160" s="27" t="s">
        <v>1367</v>
      </c>
      <c r="M160" s="27" t="s">
        <v>423</v>
      </c>
      <c r="N160" s="27" t="str">
        <f>inicioTerminales[[#This Row],[TIPO BUS]]&amp;"-"&amp;inicioTerminales[[#This Row],[MARCA CHASIS]]</f>
        <v>B2-VOLVO</v>
      </c>
    </row>
    <row r="161" spans="1:14">
      <c r="A161" s="27" t="s">
        <v>421</v>
      </c>
      <c r="B161" s="27" t="s">
        <v>455</v>
      </c>
      <c r="C161" s="27">
        <v>6111</v>
      </c>
      <c r="D161" s="27" t="s">
        <v>34</v>
      </c>
      <c r="E161" s="27" t="s">
        <v>13</v>
      </c>
      <c r="F161" s="27" t="s">
        <v>14</v>
      </c>
      <c r="G161" s="27" t="str">
        <f>_xlfn.CONCAT(inicioTerminales[[#This Row],[MARCA CHASIS]]," - ", inicioTerminales[[#This Row],[TIPO BUS]])</f>
        <v>VOLVO - B2</v>
      </c>
      <c r="H161" s="27" t="s">
        <v>423</v>
      </c>
      <c r="I161" s="52">
        <v>44982</v>
      </c>
      <c r="J161" s="27" t="s">
        <v>1341</v>
      </c>
      <c r="K161" s="27" t="s">
        <v>839</v>
      </c>
      <c r="L161" s="27" t="s">
        <v>1367</v>
      </c>
      <c r="M161" s="27" t="s">
        <v>423</v>
      </c>
      <c r="N161" s="27" t="str">
        <f>inicioTerminales[[#This Row],[TIPO BUS]]&amp;"-"&amp;inicioTerminales[[#This Row],[MARCA CHASIS]]</f>
        <v>B2-VOLVO</v>
      </c>
    </row>
    <row r="162" spans="1:14">
      <c r="A162" s="27" t="s">
        <v>421</v>
      </c>
      <c r="B162" s="27" t="s">
        <v>456</v>
      </c>
      <c r="C162" s="27">
        <v>6112</v>
      </c>
      <c r="D162" s="27" t="s">
        <v>34</v>
      </c>
      <c r="E162" s="27" t="s">
        <v>13</v>
      </c>
      <c r="F162" s="27" t="s">
        <v>14</v>
      </c>
      <c r="G162" s="27" t="str">
        <f>_xlfn.CONCAT(inicioTerminales[[#This Row],[MARCA CHASIS]]," - ", inicioTerminales[[#This Row],[TIPO BUS]])</f>
        <v>VOLVO - B2</v>
      </c>
      <c r="H162" s="27" t="s">
        <v>423</v>
      </c>
      <c r="I162" s="52">
        <v>44982</v>
      </c>
      <c r="J162" s="27" t="s">
        <v>1341</v>
      </c>
      <c r="K162" s="27" t="s">
        <v>839</v>
      </c>
      <c r="L162" s="27" t="s">
        <v>1367</v>
      </c>
      <c r="M162" s="27" t="s">
        <v>423</v>
      </c>
      <c r="N162" s="27" t="str">
        <f>inicioTerminales[[#This Row],[TIPO BUS]]&amp;"-"&amp;inicioTerminales[[#This Row],[MARCA CHASIS]]</f>
        <v>B2-VOLVO</v>
      </c>
    </row>
    <row r="163" spans="1:14">
      <c r="A163" s="27" t="s">
        <v>421</v>
      </c>
      <c r="B163" s="27" t="s">
        <v>559</v>
      </c>
      <c r="C163" s="27">
        <v>6113</v>
      </c>
      <c r="D163" s="27" t="s">
        <v>34</v>
      </c>
      <c r="E163" s="27" t="s">
        <v>13</v>
      </c>
      <c r="F163" s="27" t="s">
        <v>14</v>
      </c>
      <c r="G163" s="27" t="str">
        <f>_xlfn.CONCAT(inicioTerminales[[#This Row],[MARCA CHASIS]]," - ", inicioTerminales[[#This Row],[TIPO BUS]])</f>
        <v>VOLVO - B2</v>
      </c>
      <c r="H163" s="27" t="s">
        <v>423</v>
      </c>
      <c r="I163" s="52">
        <v>44982</v>
      </c>
      <c r="J163" s="27" t="s">
        <v>1341</v>
      </c>
      <c r="K163" s="27" t="s">
        <v>839</v>
      </c>
      <c r="L163" s="27" t="s">
        <v>1367</v>
      </c>
      <c r="M163" s="27" t="s">
        <v>423</v>
      </c>
      <c r="N163" s="27" t="str">
        <f>inicioTerminales[[#This Row],[TIPO BUS]]&amp;"-"&amp;inicioTerminales[[#This Row],[MARCA CHASIS]]</f>
        <v>B2-VOLVO</v>
      </c>
    </row>
    <row r="164" spans="1:14">
      <c r="A164" s="27" t="s">
        <v>421</v>
      </c>
      <c r="B164" s="27" t="s">
        <v>457</v>
      </c>
      <c r="C164" s="27">
        <v>6114</v>
      </c>
      <c r="D164" s="27" t="s">
        <v>34</v>
      </c>
      <c r="E164" s="27" t="s">
        <v>13</v>
      </c>
      <c r="F164" s="27" t="s">
        <v>14</v>
      </c>
      <c r="G164" s="27" t="str">
        <f>_xlfn.CONCAT(inicioTerminales[[#This Row],[MARCA CHASIS]]," - ", inicioTerminales[[#This Row],[TIPO BUS]])</f>
        <v>VOLVO - B2</v>
      </c>
      <c r="H164" s="27" t="s">
        <v>423</v>
      </c>
      <c r="I164" s="52">
        <v>44982</v>
      </c>
      <c r="J164" s="27" t="s">
        <v>1341</v>
      </c>
      <c r="K164" s="27" t="s">
        <v>839</v>
      </c>
      <c r="L164" s="27" t="s">
        <v>1367</v>
      </c>
      <c r="M164" s="27" t="s">
        <v>423</v>
      </c>
      <c r="N164" s="27" t="str">
        <f>inicioTerminales[[#This Row],[TIPO BUS]]&amp;"-"&amp;inicioTerminales[[#This Row],[MARCA CHASIS]]</f>
        <v>B2-VOLVO</v>
      </c>
    </row>
    <row r="165" spans="1:14">
      <c r="A165" s="27" t="s">
        <v>421</v>
      </c>
      <c r="B165" s="27" t="s">
        <v>458</v>
      </c>
      <c r="C165" s="27">
        <v>6115</v>
      </c>
      <c r="D165" s="27" t="s">
        <v>34</v>
      </c>
      <c r="E165" s="27" t="s">
        <v>13</v>
      </c>
      <c r="F165" s="27" t="s">
        <v>14</v>
      </c>
      <c r="G165" s="27" t="str">
        <f>_xlfn.CONCAT(inicioTerminales[[#This Row],[MARCA CHASIS]]," - ", inicioTerminales[[#This Row],[TIPO BUS]])</f>
        <v>VOLVO - B2</v>
      </c>
      <c r="H165" s="27" t="s">
        <v>423</v>
      </c>
      <c r="I165" s="52">
        <v>44982</v>
      </c>
      <c r="J165" s="27" t="s">
        <v>1341</v>
      </c>
      <c r="K165" s="27" t="s">
        <v>839</v>
      </c>
      <c r="L165" s="27" t="s">
        <v>1367</v>
      </c>
      <c r="M165" s="27" t="s">
        <v>423</v>
      </c>
      <c r="N165" s="27" t="str">
        <f>inicioTerminales[[#This Row],[TIPO BUS]]&amp;"-"&amp;inicioTerminales[[#This Row],[MARCA CHASIS]]</f>
        <v>B2-VOLVO</v>
      </c>
    </row>
    <row r="166" spans="1:14">
      <c r="A166" s="27" t="s">
        <v>421</v>
      </c>
      <c r="B166" s="27" t="s">
        <v>483</v>
      </c>
      <c r="C166" s="27">
        <v>6116</v>
      </c>
      <c r="D166" s="27" t="s">
        <v>34</v>
      </c>
      <c r="E166" s="27" t="s">
        <v>13</v>
      </c>
      <c r="F166" s="27" t="s">
        <v>14</v>
      </c>
      <c r="G166" s="27" t="str">
        <f>_xlfn.CONCAT(inicioTerminales[[#This Row],[MARCA CHASIS]]," - ", inicioTerminales[[#This Row],[TIPO BUS]])</f>
        <v>VOLVO - B2</v>
      </c>
      <c r="H166" s="27" t="s">
        <v>423</v>
      </c>
      <c r="I166" s="52">
        <v>44982</v>
      </c>
      <c r="J166" s="27" t="s">
        <v>1341</v>
      </c>
      <c r="K166" s="27" t="s">
        <v>839</v>
      </c>
      <c r="L166" s="27" t="s">
        <v>1367</v>
      </c>
      <c r="M166" s="27" t="s">
        <v>423</v>
      </c>
      <c r="N166" s="27" t="str">
        <f>inicioTerminales[[#This Row],[TIPO BUS]]&amp;"-"&amp;inicioTerminales[[#This Row],[MARCA CHASIS]]</f>
        <v>B2-VOLVO</v>
      </c>
    </row>
    <row r="167" spans="1:14">
      <c r="A167" s="27" t="s">
        <v>421</v>
      </c>
      <c r="B167" s="27" t="s">
        <v>459</v>
      </c>
      <c r="C167" s="27">
        <v>6119</v>
      </c>
      <c r="D167" s="27" t="s">
        <v>34</v>
      </c>
      <c r="E167" s="27" t="s">
        <v>13</v>
      </c>
      <c r="F167" s="27" t="s">
        <v>14</v>
      </c>
      <c r="G167" s="27" t="str">
        <f>_xlfn.CONCAT(inicioTerminales[[#This Row],[MARCA CHASIS]]," - ", inicioTerminales[[#This Row],[TIPO BUS]])</f>
        <v>VOLVO - B2</v>
      </c>
      <c r="H167" s="27" t="s">
        <v>423</v>
      </c>
      <c r="I167" s="52">
        <v>44982</v>
      </c>
      <c r="J167" s="27" t="s">
        <v>1341</v>
      </c>
      <c r="K167" s="27" t="s">
        <v>839</v>
      </c>
      <c r="L167" s="27" t="s">
        <v>1367</v>
      </c>
      <c r="M167" s="27" t="s">
        <v>423</v>
      </c>
      <c r="N167" s="27" t="str">
        <f>inicioTerminales[[#This Row],[TIPO BUS]]&amp;"-"&amp;inicioTerminales[[#This Row],[MARCA CHASIS]]</f>
        <v>B2-VOLVO</v>
      </c>
    </row>
    <row r="168" spans="1:14">
      <c r="A168" s="27" t="s">
        <v>421</v>
      </c>
      <c r="B168" s="27" t="s">
        <v>460</v>
      </c>
      <c r="C168" s="27">
        <v>6120</v>
      </c>
      <c r="D168" s="27" t="s">
        <v>34</v>
      </c>
      <c r="E168" s="27" t="s">
        <v>13</v>
      </c>
      <c r="F168" s="27" t="s">
        <v>14</v>
      </c>
      <c r="G168" s="27" t="str">
        <f>_xlfn.CONCAT(inicioTerminales[[#This Row],[MARCA CHASIS]]," - ", inicioTerminales[[#This Row],[TIPO BUS]])</f>
        <v>VOLVO - B2</v>
      </c>
      <c r="H168" s="27" t="s">
        <v>423</v>
      </c>
      <c r="I168" s="52">
        <v>44982</v>
      </c>
      <c r="J168" s="27" t="s">
        <v>1341</v>
      </c>
      <c r="K168" s="27" t="s">
        <v>839</v>
      </c>
      <c r="L168" s="27" t="s">
        <v>1367</v>
      </c>
      <c r="M168" s="27" t="s">
        <v>423</v>
      </c>
      <c r="N168" s="27" t="str">
        <f>inicioTerminales[[#This Row],[TIPO BUS]]&amp;"-"&amp;inicioTerminales[[#This Row],[MARCA CHASIS]]</f>
        <v>B2-VOLVO</v>
      </c>
    </row>
    <row r="169" spans="1:14">
      <c r="A169" s="27" t="s">
        <v>421</v>
      </c>
      <c r="B169" s="27" t="s">
        <v>461</v>
      </c>
      <c r="C169" s="27">
        <v>6122</v>
      </c>
      <c r="D169" s="27" t="s">
        <v>34</v>
      </c>
      <c r="E169" s="27" t="s">
        <v>13</v>
      </c>
      <c r="F169" s="27" t="s">
        <v>14</v>
      </c>
      <c r="G169" s="27" t="str">
        <f>_xlfn.CONCAT(inicioTerminales[[#This Row],[MARCA CHASIS]]," - ", inicioTerminales[[#This Row],[TIPO BUS]])</f>
        <v>VOLVO - B2</v>
      </c>
      <c r="H169" s="27" t="s">
        <v>423</v>
      </c>
      <c r="I169" s="52">
        <v>44982</v>
      </c>
      <c r="J169" s="27" t="s">
        <v>1341</v>
      </c>
      <c r="K169" s="27" t="s">
        <v>839</v>
      </c>
      <c r="L169" s="27" t="s">
        <v>1367</v>
      </c>
      <c r="M169" s="27" t="s">
        <v>423</v>
      </c>
      <c r="N169" s="27" t="str">
        <f>inicioTerminales[[#This Row],[TIPO BUS]]&amp;"-"&amp;inicioTerminales[[#This Row],[MARCA CHASIS]]</f>
        <v>B2-VOLVO</v>
      </c>
    </row>
    <row r="170" spans="1:14">
      <c r="A170" s="27" t="s">
        <v>421</v>
      </c>
      <c r="B170" s="27" t="s">
        <v>563</v>
      </c>
      <c r="C170" s="27">
        <v>6123</v>
      </c>
      <c r="D170" s="27" t="s">
        <v>34</v>
      </c>
      <c r="E170" s="27" t="s">
        <v>13</v>
      </c>
      <c r="F170" s="27" t="s">
        <v>14</v>
      </c>
      <c r="G170" s="27" t="str">
        <f>_xlfn.CONCAT(inicioTerminales[[#This Row],[MARCA CHASIS]]," - ", inicioTerminales[[#This Row],[TIPO BUS]])</f>
        <v>VOLVO - B2</v>
      </c>
      <c r="H170" s="27" t="s">
        <v>423</v>
      </c>
      <c r="I170" s="52">
        <v>44982</v>
      </c>
      <c r="J170" s="27" t="s">
        <v>1341</v>
      </c>
      <c r="K170" s="27" t="s">
        <v>839</v>
      </c>
      <c r="L170" s="27" t="s">
        <v>1367</v>
      </c>
      <c r="M170" s="27" t="s">
        <v>423</v>
      </c>
      <c r="N170" s="27" t="str">
        <f>inicioTerminales[[#This Row],[TIPO BUS]]&amp;"-"&amp;inicioTerminales[[#This Row],[MARCA CHASIS]]</f>
        <v>B2-VOLVO</v>
      </c>
    </row>
    <row r="171" spans="1:14">
      <c r="A171" s="27" t="s">
        <v>421</v>
      </c>
      <c r="B171" s="27" t="s">
        <v>462</v>
      </c>
      <c r="C171" s="27">
        <v>6124</v>
      </c>
      <c r="D171" s="27" t="s">
        <v>34</v>
      </c>
      <c r="E171" s="27" t="s">
        <v>13</v>
      </c>
      <c r="F171" s="27" t="s">
        <v>14</v>
      </c>
      <c r="G171" s="27" t="str">
        <f>_xlfn.CONCAT(inicioTerminales[[#This Row],[MARCA CHASIS]]," - ", inicioTerminales[[#This Row],[TIPO BUS]])</f>
        <v>VOLVO - B2</v>
      </c>
      <c r="H171" s="27" t="s">
        <v>423</v>
      </c>
      <c r="I171" s="52">
        <v>44982</v>
      </c>
      <c r="J171" s="27" t="s">
        <v>1341</v>
      </c>
      <c r="K171" s="27" t="s">
        <v>839</v>
      </c>
      <c r="L171" s="27" t="s">
        <v>1367</v>
      </c>
      <c r="M171" s="27" t="s">
        <v>423</v>
      </c>
      <c r="N171" s="27" t="str">
        <f>inicioTerminales[[#This Row],[TIPO BUS]]&amp;"-"&amp;inicioTerminales[[#This Row],[MARCA CHASIS]]</f>
        <v>B2-VOLVO</v>
      </c>
    </row>
    <row r="172" spans="1:14">
      <c r="A172" s="27" t="s">
        <v>421</v>
      </c>
      <c r="B172" s="27" t="s">
        <v>463</v>
      </c>
      <c r="C172" s="27">
        <v>6125</v>
      </c>
      <c r="D172" s="27" t="s">
        <v>34</v>
      </c>
      <c r="E172" s="27" t="s">
        <v>13</v>
      </c>
      <c r="F172" s="27" t="s">
        <v>14</v>
      </c>
      <c r="G172" s="27" t="str">
        <f>_xlfn.CONCAT(inicioTerminales[[#This Row],[MARCA CHASIS]]," - ", inicioTerminales[[#This Row],[TIPO BUS]])</f>
        <v>VOLVO - B2</v>
      </c>
      <c r="H172" s="27" t="s">
        <v>423</v>
      </c>
      <c r="I172" s="52">
        <v>44982</v>
      </c>
      <c r="J172" s="27" t="s">
        <v>1341</v>
      </c>
      <c r="K172" s="27" t="s">
        <v>839</v>
      </c>
      <c r="L172" s="27" t="s">
        <v>1367</v>
      </c>
      <c r="M172" s="27" t="s">
        <v>423</v>
      </c>
      <c r="N172" s="27" t="str">
        <f>inicioTerminales[[#This Row],[TIPO BUS]]&amp;"-"&amp;inicioTerminales[[#This Row],[MARCA CHASIS]]</f>
        <v>B2-VOLVO</v>
      </c>
    </row>
    <row r="173" spans="1:14">
      <c r="A173" s="27" t="s">
        <v>10</v>
      </c>
      <c r="B173" s="27" t="s">
        <v>224</v>
      </c>
      <c r="C173" s="27">
        <v>4000</v>
      </c>
      <c r="D173" s="27" t="s">
        <v>38</v>
      </c>
      <c r="E173" s="27" t="s">
        <v>13</v>
      </c>
      <c r="F173" s="27" t="s">
        <v>145</v>
      </c>
      <c r="G173" s="27" t="str">
        <f>_xlfn.CONCAT(inicioTerminales[[#This Row],[MARCA CHASIS]]," - ", inicioTerminales[[#This Row],[TIPO BUS]])</f>
        <v>MERCEDES BENZ - C2</v>
      </c>
      <c r="H173" s="27" t="s">
        <v>130</v>
      </c>
      <c r="I173" s="52">
        <v>44933</v>
      </c>
      <c r="J173" s="27" t="s">
        <v>830</v>
      </c>
      <c r="K173" s="27" t="s">
        <v>836</v>
      </c>
      <c r="L173" s="27" t="s">
        <v>851</v>
      </c>
      <c r="M173" s="27" t="s">
        <v>130</v>
      </c>
      <c r="N173" s="27" t="str">
        <f>inicioTerminales[[#This Row],[TIPO BUS]]&amp;"-"&amp;inicioTerminales[[#This Row],[MARCA CHASIS]]</f>
        <v>C2-MERCEDES BENZ</v>
      </c>
    </row>
    <row r="174" spans="1:14">
      <c r="A174" s="27" t="s">
        <v>10</v>
      </c>
      <c r="B174" s="27" t="s">
        <v>225</v>
      </c>
      <c r="C174" s="27">
        <v>4001</v>
      </c>
      <c r="D174" s="27" t="s">
        <v>38</v>
      </c>
      <c r="E174" s="27" t="s">
        <v>13</v>
      </c>
      <c r="F174" s="27" t="s">
        <v>145</v>
      </c>
      <c r="G174" s="27" t="str">
        <f>_xlfn.CONCAT(inicioTerminales[[#This Row],[MARCA CHASIS]]," - ", inicioTerminales[[#This Row],[TIPO BUS]])</f>
        <v>MERCEDES BENZ - C2</v>
      </c>
      <c r="H174" s="27" t="s">
        <v>130</v>
      </c>
      <c r="I174" s="52">
        <v>44933</v>
      </c>
      <c r="J174" s="27" t="s">
        <v>830</v>
      </c>
      <c r="K174" s="27" t="s">
        <v>836</v>
      </c>
      <c r="L174" s="27" t="s">
        <v>851</v>
      </c>
      <c r="M174" s="27" t="s">
        <v>130</v>
      </c>
      <c r="N174" s="27" t="str">
        <f>inicioTerminales[[#This Row],[TIPO BUS]]&amp;"-"&amp;inicioTerminales[[#This Row],[MARCA CHASIS]]</f>
        <v>C2-MERCEDES BENZ</v>
      </c>
    </row>
    <row r="175" spans="1:14">
      <c r="A175" s="27" t="s">
        <v>10</v>
      </c>
      <c r="B175" s="27" t="s">
        <v>226</v>
      </c>
      <c r="C175" s="27">
        <v>4002</v>
      </c>
      <c r="D175" s="27" t="s">
        <v>38</v>
      </c>
      <c r="E175" s="27" t="s">
        <v>13</v>
      </c>
      <c r="F175" s="27" t="s">
        <v>145</v>
      </c>
      <c r="G175" s="27" t="str">
        <f>_xlfn.CONCAT(inicioTerminales[[#This Row],[MARCA CHASIS]]," - ", inicioTerminales[[#This Row],[TIPO BUS]])</f>
        <v>MERCEDES BENZ - C2</v>
      </c>
      <c r="H175" s="27" t="s">
        <v>130</v>
      </c>
      <c r="I175" s="52">
        <v>44933</v>
      </c>
      <c r="J175" s="27" t="s">
        <v>830</v>
      </c>
      <c r="K175" s="27" t="s">
        <v>836</v>
      </c>
      <c r="L175" s="27" t="s">
        <v>851</v>
      </c>
      <c r="M175" s="27" t="s">
        <v>130</v>
      </c>
      <c r="N175" s="27" t="str">
        <f>inicioTerminales[[#This Row],[TIPO BUS]]&amp;"-"&amp;inicioTerminales[[#This Row],[MARCA CHASIS]]</f>
        <v>C2-MERCEDES BENZ</v>
      </c>
    </row>
    <row r="176" spans="1:14">
      <c r="A176" s="27" t="s">
        <v>10</v>
      </c>
      <c r="B176" s="27" t="s">
        <v>227</v>
      </c>
      <c r="C176" s="27">
        <v>4003</v>
      </c>
      <c r="D176" s="27" t="s">
        <v>38</v>
      </c>
      <c r="E176" s="27" t="s">
        <v>13</v>
      </c>
      <c r="F176" s="27" t="s">
        <v>145</v>
      </c>
      <c r="G176" s="27" t="str">
        <f>_xlfn.CONCAT(inicioTerminales[[#This Row],[MARCA CHASIS]]," - ", inicioTerminales[[#This Row],[TIPO BUS]])</f>
        <v>MERCEDES BENZ - C2</v>
      </c>
      <c r="H176" s="27" t="s">
        <v>130</v>
      </c>
      <c r="I176" s="52">
        <v>44933</v>
      </c>
      <c r="J176" s="27" t="s">
        <v>830</v>
      </c>
      <c r="K176" s="27" t="s">
        <v>836</v>
      </c>
      <c r="L176" s="27" t="s">
        <v>851</v>
      </c>
      <c r="M176" s="27" t="s">
        <v>130</v>
      </c>
      <c r="N176" s="27" t="str">
        <f>inicioTerminales[[#This Row],[TIPO BUS]]&amp;"-"&amp;inicioTerminales[[#This Row],[MARCA CHASIS]]</f>
        <v>C2-MERCEDES BENZ</v>
      </c>
    </row>
    <row r="177" spans="1:14">
      <c r="A177" s="27" t="s">
        <v>10</v>
      </c>
      <c r="B177" s="27" t="s">
        <v>228</v>
      </c>
      <c r="C177" s="27">
        <v>4004</v>
      </c>
      <c r="D177" s="27" t="s">
        <v>38</v>
      </c>
      <c r="E177" s="27" t="s">
        <v>13</v>
      </c>
      <c r="F177" s="27" t="s">
        <v>145</v>
      </c>
      <c r="G177" s="27" t="str">
        <f>_xlfn.CONCAT(inicioTerminales[[#This Row],[MARCA CHASIS]]," - ", inicioTerminales[[#This Row],[TIPO BUS]])</f>
        <v>MERCEDES BENZ - C2</v>
      </c>
      <c r="H177" s="27" t="s">
        <v>130</v>
      </c>
      <c r="I177" s="52">
        <v>44933</v>
      </c>
      <c r="J177" s="27" t="s">
        <v>830</v>
      </c>
      <c r="K177" s="27" t="s">
        <v>836</v>
      </c>
      <c r="L177" s="27" t="s">
        <v>851</v>
      </c>
      <c r="M177" s="27" t="s">
        <v>130</v>
      </c>
      <c r="N177" s="27" t="str">
        <f>inicioTerminales[[#This Row],[TIPO BUS]]&amp;"-"&amp;inicioTerminales[[#This Row],[MARCA CHASIS]]</f>
        <v>C2-MERCEDES BENZ</v>
      </c>
    </row>
    <row r="178" spans="1:14">
      <c r="A178" s="27" t="s">
        <v>10</v>
      </c>
      <c r="B178" s="27" t="s">
        <v>229</v>
      </c>
      <c r="C178" s="27">
        <v>4005</v>
      </c>
      <c r="D178" s="27" t="s">
        <v>38</v>
      </c>
      <c r="E178" s="27" t="s">
        <v>13</v>
      </c>
      <c r="F178" s="27" t="s">
        <v>145</v>
      </c>
      <c r="G178" s="27" t="str">
        <f>_xlfn.CONCAT(inicioTerminales[[#This Row],[MARCA CHASIS]]," - ", inicioTerminales[[#This Row],[TIPO BUS]])</f>
        <v>MERCEDES BENZ - C2</v>
      </c>
      <c r="H178" s="27" t="s">
        <v>130</v>
      </c>
      <c r="I178" s="52">
        <v>44933</v>
      </c>
      <c r="J178" s="27" t="s">
        <v>830</v>
      </c>
      <c r="K178" s="27" t="s">
        <v>836</v>
      </c>
      <c r="L178" s="27" t="s">
        <v>851</v>
      </c>
      <c r="M178" s="27" t="s">
        <v>130</v>
      </c>
      <c r="N178" s="27" t="str">
        <f>inicioTerminales[[#This Row],[TIPO BUS]]&amp;"-"&amp;inicioTerminales[[#This Row],[MARCA CHASIS]]</f>
        <v>C2-MERCEDES BENZ</v>
      </c>
    </row>
    <row r="179" spans="1:14">
      <c r="A179" s="27" t="s">
        <v>10</v>
      </c>
      <c r="B179" s="27" t="s">
        <v>231</v>
      </c>
      <c r="C179" s="27">
        <v>4007</v>
      </c>
      <c r="D179" s="27" t="s">
        <v>38</v>
      </c>
      <c r="E179" s="27" t="s">
        <v>13</v>
      </c>
      <c r="F179" s="27" t="s">
        <v>145</v>
      </c>
      <c r="G179" s="27" t="str">
        <f>_xlfn.CONCAT(inicioTerminales[[#This Row],[MARCA CHASIS]]," - ", inicioTerminales[[#This Row],[TIPO BUS]])</f>
        <v>MERCEDES BENZ - C2</v>
      </c>
      <c r="H179" s="27" t="s">
        <v>130</v>
      </c>
      <c r="I179" s="52">
        <v>44933</v>
      </c>
      <c r="J179" s="27" t="s">
        <v>830</v>
      </c>
      <c r="K179" s="27" t="s">
        <v>836</v>
      </c>
      <c r="L179" s="27" t="s">
        <v>851</v>
      </c>
      <c r="M179" s="27" t="s">
        <v>130</v>
      </c>
      <c r="N179" s="27" t="str">
        <f>inicioTerminales[[#This Row],[TIPO BUS]]&amp;"-"&amp;inicioTerminales[[#This Row],[MARCA CHASIS]]</f>
        <v>C2-MERCEDES BENZ</v>
      </c>
    </row>
    <row r="180" spans="1:14">
      <c r="A180" s="27" t="s">
        <v>10</v>
      </c>
      <c r="B180" s="27" t="s">
        <v>232</v>
      </c>
      <c r="C180" s="27">
        <v>4008</v>
      </c>
      <c r="D180" s="27" t="s">
        <v>38</v>
      </c>
      <c r="E180" s="27" t="s">
        <v>13</v>
      </c>
      <c r="F180" s="27" t="s">
        <v>145</v>
      </c>
      <c r="G180" s="27" t="str">
        <f>_xlfn.CONCAT(inicioTerminales[[#This Row],[MARCA CHASIS]]," - ", inicioTerminales[[#This Row],[TIPO BUS]])</f>
        <v>MERCEDES BENZ - C2</v>
      </c>
      <c r="H180" s="27" t="s">
        <v>130</v>
      </c>
      <c r="I180" s="52">
        <v>44933</v>
      </c>
      <c r="J180" s="27" t="s">
        <v>830</v>
      </c>
      <c r="K180" s="27" t="s">
        <v>836</v>
      </c>
      <c r="L180" s="27" t="s">
        <v>851</v>
      </c>
      <c r="M180" s="27" t="s">
        <v>130</v>
      </c>
      <c r="N180" s="27" t="str">
        <f>inicioTerminales[[#This Row],[TIPO BUS]]&amp;"-"&amp;inicioTerminales[[#This Row],[MARCA CHASIS]]</f>
        <v>C2-MERCEDES BENZ</v>
      </c>
    </row>
    <row r="181" spans="1:14">
      <c r="A181" s="27" t="s">
        <v>10</v>
      </c>
      <c r="B181" s="27" t="s">
        <v>233</v>
      </c>
      <c r="C181" s="27">
        <v>4009</v>
      </c>
      <c r="D181" s="27" t="s">
        <v>38</v>
      </c>
      <c r="E181" s="27" t="s">
        <v>13</v>
      </c>
      <c r="F181" s="27" t="s">
        <v>145</v>
      </c>
      <c r="G181" s="27" t="str">
        <f>_xlfn.CONCAT(inicioTerminales[[#This Row],[MARCA CHASIS]]," - ", inicioTerminales[[#This Row],[TIPO BUS]])</f>
        <v>MERCEDES BENZ - C2</v>
      </c>
      <c r="H181" s="27" t="s">
        <v>130</v>
      </c>
      <c r="I181" s="52">
        <v>44933</v>
      </c>
      <c r="J181" s="27" t="s">
        <v>830</v>
      </c>
      <c r="K181" s="27" t="s">
        <v>836</v>
      </c>
      <c r="L181" s="27" t="s">
        <v>851</v>
      </c>
      <c r="M181" s="27" t="s">
        <v>130</v>
      </c>
      <c r="N181" s="27" t="str">
        <f>inicioTerminales[[#This Row],[TIPO BUS]]&amp;"-"&amp;inicioTerminales[[#This Row],[MARCA CHASIS]]</f>
        <v>C2-MERCEDES BENZ</v>
      </c>
    </row>
    <row r="182" spans="1:14">
      <c r="A182" s="27" t="s">
        <v>10</v>
      </c>
      <c r="B182" s="27" t="s">
        <v>234</v>
      </c>
      <c r="C182" s="27">
        <v>4010</v>
      </c>
      <c r="D182" s="27" t="s">
        <v>38</v>
      </c>
      <c r="E182" s="27" t="s">
        <v>13</v>
      </c>
      <c r="F182" s="27" t="s">
        <v>145</v>
      </c>
      <c r="G182" s="27" t="str">
        <f>_xlfn.CONCAT(inicioTerminales[[#This Row],[MARCA CHASIS]]," - ", inicioTerminales[[#This Row],[TIPO BUS]])</f>
        <v>MERCEDES BENZ - C2</v>
      </c>
      <c r="H182" s="27" t="s">
        <v>130</v>
      </c>
      <c r="I182" s="52">
        <v>44933</v>
      </c>
      <c r="J182" s="27" t="s">
        <v>830</v>
      </c>
      <c r="K182" s="27" t="s">
        <v>836</v>
      </c>
      <c r="L182" s="27" t="s">
        <v>851</v>
      </c>
      <c r="M182" s="27" t="s">
        <v>130</v>
      </c>
      <c r="N182" s="27" t="str">
        <f>inicioTerminales[[#This Row],[TIPO BUS]]&amp;"-"&amp;inicioTerminales[[#This Row],[MARCA CHASIS]]</f>
        <v>C2-MERCEDES BENZ</v>
      </c>
    </row>
    <row r="183" spans="1:14">
      <c r="A183" s="27" t="s">
        <v>10</v>
      </c>
      <c r="B183" s="27" t="s">
        <v>235</v>
      </c>
      <c r="C183" s="27">
        <v>4011</v>
      </c>
      <c r="D183" s="27" t="s">
        <v>38</v>
      </c>
      <c r="E183" s="27" t="s">
        <v>13</v>
      </c>
      <c r="F183" s="27" t="s">
        <v>145</v>
      </c>
      <c r="G183" s="27" t="str">
        <f>_xlfn.CONCAT(inicioTerminales[[#This Row],[MARCA CHASIS]]," - ", inicioTerminales[[#This Row],[TIPO BUS]])</f>
        <v>MERCEDES BENZ - C2</v>
      </c>
      <c r="H183" s="27" t="s">
        <v>130</v>
      </c>
      <c r="I183" s="52">
        <v>44933</v>
      </c>
      <c r="J183" s="27" t="s">
        <v>830</v>
      </c>
      <c r="K183" s="27" t="s">
        <v>836</v>
      </c>
      <c r="L183" s="27" t="s">
        <v>851</v>
      </c>
      <c r="M183" s="27" t="s">
        <v>130</v>
      </c>
      <c r="N183" s="27" t="str">
        <f>inicioTerminales[[#This Row],[TIPO BUS]]&amp;"-"&amp;inicioTerminales[[#This Row],[MARCA CHASIS]]</f>
        <v>C2-MERCEDES BENZ</v>
      </c>
    </row>
    <row r="184" spans="1:14">
      <c r="A184" s="27" t="s">
        <v>10</v>
      </c>
      <c r="B184" s="27" t="s">
        <v>236</v>
      </c>
      <c r="C184" s="27">
        <v>4012</v>
      </c>
      <c r="D184" s="27" t="s">
        <v>38</v>
      </c>
      <c r="E184" s="27" t="s">
        <v>13</v>
      </c>
      <c r="F184" s="27" t="s">
        <v>145</v>
      </c>
      <c r="G184" s="27" t="str">
        <f>_xlfn.CONCAT(inicioTerminales[[#This Row],[MARCA CHASIS]]," - ", inicioTerminales[[#This Row],[TIPO BUS]])</f>
        <v>MERCEDES BENZ - C2</v>
      </c>
      <c r="H184" s="27" t="s">
        <v>130</v>
      </c>
      <c r="I184" s="52">
        <v>44933</v>
      </c>
      <c r="J184" s="27" t="s">
        <v>830</v>
      </c>
      <c r="K184" s="27" t="s">
        <v>836</v>
      </c>
      <c r="L184" s="27" t="s">
        <v>851</v>
      </c>
      <c r="M184" s="27" t="s">
        <v>130</v>
      </c>
      <c r="N184" s="27" t="str">
        <f>inicioTerminales[[#This Row],[TIPO BUS]]&amp;"-"&amp;inicioTerminales[[#This Row],[MARCA CHASIS]]</f>
        <v>C2-MERCEDES BENZ</v>
      </c>
    </row>
    <row r="185" spans="1:14">
      <c r="A185" s="27" t="s">
        <v>10</v>
      </c>
      <c r="B185" s="27" t="s">
        <v>237</v>
      </c>
      <c r="C185" s="27">
        <v>4013</v>
      </c>
      <c r="D185" s="27" t="s">
        <v>38</v>
      </c>
      <c r="E185" s="27" t="s">
        <v>13</v>
      </c>
      <c r="F185" s="27" t="s">
        <v>145</v>
      </c>
      <c r="G185" s="27" t="str">
        <f>_xlfn.CONCAT(inicioTerminales[[#This Row],[MARCA CHASIS]]," - ", inicioTerminales[[#This Row],[TIPO BUS]])</f>
        <v>MERCEDES BENZ - C2</v>
      </c>
      <c r="H185" s="27" t="s">
        <v>130</v>
      </c>
      <c r="I185" s="52">
        <v>44933</v>
      </c>
      <c r="J185" s="27" t="s">
        <v>830</v>
      </c>
      <c r="K185" s="27" t="s">
        <v>836</v>
      </c>
      <c r="L185" s="27" t="s">
        <v>851</v>
      </c>
      <c r="M185" s="27" t="s">
        <v>130</v>
      </c>
      <c r="N185" s="27" t="str">
        <f>inicioTerminales[[#This Row],[TIPO BUS]]&amp;"-"&amp;inicioTerminales[[#This Row],[MARCA CHASIS]]</f>
        <v>C2-MERCEDES BENZ</v>
      </c>
    </row>
    <row r="186" spans="1:14">
      <c r="A186" s="27" t="s">
        <v>10</v>
      </c>
      <c r="B186" s="27" t="s">
        <v>238</v>
      </c>
      <c r="C186" s="27">
        <v>4014</v>
      </c>
      <c r="D186" s="27" t="s">
        <v>38</v>
      </c>
      <c r="E186" s="27" t="s">
        <v>13</v>
      </c>
      <c r="F186" s="27" t="s">
        <v>145</v>
      </c>
      <c r="G186" s="27" t="str">
        <f>_xlfn.CONCAT(inicioTerminales[[#This Row],[MARCA CHASIS]]," - ", inicioTerminales[[#This Row],[TIPO BUS]])</f>
        <v>MERCEDES BENZ - C2</v>
      </c>
      <c r="H186" s="27" t="s">
        <v>130</v>
      </c>
      <c r="I186" s="52">
        <v>44933</v>
      </c>
      <c r="J186" s="27" t="s">
        <v>830</v>
      </c>
      <c r="K186" s="27" t="s">
        <v>836</v>
      </c>
      <c r="L186" s="27" t="s">
        <v>851</v>
      </c>
      <c r="M186" s="27" t="s">
        <v>130</v>
      </c>
      <c r="N186" s="27" t="str">
        <f>inicioTerminales[[#This Row],[TIPO BUS]]&amp;"-"&amp;inicioTerminales[[#This Row],[MARCA CHASIS]]</f>
        <v>C2-MERCEDES BENZ</v>
      </c>
    </row>
    <row r="187" spans="1:14">
      <c r="A187" s="27" t="s">
        <v>10</v>
      </c>
      <c r="B187" s="27" t="s">
        <v>239</v>
      </c>
      <c r="C187" s="27">
        <v>4015</v>
      </c>
      <c r="D187" s="27" t="s">
        <v>38</v>
      </c>
      <c r="E187" s="27" t="s">
        <v>13</v>
      </c>
      <c r="F187" s="27" t="s">
        <v>145</v>
      </c>
      <c r="G187" s="27" t="str">
        <f>_xlfn.CONCAT(inicioTerminales[[#This Row],[MARCA CHASIS]]," - ", inicioTerminales[[#This Row],[TIPO BUS]])</f>
        <v>MERCEDES BENZ - C2</v>
      </c>
      <c r="H187" s="27" t="s">
        <v>130</v>
      </c>
      <c r="I187" s="52">
        <v>44933</v>
      </c>
      <c r="J187" s="27" t="s">
        <v>830</v>
      </c>
      <c r="K187" s="27" t="s">
        <v>836</v>
      </c>
      <c r="L187" s="27" t="s">
        <v>851</v>
      </c>
      <c r="M187" s="27" t="s">
        <v>130</v>
      </c>
      <c r="N187" s="27" t="str">
        <f>inicioTerminales[[#This Row],[TIPO BUS]]&amp;"-"&amp;inicioTerminales[[#This Row],[MARCA CHASIS]]</f>
        <v>C2-MERCEDES BENZ</v>
      </c>
    </row>
    <row r="188" spans="1:14">
      <c r="A188" s="27" t="s">
        <v>10</v>
      </c>
      <c r="B188" s="27" t="s">
        <v>240</v>
      </c>
      <c r="C188" s="27">
        <v>4016</v>
      </c>
      <c r="D188" s="27" t="s">
        <v>38</v>
      </c>
      <c r="E188" s="27" t="s">
        <v>13</v>
      </c>
      <c r="F188" s="27" t="s">
        <v>145</v>
      </c>
      <c r="G188" s="27" t="str">
        <f>_xlfn.CONCAT(inicioTerminales[[#This Row],[MARCA CHASIS]]," - ", inicioTerminales[[#This Row],[TIPO BUS]])</f>
        <v>MERCEDES BENZ - C2</v>
      </c>
      <c r="H188" s="27" t="s">
        <v>130</v>
      </c>
      <c r="I188" s="52">
        <v>44933</v>
      </c>
      <c r="J188" s="27" t="s">
        <v>830</v>
      </c>
      <c r="K188" s="27" t="s">
        <v>836</v>
      </c>
      <c r="L188" s="27" t="s">
        <v>851</v>
      </c>
      <c r="M188" s="27" t="s">
        <v>130</v>
      </c>
      <c r="N188" s="27" t="str">
        <f>inicioTerminales[[#This Row],[TIPO BUS]]&amp;"-"&amp;inicioTerminales[[#This Row],[MARCA CHASIS]]</f>
        <v>C2-MERCEDES BENZ</v>
      </c>
    </row>
    <row r="189" spans="1:14">
      <c r="A189" s="27" t="s">
        <v>10</v>
      </c>
      <c r="B189" s="27" t="s">
        <v>241</v>
      </c>
      <c r="C189" s="27">
        <v>4018</v>
      </c>
      <c r="D189" s="27" t="s">
        <v>38</v>
      </c>
      <c r="E189" s="27" t="s">
        <v>13</v>
      </c>
      <c r="F189" s="27" t="s">
        <v>145</v>
      </c>
      <c r="G189" s="27" t="str">
        <f>_xlfn.CONCAT(inicioTerminales[[#This Row],[MARCA CHASIS]]," - ", inicioTerminales[[#This Row],[TIPO BUS]])</f>
        <v>MERCEDES BENZ - C2</v>
      </c>
      <c r="H189" s="27" t="s">
        <v>130</v>
      </c>
      <c r="I189" s="52">
        <v>44933</v>
      </c>
      <c r="J189" s="27" t="s">
        <v>830</v>
      </c>
      <c r="K189" s="27" t="s">
        <v>836</v>
      </c>
      <c r="L189" s="27" t="s">
        <v>851</v>
      </c>
      <c r="M189" s="27" t="s">
        <v>130</v>
      </c>
      <c r="N189" s="27" t="str">
        <f>inicioTerminales[[#This Row],[TIPO BUS]]&amp;"-"&amp;inicioTerminales[[#This Row],[MARCA CHASIS]]</f>
        <v>C2-MERCEDES BENZ</v>
      </c>
    </row>
    <row r="190" spans="1:14">
      <c r="A190" s="27" t="s">
        <v>10</v>
      </c>
      <c r="B190" s="27" t="s">
        <v>242</v>
      </c>
      <c r="C190" s="27">
        <v>4019</v>
      </c>
      <c r="D190" s="27" t="s">
        <v>38</v>
      </c>
      <c r="E190" s="27" t="s">
        <v>13</v>
      </c>
      <c r="F190" s="27" t="s">
        <v>145</v>
      </c>
      <c r="G190" s="27" t="str">
        <f>_xlfn.CONCAT(inicioTerminales[[#This Row],[MARCA CHASIS]]," - ", inicioTerminales[[#This Row],[TIPO BUS]])</f>
        <v>MERCEDES BENZ - C2</v>
      </c>
      <c r="H190" s="27" t="s">
        <v>130</v>
      </c>
      <c r="I190" s="52">
        <v>44933</v>
      </c>
      <c r="J190" s="27" t="s">
        <v>830</v>
      </c>
      <c r="K190" s="27" t="s">
        <v>836</v>
      </c>
      <c r="L190" s="27" t="s">
        <v>851</v>
      </c>
      <c r="M190" s="27" t="s">
        <v>130</v>
      </c>
      <c r="N190" s="27" t="str">
        <f>inicioTerminales[[#This Row],[TIPO BUS]]&amp;"-"&amp;inicioTerminales[[#This Row],[MARCA CHASIS]]</f>
        <v>C2-MERCEDES BENZ</v>
      </c>
    </row>
    <row r="191" spans="1:14">
      <c r="A191" s="27" t="s">
        <v>10</v>
      </c>
      <c r="B191" s="27" t="s">
        <v>243</v>
      </c>
      <c r="C191" s="27">
        <v>4020</v>
      </c>
      <c r="D191" s="27" t="s">
        <v>38</v>
      </c>
      <c r="E191" s="27" t="s">
        <v>13</v>
      </c>
      <c r="F191" s="27" t="s">
        <v>145</v>
      </c>
      <c r="G191" s="27" t="str">
        <f>_xlfn.CONCAT(inicioTerminales[[#This Row],[MARCA CHASIS]]," - ", inicioTerminales[[#This Row],[TIPO BUS]])</f>
        <v>MERCEDES BENZ - C2</v>
      </c>
      <c r="H191" s="27" t="s">
        <v>130</v>
      </c>
      <c r="I191" s="52">
        <v>44933</v>
      </c>
      <c r="J191" s="27" t="s">
        <v>830</v>
      </c>
      <c r="K191" s="27" t="s">
        <v>836</v>
      </c>
      <c r="L191" s="27" t="s">
        <v>851</v>
      </c>
      <c r="M191" s="27" t="s">
        <v>130</v>
      </c>
      <c r="N191" s="27" t="str">
        <f>inicioTerminales[[#This Row],[TIPO BUS]]&amp;"-"&amp;inicioTerminales[[#This Row],[MARCA CHASIS]]</f>
        <v>C2-MERCEDES BENZ</v>
      </c>
    </row>
    <row r="192" spans="1:14">
      <c r="A192" s="27" t="s">
        <v>10</v>
      </c>
      <c r="B192" s="27" t="s">
        <v>244</v>
      </c>
      <c r="C192" s="27">
        <v>4021</v>
      </c>
      <c r="D192" s="27" t="s">
        <v>38</v>
      </c>
      <c r="E192" s="27" t="s">
        <v>13</v>
      </c>
      <c r="F192" s="27" t="s">
        <v>145</v>
      </c>
      <c r="G192" s="27" t="str">
        <f>_xlfn.CONCAT(inicioTerminales[[#This Row],[MARCA CHASIS]]," - ", inicioTerminales[[#This Row],[TIPO BUS]])</f>
        <v>MERCEDES BENZ - C2</v>
      </c>
      <c r="H192" s="27" t="s">
        <v>130</v>
      </c>
      <c r="I192" s="52">
        <v>44933</v>
      </c>
      <c r="J192" s="27" t="s">
        <v>830</v>
      </c>
      <c r="K192" s="27" t="s">
        <v>836</v>
      </c>
      <c r="L192" s="27" t="s">
        <v>851</v>
      </c>
      <c r="M192" s="27" t="s">
        <v>130</v>
      </c>
      <c r="N192" s="27" t="str">
        <f>inicioTerminales[[#This Row],[TIPO BUS]]&amp;"-"&amp;inicioTerminales[[#This Row],[MARCA CHASIS]]</f>
        <v>C2-MERCEDES BENZ</v>
      </c>
    </row>
    <row r="193" spans="1:14">
      <c r="A193" s="27" t="s">
        <v>10</v>
      </c>
      <c r="B193" s="27" t="s">
        <v>245</v>
      </c>
      <c r="C193" s="27">
        <v>4022</v>
      </c>
      <c r="D193" s="27" t="s">
        <v>38</v>
      </c>
      <c r="E193" s="27" t="s">
        <v>13</v>
      </c>
      <c r="F193" s="27" t="s">
        <v>145</v>
      </c>
      <c r="G193" s="27" t="str">
        <f>_xlfn.CONCAT(inicioTerminales[[#This Row],[MARCA CHASIS]]," - ", inicioTerminales[[#This Row],[TIPO BUS]])</f>
        <v>MERCEDES BENZ - C2</v>
      </c>
      <c r="H193" s="27" t="s">
        <v>130</v>
      </c>
      <c r="I193" s="52">
        <v>44933</v>
      </c>
      <c r="J193" s="27" t="s">
        <v>830</v>
      </c>
      <c r="K193" s="27" t="s">
        <v>836</v>
      </c>
      <c r="L193" s="27" t="s">
        <v>851</v>
      </c>
      <c r="M193" s="27" t="s">
        <v>130</v>
      </c>
      <c r="N193" s="27" t="str">
        <f>inicioTerminales[[#This Row],[TIPO BUS]]&amp;"-"&amp;inicioTerminales[[#This Row],[MARCA CHASIS]]</f>
        <v>C2-MERCEDES BENZ</v>
      </c>
    </row>
    <row r="194" spans="1:14">
      <c r="A194" s="27" t="s">
        <v>10</v>
      </c>
      <c r="B194" s="27" t="s">
        <v>246</v>
      </c>
      <c r="C194" s="27">
        <v>4023</v>
      </c>
      <c r="D194" s="27" t="s">
        <v>38</v>
      </c>
      <c r="E194" s="27" t="s">
        <v>25</v>
      </c>
      <c r="F194" s="27" t="s">
        <v>145</v>
      </c>
      <c r="G194" s="27" t="str">
        <f>_xlfn.CONCAT(inicioTerminales[[#This Row],[MARCA CHASIS]]," - ", inicioTerminales[[#This Row],[TIPO BUS]])</f>
        <v>MERCEDES BENZ - C2</v>
      </c>
      <c r="H194" s="27" t="s">
        <v>130</v>
      </c>
      <c r="I194" s="52">
        <v>44933</v>
      </c>
      <c r="J194" s="27" t="s">
        <v>830</v>
      </c>
      <c r="K194" s="27" t="s">
        <v>836</v>
      </c>
      <c r="L194" s="27" t="s">
        <v>851</v>
      </c>
      <c r="M194" s="27" t="s">
        <v>130</v>
      </c>
      <c r="N194" s="27" t="str">
        <f>inicioTerminales[[#This Row],[TIPO BUS]]&amp;"-"&amp;inicioTerminales[[#This Row],[MARCA CHASIS]]</f>
        <v>C2-MERCEDES BENZ</v>
      </c>
    </row>
    <row r="195" spans="1:14">
      <c r="A195" s="27" t="s">
        <v>10</v>
      </c>
      <c r="B195" s="27" t="s">
        <v>247</v>
      </c>
      <c r="C195" s="27">
        <v>4024</v>
      </c>
      <c r="D195" s="27" t="s">
        <v>38</v>
      </c>
      <c r="E195" s="27" t="s">
        <v>25</v>
      </c>
      <c r="F195" s="27" t="s">
        <v>145</v>
      </c>
      <c r="G195" s="27" t="str">
        <f>_xlfn.CONCAT(inicioTerminales[[#This Row],[MARCA CHASIS]]," - ", inicioTerminales[[#This Row],[TIPO BUS]])</f>
        <v>MERCEDES BENZ - C2</v>
      </c>
      <c r="H195" s="27" t="s">
        <v>130</v>
      </c>
      <c r="I195" s="52">
        <v>44933</v>
      </c>
      <c r="J195" s="27" t="s">
        <v>830</v>
      </c>
      <c r="K195" s="27" t="s">
        <v>836</v>
      </c>
      <c r="L195" s="27" t="s">
        <v>851</v>
      </c>
      <c r="M195" s="27" t="s">
        <v>130</v>
      </c>
      <c r="N195" s="27" t="str">
        <f>inicioTerminales[[#This Row],[TIPO BUS]]&amp;"-"&amp;inicioTerminales[[#This Row],[MARCA CHASIS]]</f>
        <v>C2-MERCEDES BENZ</v>
      </c>
    </row>
    <row r="196" spans="1:14">
      <c r="A196" s="27" t="s">
        <v>421</v>
      </c>
      <c r="B196" s="27" t="s">
        <v>564</v>
      </c>
      <c r="C196" s="27">
        <v>6126</v>
      </c>
      <c r="D196" s="27" t="s">
        <v>34</v>
      </c>
      <c r="E196" s="27" t="s">
        <v>13</v>
      </c>
      <c r="F196" s="27" t="s">
        <v>14</v>
      </c>
      <c r="G196" s="27" t="str">
        <f>_xlfn.CONCAT(inicioTerminales[[#This Row],[MARCA CHASIS]]," - ", inicioTerminales[[#This Row],[TIPO BUS]])</f>
        <v>VOLVO - B2</v>
      </c>
      <c r="H196" s="27" t="s">
        <v>423</v>
      </c>
      <c r="I196" s="52">
        <v>44982</v>
      </c>
      <c r="J196" s="27" t="s">
        <v>1341</v>
      </c>
      <c r="K196" s="27" t="s">
        <v>839</v>
      </c>
      <c r="L196" s="27" t="s">
        <v>1367</v>
      </c>
      <c r="M196" s="27" t="s">
        <v>423</v>
      </c>
      <c r="N196" s="27" t="str">
        <f>inicioTerminales[[#This Row],[TIPO BUS]]&amp;"-"&amp;inicioTerminales[[#This Row],[MARCA CHASIS]]</f>
        <v>B2-VOLVO</v>
      </c>
    </row>
    <row r="197" spans="1:14">
      <c r="A197" s="27" t="s">
        <v>421</v>
      </c>
      <c r="B197" s="27" t="s">
        <v>464</v>
      </c>
      <c r="C197" s="27">
        <v>6127</v>
      </c>
      <c r="D197" s="27" t="s">
        <v>34</v>
      </c>
      <c r="E197" s="27" t="s">
        <v>13</v>
      </c>
      <c r="F197" s="27" t="s">
        <v>14</v>
      </c>
      <c r="G197" s="27" t="str">
        <f>_xlfn.CONCAT(inicioTerminales[[#This Row],[MARCA CHASIS]]," - ", inicioTerminales[[#This Row],[TIPO BUS]])</f>
        <v>VOLVO - B2</v>
      </c>
      <c r="H197" s="27" t="s">
        <v>423</v>
      </c>
      <c r="I197" s="52">
        <v>44982</v>
      </c>
      <c r="J197" s="27" t="s">
        <v>1341</v>
      </c>
      <c r="K197" s="27" t="s">
        <v>839</v>
      </c>
      <c r="L197" s="27" t="s">
        <v>1367</v>
      </c>
      <c r="M197" s="27" t="s">
        <v>423</v>
      </c>
      <c r="N197" s="27" t="str">
        <f>inicioTerminales[[#This Row],[TIPO BUS]]&amp;"-"&amp;inicioTerminales[[#This Row],[MARCA CHASIS]]</f>
        <v>B2-VOLVO</v>
      </c>
    </row>
    <row r="198" spans="1:14">
      <c r="A198" s="27" t="s">
        <v>421</v>
      </c>
      <c r="B198" s="27" t="s">
        <v>465</v>
      </c>
      <c r="C198" s="27">
        <v>6128</v>
      </c>
      <c r="D198" s="27" t="s">
        <v>34</v>
      </c>
      <c r="E198" s="27" t="s">
        <v>13</v>
      </c>
      <c r="F198" s="27" t="s">
        <v>14</v>
      </c>
      <c r="G198" s="27" t="str">
        <f>_xlfn.CONCAT(inicioTerminales[[#This Row],[MARCA CHASIS]]," - ", inicioTerminales[[#This Row],[TIPO BUS]])</f>
        <v>VOLVO - B2</v>
      </c>
      <c r="H198" s="27" t="s">
        <v>423</v>
      </c>
      <c r="I198" s="52">
        <v>44982</v>
      </c>
      <c r="J198" s="27" t="s">
        <v>1341</v>
      </c>
      <c r="K198" s="27" t="s">
        <v>839</v>
      </c>
      <c r="L198" s="27" t="s">
        <v>1367</v>
      </c>
      <c r="M198" s="27" t="s">
        <v>423</v>
      </c>
      <c r="N198" s="27" t="str">
        <f>inicioTerminales[[#This Row],[TIPO BUS]]&amp;"-"&amp;inicioTerminales[[#This Row],[MARCA CHASIS]]</f>
        <v>B2-VOLVO</v>
      </c>
    </row>
    <row r="199" spans="1:14">
      <c r="A199" s="27" t="s">
        <v>421</v>
      </c>
      <c r="B199" s="27" t="s">
        <v>466</v>
      </c>
      <c r="C199" s="27">
        <v>6129</v>
      </c>
      <c r="D199" s="27" t="s">
        <v>34</v>
      </c>
      <c r="E199" s="27" t="s">
        <v>13</v>
      </c>
      <c r="F199" s="27" t="s">
        <v>14</v>
      </c>
      <c r="G199" s="27" t="str">
        <f>_xlfn.CONCAT(inicioTerminales[[#This Row],[MARCA CHASIS]]," - ", inicioTerminales[[#This Row],[TIPO BUS]])</f>
        <v>VOLVO - B2</v>
      </c>
      <c r="H199" s="27" t="s">
        <v>423</v>
      </c>
      <c r="I199" s="52">
        <v>44982</v>
      </c>
      <c r="J199" s="27" t="s">
        <v>1341</v>
      </c>
      <c r="K199" s="27" t="s">
        <v>839</v>
      </c>
      <c r="L199" s="27" t="s">
        <v>1367</v>
      </c>
      <c r="M199" s="27" t="s">
        <v>423</v>
      </c>
      <c r="N199" s="27" t="str">
        <f>inicioTerminales[[#This Row],[TIPO BUS]]&amp;"-"&amp;inicioTerminales[[#This Row],[MARCA CHASIS]]</f>
        <v>B2-VOLVO</v>
      </c>
    </row>
    <row r="200" spans="1:14">
      <c r="A200" s="27" t="s">
        <v>421</v>
      </c>
      <c r="B200" s="27" t="s">
        <v>467</v>
      </c>
      <c r="C200" s="27">
        <v>6130</v>
      </c>
      <c r="D200" s="27" t="s">
        <v>34</v>
      </c>
      <c r="E200" s="27" t="s">
        <v>13</v>
      </c>
      <c r="F200" s="27" t="s">
        <v>14</v>
      </c>
      <c r="G200" s="27" t="str">
        <f>_xlfn.CONCAT(inicioTerminales[[#This Row],[MARCA CHASIS]]," - ", inicioTerminales[[#This Row],[TIPO BUS]])</f>
        <v>VOLVO - B2</v>
      </c>
      <c r="H200" s="27" t="s">
        <v>423</v>
      </c>
      <c r="I200" s="52">
        <v>44982</v>
      </c>
      <c r="J200" s="27" t="s">
        <v>1341</v>
      </c>
      <c r="K200" s="27" t="s">
        <v>839</v>
      </c>
      <c r="L200" s="27" t="s">
        <v>1367</v>
      </c>
      <c r="M200" s="27" t="s">
        <v>423</v>
      </c>
      <c r="N200" s="27" t="str">
        <f>inicioTerminales[[#This Row],[TIPO BUS]]&amp;"-"&amp;inicioTerminales[[#This Row],[MARCA CHASIS]]</f>
        <v>B2-VOLVO</v>
      </c>
    </row>
    <row r="201" spans="1:14">
      <c r="A201" s="27" t="s">
        <v>10</v>
      </c>
      <c r="B201" s="27" t="s">
        <v>388</v>
      </c>
      <c r="C201" s="27">
        <v>2080</v>
      </c>
      <c r="D201" s="27" t="s">
        <v>34</v>
      </c>
      <c r="E201" s="27" t="s">
        <v>13</v>
      </c>
      <c r="F201" s="27" t="s">
        <v>145</v>
      </c>
      <c r="G201" s="27" t="str">
        <f>_xlfn.CONCAT(inicioTerminales[[#This Row],[MARCA CHASIS]]," - ", inicioTerminales[[#This Row],[TIPO BUS]])</f>
        <v>MERCEDES BENZ - B2</v>
      </c>
      <c r="H201" s="27" t="s">
        <v>1368</v>
      </c>
      <c r="I201" s="52">
        <v>44933</v>
      </c>
      <c r="J201" s="27" t="s">
        <v>830</v>
      </c>
      <c r="K201" s="27" t="s">
        <v>837</v>
      </c>
      <c r="L201" s="27" t="s">
        <v>850</v>
      </c>
      <c r="M201" s="27" t="s">
        <v>130</v>
      </c>
      <c r="N201" s="27" t="str">
        <f>inicioTerminales[[#This Row],[TIPO BUS]]&amp;"-"&amp;inicioTerminales[[#This Row],[MARCA CHASIS]]</f>
        <v>B2-MERCEDES BENZ</v>
      </c>
    </row>
    <row r="202" spans="1:14">
      <c r="A202" s="27" t="s">
        <v>10</v>
      </c>
      <c r="B202" s="27" t="s">
        <v>389</v>
      </c>
      <c r="C202" s="27">
        <v>2081</v>
      </c>
      <c r="D202" s="27" t="s">
        <v>34</v>
      </c>
      <c r="E202" s="27" t="s">
        <v>13</v>
      </c>
      <c r="F202" s="27" t="s">
        <v>145</v>
      </c>
      <c r="G202" s="27" t="str">
        <f>_xlfn.CONCAT(inicioTerminales[[#This Row],[MARCA CHASIS]]," - ", inicioTerminales[[#This Row],[TIPO BUS]])</f>
        <v>MERCEDES BENZ - B2</v>
      </c>
      <c r="H202" s="27" t="s">
        <v>1368</v>
      </c>
      <c r="I202" s="52">
        <v>44933</v>
      </c>
      <c r="J202" s="27" t="s">
        <v>830</v>
      </c>
      <c r="K202" s="27" t="s">
        <v>837</v>
      </c>
      <c r="L202" s="27" t="s">
        <v>850</v>
      </c>
      <c r="M202" s="27" t="s">
        <v>130</v>
      </c>
      <c r="N202" s="27" t="str">
        <f>inicioTerminales[[#This Row],[TIPO BUS]]&amp;"-"&amp;inicioTerminales[[#This Row],[MARCA CHASIS]]</f>
        <v>B2-MERCEDES BENZ</v>
      </c>
    </row>
    <row r="203" spans="1:14">
      <c r="A203" s="27" t="s">
        <v>10</v>
      </c>
      <c r="B203" s="27" t="s">
        <v>390</v>
      </c>
      <c r="C203" s="27">
        <v>2082</v>
      </c>
      <c r="D203" s="27" t="s">
        <v>34</v>
      </c>
      <c r="E203" s="27" t="s">
        <v>13</v>
      </c>
      <c r="F203" s="27" t="s">
        <v>145</v>
      </c>
      <c r="G203" s="27" t="str">
        <f>_xlfn.CONCAT(inicioTerminales[[#This Row],[MARCA CHASIS]]," - ", inicioTerminales[[#This Row],[TIPO BUS]])</f>
        <v>MERCEDES BENZ - B2</v>
      </c>
      <c r="H203" s="27" t="s">
        <v>1368</v>
      </c>
      <c r="I203" s="52">
        <v>44933</v>
      </c>
      <c r="J203" s="27" t="s">
        <v>830</v>
      </c>
      <c r="K203" s="27" t="s">
        <v>837</v>
      </c>
      <c r="L203" s="27" t="s">
        <v>850</v>
      </c>
      <c r="M203" s="27" t="s">
        <v>130</v>
      </c>
      <c r="N203" s="27" t="str">
        <f>inicioTerminales[[#This Row],[TIPO BUS]]&amp;"-"&amp;inicioTerminales[[#This Row],[MARCA CHASIS]]</f>
        <v>B2-MERCEDES BENZ</v>
      </c>
    </row>
    <row r="204" spans="1:14">
      <c r="A204" s="27" t="s">
        <v>10</v>
      </c>
      <c r="B204" s="27" t="s">
        <v>391</v>
      </c>
      <c r="C204" s="27">
        <v>2083</v>
      </c>
      <c r="D204" s="27" t="s">
        <v>34</v>
      </c>
      <c r="E204" s="27" t="s">
        <v>13</v>
      </c>
      <c r="F204" s="27" t="s">
        <v>145</v>
      </c>
      <c r="G204" s="27" t="str">
        <f>_xlfn.CONCAT(inicioTerminales[[#This Row],[MARCA CHASIS]]," - ", inicioTerminales[[#This Row],[TIPO BUS]])</f>
        <v>MERCEDES BENZ - B2</v>
      </c>
      <c r="H204" s="27" t="s">
        <v>1368</v>
      </c>
      <c r="I204" s="52">
        <v>44933</v>
      </c>
      <c r="J204" s="27" t="s">
        <v>830</v>
      </c>
      <c r="K204" s="27" t="s">
        <v>837</v>
      </c>
      <c r="L204" s="27" t="s">
        <v>850</v>
      </c>
      <c r="M204" s="27" t="s">
        <v>130</v>
      </c>
      <c r="N204" s="27" t="str">
        <f>inicioTerminales[[#This Row],[TIPO BUS]]&amp;"-"&amp;inicioTerminales[[#This Row],[MARCA CHASIS]]</f>
        <v>B2-MERCEDES BENZ</v>
      </c>
    </row>
    <row r="205" spans="1:14">
      <c r="A205" s="27" t="s">
        <v>10</v>
      </c>
      <c r="B205" s="27" t="s">
        <v>144</v>
      </c>
      <c r="C205" s="27">
        <v>2084</v>
      </c>
      <c r="D205" s="27" t="s">
        <v>34</v>
      </c>
      <c r="E205" s="27" t="s">
        <v>13</v>
      </c>
      <c r="F205" s="27" t="s">
        <v>145</v>
      </c>
      <c r="G205" s="27" t="str">
        <f>_xlfn.CONCAT(inicioTerminales[[#This Row],[MARCA CHASIS]]," - ", inicioTerminales[[#This Row],[TIPO BUS]])</f>
        <v>MERCEDES BENZ - B2</v>
      </c>
      <c r="H205" s="27" t="s">
        <v>1368</v>
      </c>
      <c r="I205" s="52">
        <v>44933</v>
      </c>
      <c r="J205" s="27" t="s">
        <v>830</v>
      </c>
      <c r="K205" s="27" t="s">
        <v>837</v>
      </c>
      <c r="L205" s="27" t="s">
        <v>850</v>
      </c>
      <c r="M205" s="27" t="s">
        <v>130</v>
      </c>
      <c r="N205" s="27" t="str">
        <f>inicioTerminales[[#This Row],[TIPO BUS]]&amp;"-"&amp;inicioTerminales[[#This Row],[MARCA CHASIS]]</f>
        <v>B2-MERCEDES BENZ</v>
      </c>
    </row>
    <row r="206" spans="1:14">
      <c r="A206" s="27" t="s">
        <v>10</v>
      </c>
      <c r="B206" s="27" t="s">
        <v>146</v>
      </c>
      <c r="C206" s="27">
        <v>2085</v>
      </c>
      <c r="D206" s="27" t="s">
        <v>34</v>
      </c>
      <c r="E206" s="27" t="s">
        <v>13</v>
      </c>
      <c r="F206" s="27" t="s">
        <v>145</v>
      </c>
      <c r="G206" s="27" t="str">
        <f>_xlfn.CONCAT(inicioTerminales[[#This Row],[MARCA CHASIS]]," - ", inicioTerminales[[#This Row],[TIPO BUS]])</f>
        <v>MERCEDES BENZ - B2</v>
      </c>
      <c r="H206" s="27" t="s">
        <v>1368</v>
      </c>
      <c r="I206" s="52">
        <v>44933</v>
      </c>
      <c r="J206" s="27" t="s">
        <v>830</v>
      </c>
      <c r="K206" s="27" t="s">
        <v>837</v>
      </c>
      <c r="L206" s="27" t="s">
        <v>850</v>
      </c>
      <c r="M206" s="27" t="s">
        <v>130</v>
      </c>
      <c r="N206" s="27" t="str">
        <f>inicioTerminales[[#This Row],[TIPO BUS]]&amp;"-"&amp;inicioTerminales[[#This Row],[MARCA CHASIS]]</f>
        <v>B2-MERCEDES BENZ</v>
      </c>
    </row>
    <row r="207" spans="1:14">
      <c r="A207" s="27" t="s">
        <v>10</v>
      </c>
      <c r="B207" s="27" t="s">
        <v>392</v>
      </c>
      <c r="C207" s="27">
        <v>2086</v>
      </c>
      <c r="D207" s="27" t="s">
        <v>34</v>
      </c>
      <c r="E207" s="27" t="s">
        <v>25</v>
      </c>
      <c r="F207" s="27" t="s">
        <v>145</v>
      </c>
      <c r="G207" s="27" t="str">
        <f>_xlfn.CONCAT(inicioTerminales[[#This Row],[MARCA CHASIS]]," - ", inicioTerminales[[#This Row],[TIPO BUS]])</f>
        <v>MERCEDES BENZ - B2</v>
      </c>
      <c r="H207" s="27" t="s">
        <v>1368</v>
      </c>
      <c r="I207" s="52">
        <v>44933</v>
      </c>
      <c r="J207" s="27" t="s">
        <v>830</v>
      </c>
      <c r="K207" s="27" t="s">
        <v>837</v>
      </c>
      <c r="L207" s="27" t="s">
        <v>850</v>
      </c>
      <c r="M207" s="27" t="s">
        <v>130</v>
      </c>
      <c r="N207" s="27" t="str">
        <f>inicioTerminales[[#This Row],[TIPO BUS]]&amp;"-"&amp;inicioTerminales[[#This Row],[MARCA CHASIS]]</f>
        <v>B2-MERCEDES BENZ</v>
      </c>
    </row>
    <row r="208" spans="1:14">
      <c r="A208" s="27" t="s">
        <v>10</v>
      </c>
      <c r="B208" s="27" t="s">
        <v>393</v>
      </c>
      <c r="C208" s="27">
        <v>2087</v>
      </c>
      <c r="D208" s="27" t="s">
        <v>34</v>
      </c>
      <c r="E208" s="27" t="s">
        <v>25</v>
      </c>
      <c r="F208" s="27" t="s">
        <v>145</v>
      </c>
      <c r="G208" s="27" t="str">
        <f>_xlfn.CONCAT(inicioTerminales[[#This Row],[MARCA CHASIS]]," - ", inicioTerminales[[#This Row],[TIPO BUS]])</f>
        <v>MERCEDES BENZ - B2</v>
      </c>
      <c r="H208" s="27" t="s">
        <v>1368</v>
      </c>
      <c r="I208" s="52">
        <v>44933</v>
      </c>
      <c r="J208" s="27" t="s">
        <v>830</v>
      </c>
      <c r="K208" s="27" t="s">
        <v>837</v>
      </c>
      <c r="L208" s="27" t="s">
        <v>850</v>
      </c>
      <c r="M208" s="27" t="s">
        <v>130</v>
      </c>
      <c r="N208" s="27" t="str">
        <f>inicioTerminales[[#This Row],[TIPO BUS]]&amp;"-"&amp;inicioTerminales[[#This Row],[MARCA CHASIS]]</f>
        <v>B2-MERCEDES BENZ</v>
      </c>
    </row>
    <row r="209" spans="1:14">
      <c r="A209" s="27" t="s">
        <v>10</v>
      </c>
      <c r="B209" s="27" t="s">
        <v>148</v>
      </c>
      <c r="C209" s="27">
        <v>2088</v>
      </c>
      <c r="D209" s="27" t="s">
        <v>34</v>
      </c>
      <c r="E209" s="27" t="s">
        <v>13</v>
      </c>
      <c r="F209" s="27" t="s">
        <v>145</v>
      </c>
      <c r="G209" s="27" t="str">
        <f>_xlfn.CONCAT(inicioTerminales[[#This Row],[MARCA CHASIS]]," - ", inicioTerminales[[#This Row],[TIPO BUS]])</f>
        <v>MERCEDES BENZ - B2</v>
      </c>
      <c r="H209" s="27" t="s">
        <v>1368</v>
      </c>
      <c r="I209" s="52">
        <v>44933</v>
      </c>
      <c r="J209" s="27" t="s">
        <v>830</v>
      </c>
      <c r="K209" s="27" t="s">
        <v>837</v>
      </c>
      <c r="L209" s="27" t="s">
        <v>850</v>
      </c>
      <c r="M209" s="27" t="s">
        <v>130</v>
      </c>
      <c r="N209" s="27" t="str">
        <f>inicioTerminales[[#This Row],[TIPO BUS]]&amp;"-"&amp;inicioTerminales[[#This Row],[MARCA CHASIS]]</f>
        <v>B2-MERCEDES BENZ</v>
      </c>
    </row>
    <row r="210" spans="1:14">
      <c r="A210" s="27" t="s">
        <v>10</v>
      </c>
      <c r="B210" s="27" t="s">
        <v>150</v>
      </c>
      <c r="C210" s="27">
        <v>2089</v>
      </c>
      <c r="D210" s="27" t="s">
        <v>34</v>
      </c>
      <c r="E210" s="27" t="s">
        <v>13</v>
      </c>
      <c r="F210" s="27" t="s">
        <v>145</v>
      </c>
      <c r="G210" s="27" t="str">
        <f>_xlfn.CONCAT(inicioTerminales[[#This Row],[MARCA CHASIS]]," - ", inicioTerminales[[#This Row],[TIPO BUS]])</f>
        <v>MERCEDES BENZ - B2</v>
      </c>
      <c r="H210" s="27" t="s">
        <v>1368</v>
      </c>
      <c r="I210" s="52">
        <v>44933</v>
      </c>
      <c r="J210" s="27" t="s">
        <v>830</v>
      </c>
      <c r="K210" s="27" t="s">
        <v>837</v>
      </c>
      <c r="L210" s="27" t="s">
        <v>850</v>
      </c>
      <c r="M210" s="27" t="s">
        <v>130</v>
      </c>
      <c r="N210" s="27" t="str">
        <f>inicioTerminales[[#This Row],[TIPO BUS]]&amp;"-"&amp;inicioTerminales[[#This Row],[MARCA CHASIS]]</f>
        <v>B2-MERCEDES BENZ</v>
      </c>
    </row>
    <row r="211" spans="1:14">
      <c r="A211" s="27" t="s">
        <v>10</v>
      </c>
      <c r="B211" s="27" t="s">
        <v>151</v>
      </c>
      <c r="C211" s="27">
        <v>2090</v>
      </c>
      <c r="D211" s="27" t="s">
        <v>34</v>
      </c>
      <c r="E211" s="27" t="s">
        <v>13</v>
      </c>
      <c r="F211" s="27" t="s">
        <v>145</v>
      </c>
      <c r="G211" s="27" t="str">
        <f>_xlfn.CONCAT(inicioTerminales[[#This Row],[MARCA CHASIS]]," - ", inicioTerminales[[#This Row],[TIPO BUS]])</f>
        <v>MERCEDES BENZ - B2</v>
      </c>
      <c r="H211" s="27" t="s">
        <v>1368</v>
      </c>
      <c r="I211" s="52">
        <v>44933</v>
      </c>
      <c r="J211" s="27" t="s">
        <v>830</v>
      </c>
      <c r="K211" s="27" t="s">
        <v>837</v>
      </c>
      <c r="L211" s="27" t="s">
        <v>850</v>
      </c>
      <c r="M211" s="27" t="s">
        <v>130</v>
      </c>
      <c r="N211" s="27" t="str">
        <f>inicioTerminales[[#This Row],[TIPO BUS]]&amp;"-"&amp;inicioTerminales[[#This Row],[MARCA CHASIS]]</f>
        <v>B2-MERCEDES BENZ</v>
      </c>
    </row>
    <row r="212" spans="1:14">
      <c r="A212" s="27" t="s">
        <v>10</v>
      </c>
      <c r="B212" s="27" t="s">
        <v>152</v>
      </c>
      <c r="C212" s="27">
        <v>2092</v>
      </c>
      <c r="D212" s="27" t="s">
        <v>34</v>
      </c>
      <c r="E212" s="27" t="s">
        <v>13</v>
      </c>
      <c r="F212" s="27" t="s">
        <v>145</v>
      </c>
      <c r="G212" s="27" t="str">
        <f>_xlfn.CONCAT(inicioTerminales[[#This Row],[MARCA CHASIS]]," - ", inicioTerminales[[#This Row],[TIPO BUS]])</f>
        <v>MERCEDES BENZ - B2</v>
      </c>
      <c r="H212" s="27" t="s">
        <v>1368</v>
      </c>
      <c r="I212" s="52">
        <v>44933</v>
      </c>
      <c r="J212" s="27" t="s">
        <v>830</v>
      </c>
      <c r="K212" s="27" t="s">
        <v>837</v>
      </c>
      <c r="L212" s="27" t="s">
        <v>850</v>
      </c>
      <c r="M212" s="27" t="s">
        <v>130</v>
      </c>
      <c r="N212" s="27" t="str">
        <f>inicioTerminales[[#This Row],[TIPO BUS]]&amp;"-"&amp;inicioTerminales[[#This Row],[MARCA CHASIS]]</f>
        <v>B2-MERCEDES BENZ</v>
      </c>
    </row>
    <row r="213" spans="1:14">
      <c r="A213" s="27" t="s">
        <v>10</v>
      </c>
      <c r="B213" s="27" t="s">
        <v>153</v>
      </c>
      <c r="C213" s="27">
        <v>2093</v>
      </c>
      <c r="D213" s="27" t="s">
        <v>34</v>
      </c>
      <c r="E213" s="27" t="s">
        <v>13</v>
      </c>
      <c r="F213" s="27" t="s">
        <v>145</v>
      </c>
      <c r="G213" s="27" t="str">
        <f>_xlfn.CONCAT(inicioTerminales[[#This Row],[MARCA CHASIS]]," - ", inicioTerminales[[#This Row],[TIPO BUS]])</f>
        <v>MERCEDES BENZ - B2</v>
      </c>
      <c r="H213" s="27" t="s">
        <v>1368</v>
      </c>
      <c r="I213" s="52">
        <v>44933</v>
      </c>
      <c r="J213" s="27" t="s">
        <v>830</v>
      </c>
      <c r="K213" s="27" t="s">
        <v>837</v>
      </c>
      <c r="L213" s="27" t="s">
        <v>850</v>
      </c>
      <c r="M213" s="27" t="s">
        <v>130</v>
      </c>
      <c r="N213" s="27" t="str">
        <f>inicioTerminales[[#This Row],[TIPO BUS]]&amp;"-"&amp;inicioTerminales[[#This Row],[MARCA CHASIS]]</f>
        <v>B2-MERCEDES BENZ</v>
      </c>
    </row>
    <row r="214" spans="1:14">
      <c r="A214" s="27" t="s">
        <v>10</v>
      </c>
      <c r="B214" s="27" t="s">
        <v>154</v>
      </c>
      <c r="C214" s="27">
        <v>2094</v>
      </c>
      <c r="D214" s="27" t="s">
        <v>34</v>
      </c>
      <c r="E214" s="27" t="s">
        <v>13</v>
      </c>
      <c r="F214" s="27" t="s">
        <v>145</v>
      </c>
      <c r="G214" s="27" t="str">
        <f>_xlfn.CONCAT(inicioTerminales[[#This Row],[MARCA CHASIS]]," - ", inicioTerminales[[#This Row],[TIPO BUS]])</f>
        <v>MERCEDES BENZ - B2</v>
      </c>
      <c r="H214" s="27" t="s">
        <v>1368</v>
      </c>
      <c r="I214" s="52">
        <v>44933</v>
      </c>
      <c r="J214" s="27" t="s">
        <v>830</v>
      </c>
      <c r="K214" s="27" t="s">
        <v>837</v>
      </c>
      <c r="L214" s="27" t="s">
        <v>850</v>
      </c>
      <c r="M214" s="27" t="s">
        <v>130</v>
      </c>
      <c r="N214" s="27" t="str">
        <f>inicioTerminales[[#This Row],[TIPO BUS]]&amp;"-"&amp;inicioTerminales[[#This Row],[MARCA CHASIS]]</f>
        <v>B2-MERCEDES BENZ</v>
      </c>
    </row>
    <row r="215" spans="1:14">
      <c r="A215" s="27" t="s">
        <v>10</v>
      </c>
      <c r="B215" s="27" t="s">
        <v>155</v>
      </c>
      <c r="C215" s="27">
        <v>2111</v>
      </c>
      <c r="D215" s="27" t="s">
        <v>34</v>
      </c>
      <c r="E215" s="27" t="s">
        <v>13</v>
      </c>
      <c r="F215" s="27" t="s">
        <v>145</v>
      </c>
      <c r="G215" s="27" t="str">
        <f>_xlfn.CONCAT(inicioTerminales[[#This Row],[MARCA CHASIS]]," - ", inicioTerminales[[#This Row],[TIPO BUS]])</f>
        <v>MERCEDES BENZ - B2</v>
      </c>
      <c r="H215" s="27" t="s">
        <v>1368</v>
      </c>
      <c r="I215" s="52">
        <v>44933</v>
      </c>
      <c r="J215" s="27" t="s">
        <v>830</v>
      </c>
      <c r="K215" s="27" t="s">
        <v>837</v>
      </c>
      <c r="L215" s="27" t="s">
        <v>850</v>
      </c>
      <c r="M215" s="27" t="s">
        <v>130</v>
      </c>
      <c r="N215" s="27" t="str">
        <f>inicioTerminales[[#This Row],[TIPO BUS]]&amp;"-"&amp;inicioTerminales[[#This Row],[MARCA CHASIS]]</f>
        <v>B2-MERCEDES BENZ</v>
      </c>
    </row>
    <row r="216" spans="1:14">
      <c r="A216" s="27" t="s">
        <v>421</v>
      </c>
      <c r="B216" s="27" t="s">
        <v>468</v>
      </c>
      <c r="C216" s="27">
        <v>6131</v>
      </c>
      <c r="D216" s="27" t="s">
        <v>34</v>
      </c>
      <c r="E216" s="27" t="s">
        <v>13</v>
      </c>
      <c r="F216" s="27" t="s">
        <v>14</v>
      </c>
      <c r="G216" s="27" t="str">
        <f>_xlfn.CONCAT(inicioTerminales[[#This Row],[MARCA CHASIS]]," - ", inicioTerminales[[#This Row],[TIPO BUS]])</f>
        <v>VOLVO - B2</v>
      </c>
      <c r="H216" s="27" t="s">
        <v>423</v>
      </c>
      <c r="I216" s="52">
        <v>44982</v>
      </c>
      <c r="J216" s="27" t="s">
        <v>1341</v>
      </c>
      <c r="K216" s="27" t="s">
        <v>839</v>
      </c>
      <c r="L216" s="27" t="s">
        <v>1367</v>
      </c>
      <c r="M216" s="27" t="s">
        <v>423</v>
      </c>
      <c r="N216" s="27" t="str">
        <f>inicioTerminales[[#This Row],[TIPO BUS]]&amp;"-"&amp;inicioTerminales[[#This Row],[MARCA CHASIS]]</f>
        <v>B2-VOLVO</v>
      </c>
    </row>
    <row r="217" spans="1:14">
      <c r="A217" s="27" t="s">
        <v>421</v>
      </c>
      <c r="B217" s="27" t="s">
        <v>469</v>
      </c>
      <c r="C217" s="27">
        <v>6132</v>
      </c>
      <c r="D217" s="27" t="s">
        <v>34</v>
      </c>
      <c r="E217" s="27" t="s">
        <v>13</v>
      </c>
      <c r="F217" s="27" t="s">
        <v>14</v>
      </c>
      <c r="G217" s="27" t="str">
        <f>_xlfn.CONCAT(inicioTerminales[[#This Row],[MARCA CHASIS]]," - ", inicioTerminales[[#This Row],[TIPO BUS]])</f>
        <v>VOLVO - B2</v>
      </c>
      <c r="H217" s="27" t="s">
        <v>423</v>
      </c>
      <c r="I217" s="52">
        <v>44982</v>
      </c>
      <c r="J217" s="27" t="s">
        <v>1341</v>
      </c>
      <c r="K217" s="27" t="s">
        <v>839</v>
      </c>
      <c r="L217" s="27" t="s">
        <v>1367</v>
      </c>
      <c r="M217" s="27" t="s">
        <v>423</v>
      </c>
      <c r="N217" s="27" t="str">
        <f>inicioTerminales[[#This Row],[TIPO BUS]]&amp;"-"&amp;inicioTerminales[[#This Row],[MARCA CHASIS]]</f>
        <v>B2-VOLVO</v>
      </c>
    </row>
    <row r="218" spans="1:14">
      <c r="A218" s="27" t="s">
        <v>421</v>
      </c>
      <c r="B218" s="27" t="s">
        <v>470</v>
      </c>
      <c r="C218" s="27">
        <v>6133</v>
      </c>
      <c r="D218" s="27" t="s">
        <v>34</v>
      </c>
      <c r="E218" s="27" t="s">
        <v>13</v>
      </c>
      <c r="F218" s="27" t="s">
        <v>14</v>
      </c>
      <c r="G218" s="27" t="str">
        <f>_xlfn.CONCAT(inicioTerminales[[#This Row],[MARCA CHASIS]]," - ", inicioTerminales[[#This Row],[TIPO BUS]])</f>
        <v>VOLVO - B2</v>
      </c>
      <c r="H218" s="27" t="s">
        <v>423</v>
      </c>
      <c r="I218" s="52">
        <v>44982</v>
      </c>
      <c r="J218" s="27" t="s">
        <v>1341</v>
      </c>
      <c r="K218" s="27" t="s">
        <v>839</v>
      </c>
      <c r="L218" s="27" t="s">
        <v>1367</v>
      </c>
      <c r="M218" s="27" t="s">
        <v>423</v>
      </c>
      <c r="N218" s="27" t="str">
        <f>inicioTerminales[[#This Row],[TIPO BUS]]&amp;"-"&amp;inicioTerminales[[#This Row],[MARCA CHASIS]]</f>
        <v>B2-VOLVO</v>
      </c>
    </row>
    <row r="219" spans="1:14">
      <c r="A219" s="27" t="s">
        <v>421</v>
      </c>
      <c r="B219" s="27" t="s">
        <v>471</v>
      </c>
      <c r="C219" s="27">
        <v>6134</v>
      </c>
      <c r="D219" s="27" t="s">
        <v>34</v>
      </c>
      <c r="E219" s="27" t="s">
        <v>13</v>
      </c>
      <c r="F219" s="27" t="s">
        <v>14</v>
      </c>
      <c r="G219" s="27" t="str">
        <f>_xlfn.CONCAT(inicioTerminales[[#This Row],[MARCA CHASIS]]," - ", inicioTerminales[[#This Row],[TIPO BUS]])</f>
        <v>VOLVO - B2</v>
      </c>
      <c r="H219" s="27" t="s">
        <v>423</v>
      </c>
      <c r="I219" s="52">
        <v>44982</v>
      </c>
      <c r="J219" s="27" t="s">
        <v>1341</v>
      </c>
      <c r="K219" s="27" t="s">
        <v>839</v>
      </c>
      <c r="L219" s="27" t="s">
        <v>1367</v>
      </c>
      <c r="M219" s="27" t="s">
        <v>423</v>
      </c>
      <c r="N219" s="27" t="str">
        <f>inicioTerminales[[#This Row],[TIPO BUS]]&amp;"-"&amp;inicioTerminales[[#This Row],[MARCA CHASIS]]</f>
        <v>B2-VOLVO</v>
      </c>
    </row>
    <row r="220" spans="1:14">
      <c r="A220" s="27" t="s">
        <v>421</v>
      </c>
      <c r="B220" s="27" t="s">
        <v>472</v>
      </c>
      <c r="C220" s="27">
        <v>6135</v>
      </c>
      <c r="D220" s="27" t="s">
        <v>34</v>
      </c>
      <c r="E220" s="27" t="s">
        <v>13</v>
      </c>
      <c r="F220" s="27" t="s">
        <v>14</v>
      </c>
      <c r="G220" s="27" t="str">
        <f>_xlfn.CONCAT(inicioTerminales[[#This Row],[MARCA CHASIS]]," - ", inicioTerminales[[#This Row],[TIPO BUS]])</f>
        <v>VOLVO - B2</v>
      </c>
      <c r="H220" s="27" t="s">
        <v>423</v>
      </c>
      <c r="I220" s="52">
        <v>44982</v>
      </c>
      <c r="J220" s="27" t="s">
        <v>1341</v>
      </c>
      <c r="K220" s="27" t="s">
        <v>839</v>
      </c>
      <c r="L220" s="27" t="s">
        <v>1367</v>
      </c>
      <c r="M220" s="27" t="s">
        <v>423</v>
      </c>
      <c r="N220" s="27" t="str">
        <f>inicioTerminales[[#This Row],[TIPO BUS]]&amp;"-"&amp;inicioTerminales[[#This Row],[MARCA CHASIS]]</f>
        <v>B2-VOLVO</v>
      </c>
    </row>
    <row r="221" spans="1:14">
      <c r="A221" s="27" t="s">
        <v>421</v>
      </c>
      <c r="B221" s="27" t="s">
        <v>473</v>
      </c>
      <c r="C221" s="27">
        <v>6136</v>
      </c>
      <c r="D221" s="27" t="s">
        <v>34</v>
      </c>
      <c r="E221" s="27" t="s">
        <v>13</v>
      </c>
      <c r="F221" s="27" t="s">
        <v>14</v>
      </c>
      <c r="G221" s="27" t="str">
        <f>_xlfn.CONCAT(inicioTerminales[[#This Row],[MARCA CHASIS]]," - ", inicioTerminales[[#This Row],[TIPO BUS]])</f>
        <v>VOLVO - B2</v>
      </c>
      <c r="H221" s="27" t="s">
        <v>423</v>
      </c>
      <c r="I221" s="52">
        <v>44982</v>
      </c>
      <c r="J221" s="27" t="s">
        <v>1341</v>
      </c>
      <c r="K221" s="27" t="s">
        <v>839</v>
      </c>
      <c r="L221" s="27" t="s">
        <v>1367</v>
      </c>
      <c r="M221" s="27" t="s">
        <v>423</v>
      </c>
      <c r="N221" s="27" t="str">
        <f>inicioTerminales[[#This Row],[TIPO BUS]]&amp;"-"&amp;inicioTerminales[[#This Row],[MARCA CHASIS]]</f>
        <v>B2-VOLVO</v>
      </c>
    </row>
    <row r="222" spans="1:14">
      <c r="A222" s="27" t="s">
        <v>421</v>
      </c>
      <c r="B222" s="27" t="s">
        <v>565</v>
      </c>
      <c r="C222" s="27">
        <v>6137</v>
      </c>
      <c r="D222" s="27" t="s">
        <v>34</v>
      </c>
      <c r="E222" s="27" t="s">
        <v>13</v>
      </c>
      <c r="F222" s="27" t="s">
        <v>14</v>
      </c>
      <c r="G222" s="27" t="str">
        <f>_xlfn.CONCAT(inicioTerminales[[#This Row],[MARCA CHASIS]]," - ", inicioTerminales[[#This Row],[TIPO BUS]])</f>
        <v>VOLVO - B2</v>
      </c>
      <c r="H222" s="27" t="s">
        <v>423</v>
      </c>
      <c r="I222" s="52">
        <v>44982</v>
      </c>
      <c r="J222" s="27" t="s">
        <v>1341</v>
      </c>
      <c r="K222" s="27" t="s">
        <v>839</v>
      </c>
      <c r="L222" s="27" t="s">
        <v>1367</v>
      </c>
      <c r="M222" s="27" t="s">
        <v>423</v>
      </c>
      <c r="N222" s="27" t="str">
        <f>inicioTerminales[[#This Row],[TIPO BUS]]&amp;"-"&amp;inicioTerminales[[#This Row],[MARCA CHASIS]]</f>
        <v>B2-VOLVO</v>
      </c>
    </row>
    <row r="223" spans="1:14">
      <c r="A223" s="27" t="s">
        <v>421</v>
      </c>
      <c r="B223" s="27" t="s">
        <v>474</v>
      </c>
      <c r="C223" s="27">
        <v>6139</v>
      </c>
      <c r="D223" s="27" t="s">
        <v>34</v>
      </c>
      <c r="E223" s="27" t="s">
        <v>13</v>
      </c>
      <c r="F223" s="27" t="s">
        <v>14</v>
      </c>
      <c r="G223" s="27" t="str">
        <f>_xlfn.CONCAT(inicioTerminales[[#This Row],[MARCA CHASIS]]," - ", inicioTerminales[[#This Row],[TIPO BUS]])</f>
        <v>VOLVO - B2</v>
      </c>
      <c r="H223" s="27" t="s">
        <v>423</v>
      </c>
      <c r="I223" s="52">
        <v>44982</v>
      </c>
      <c r="J223" s="27" t="s">
        <v>1341</v>
      </c>
      <c r="K223" s="27" t="s">
        <v>839</v>
      </c>
      <c r="L223" s="27" t="s">
        <v>1367</v>
      </c>
      <c r="M223" s="27" t="s">
        <v>423</v>
      </c>
      <c r="N223" s="27" t="str">
        <f>inicioTerminales[[#This Row],[TIPO BUS]]&amp;"-"&amp;inicioTerminales[[#This Row],[MARCA CHASIS]]</f>
        <v>B2-VOLVO</v>
      </c>
    </row>
    <row r="224" spans="1:14">
      <c r="A224" s="27" t="s">
        <v>421</v>
      </c>
      <c r="B224" s="27" t="s">
        <v>567</v>
      </c>
      <c r="C224" s="27">
        <v>6140</v>
      </c>
      <c r="D224" s="27" t="s">
        <v>34</v>
      </c>
      <c r="E224" s="27" t="s">
        <v>13</v>
      </c>
      <c r="F224" s="27" t="s">
        <v>14</v>
      </c>
      <c r="G224" s="27" t="str">
        <f>_xlfn.CONCAT(inicioTerminales[[#This Row],[MARCA CHASIS]]," - ", inicioTerminales[[#This Row],[TIPO BUS]])</f>
        <v>VOLVO - B2</v>
      </c>
      <c r="H224" s="27" t="s">
        <v>423</v>
      </c>
      <c r="I224" s="52">
        <v>44982</v>
      </c>
      <c r="J224" s="27" t="s">
        <v>1341</v>
      </c>
      <c r="K224" s="27" t="s">
        <v>839</v>
      </c>
      <c r="L224" s="27" t="s">
        <v>1367</v>
      </c>
      <c r="M224" s="27" t="s">
        <v>423</v>
      </c>
      <c r="N224" s="27" t="str">
        <f>inicioTerminales[[#This Row],[TIPO BUS]]&amp;"-"&amp;inicioTerminales[[#This Row],[MARCA CHASIS]]</f>
        <v>B2-VOLVO</v>
      </c>
    </row>
    <row r="225" spans="1:14">
      <c r="A225" s="27" t="s">
        <v>421</v>
      </c>
      <c r="B225" s="27" t="s">
        <v>475</v>
      </c>
      <c r="C225" s="27">
        <v>6141</v>
      </c>
      <c r="D225" s="27" t="s">
        <v>34</v>
      </c>
      <c r="E225" s="27" t="s">
        <v>13</v>
      </c>
      <c r="F225" s="27" t="s">
        <v>14</v>
      </c>
      <c r="G225" s="27" t="str">
        <f>_xlfn.CONCAT(inicioTerminales[[#This Row],[MARCA CHASIS]]," - ", inicioTerminales[[#This Row],[TIPO BUS]])</f>
        <v>VOLVO - B2</v>
      </c>
      <c r="H225" s="27" t="s">
        <v>423</v>
      </c>
      <c r="I225" s="52">
        <v>44982</v>
      </c>
      <c r="J225" s="27" t="s">
        <v>1341</v>
      </c>
      <c r="K225" s="27" t="s">
        <v>839</v>
      </c>
      <c r="L225" s="27" t="s">
        <v>1367</v>
      </c>
      <c r="M225" s="27" t="s">
        <v>423</v>
      </c>
      <c r="N225" s="27" t="str">
        <f>inicioTerminales[[#This Row],[TIPO BUS]]&amp;"-"&amp;inicioTerminales[[#This Row],[MARCA CHASIS]]</f>
        <v>B2-VOLVO</v>
      </c>
    </row>
    <row r="226" spans="1:14">
      <c r="A226" s="27" t="s">
        <v>421</v>
      </c>
      <c r="B226" s="27" t="s">
        <v>476</v>
      </c>
      <c r="C226" s="27">
        <v>6142</v>
      </c>
      <c r="D226" s="27" t="s">
        <v>34</v>
      </c>
      <c r="E226" s="27" t="s">
        <v>13</v>
      </c>
      <c r="F226" s="27" t="s">
        <v>14</v>
      </c>
      <c r="G226" s="27" t="str">
        <f>_xlfn.CONCAT(inicioTerminales[[#This Row],[MARCA CHASIS]]," - ", inicioTerminales[[#This Row],[TIPO BUS]])</f>
        <v>VOLVO - B2</v>
      </c>
      <c r="H226" s="27" t="s">
        <v>423</v>
      </c>
      <c r="I226" s="52">
        <v>44982</v>
      </c>
      <c r="J226" s="27" t="s">
        <v>1341</v>
      </c>
      <c r="K226" s="27" t="s">
        <v>839</v>
      </c>
      <c r="L226" s="27" t="s">
        <v>1367</v>
      </c>
      <c r="M226" s="27" t="s">
        <v>423</v>
      </c>
      <c r="N226" s="27" t="str">
        <f>inicioTerminales[[#This Row],[TIPO BUS]]&amp;"-"&amp;inicioTerminales[[#This Row],[MARCA CHASIS]]</f>
        <v>B2-VOLVO</v>
      </c>
    </row>
    <row r="227" spans="1:14">
      <c r="A227" s="27" t="s">
        <v>421</v>
      </c>
      <c r="B227" s="27" t="s">
        <v>477</v>
      </c>
      <c r="C227" s="27">
        <v>6143</v>
      </c>
      <c r="D227" s="27" t="s">
        <v>34</v>
      </c>
      <c r="E227" s="27" t="s">
        <v>13</v>
      </c>
      <c r="F227" s="27" t="s">
        <v>14</v>
      </c>
      <c r="G227" s="27" t="str">
        <f>_xlfn.CONCAT(inicioTerminales[[#This Row],[MARCA CHASIS]]," - ", inicioTerminales[[#This Row],[TIPO BUS]])</f>
        <v>VOLVO - B2</v>
      </c>
      <c r="H227" s="27" t="s">
        <v>423</v>
      </c>
      <c r="I227" s="52">
        <v>44982</v>
      </c>
      <c r="J227" s="27" t="s">
        <v>1341</v>
      </c>
      <c r="K227" s="27" t="s">
        <v>839</v>
      </c>
      <c r="L227" s="27" t="s">
        <v>1367</v>
      </c>
      <c r="M227" s="27" t="s">
        <v>423</v>
      </c>
      <c r="N227" s="27" t="str">
        <f>inicioTerminales[[#This Row],[TIPO BUS]]&amp;"-"&amp;inicioTerminales[[#This Row],[MARCA CHASIS]]</f>
        <v>B2-VOLVO</v>
      </c>
    </row>
    <row r="228" spans="1:14">
      <c r="A228" s="27" t="s">
        <v>421</v>
      </c>
      <c r="B228" s="27" t="s">
        <v>568</v>
      </c>
      <c r="C228" s="27">
        <v>6144</v>
      </c>
      <c r="D228" s="27" t="s">
        <v>34</v>
      </c>
      <c r="E228" s="27" t="s">
        <v>13</v>
      </c>
      <c r="F228" s="27" t="s">
        <v>14</v>
      </c>
      <c r="G228" s="27" t="str">
        <f>_xlfn.CONCAT(inicioTerminales[[#This Row],[MARCA CHASIS]]," - ", inicioTerminales[[#This Row],[TIPO BUS]])</f>
        <v>VOLVO - B2</v>
      </c>
      <c r="H228" s="27" t="s">
        <v>423</v>
      </c>
      <c r="I228" s="52">
        <v>44982</v>
      </c>
      <c r="J228" s="27" t="s">
        <v>1341</v>
      </c>
      <c r="K228" s="27" t="s">
        <v>839</v>
      </c>
      <c r="L228" s="27" t="s">
        <v>1367</v>
      </c>
      <c r="M228" s="27" t="s">
        <v>423</v>
      </c>
      <c r="N228" s="27" t="str">
        <f>inicioTerminales[[#This Row],[TIPO BUS]]&amp;"-"&amp;inicioTerminales[[#This Row],[MARCA CHASIS]]</f>
        <v>B2-VOLVO</v>
      </c>
    </row>
    <row r="229" spans="1:14">
      <c r="A229" s="27" t="s">
        <v>421</v>
      </c>
      <c r="B229" s="27" t="s">
        <v>569</v>
      </c>
      <c r="C229" s="27">
        <v>6145</v>
      </c>
      <c r="D229" s="27" t="s">
        <v>34</v>
      </c>
      <c r="E229" s="27" t="s">
        <v>13</v>
      </c>
      <c r="F229" s="27" t="s">
        <v>14</v>
      </c>
      <c r="G229" s="27" t="str">
        <f>_xlfn.CONCAT(inicioTerminales[[#This Row],[MARCA CHASIS]]," - ", inicioTerminales[[#This Row],[TIPO BUS]])</f>
        <v>VOLVO - B2</v>
      </c>
      <c r="H229" s="27" t="s">
        <v>423</v>
      </c>
      <c r="I229" s="52">
        <v>44982</v>
      </c>
      <c r="J229" s="27" t="s">
        <v>1341</v>
      </c>
      <c r="K229" s="27" t="s">
        <v>839</v>
      </c>
      <c r="L229" s="27" t="s">
        <v>1367</v>
      </c>
      <c r="M229" s="27" t="s">
        <v>423</v>
      </c>
      <c r="N229" s="27" t="str">
        <f>inicioTerminales[[#This Row],[TIPO BUS]]&amp;"-"&amp;inicioTerminales[[#This Row],[MARCA CHASIS]]</f>
        <v>B2-VOLVO</v>
      </c>
    </row>
    <row r="230" spans="1:14">
      <c r="A230" s="27" t="s">
        <v>421</v>
      </c>
      <c r="B230" s="27" t="s">
        <v>570</v>
      </c>
      <c r="C230" s="27">
        <v>6146</v>
      </c>
      <c r="D230" s="27" t="s">
        <v>34</v>
      </c>
      <c r="E230" s="27" t="s">
        <v>13</v>
      </c>
      <c r="F230" s="27" t="s">
        <v>14</v>
      </c>
      <c r="G230" s="27" t="str">
        <f>_xlfn.CONCAT(inicioTerminales[[#This Row],[MARCA CHASIS]]," - ", inicioTerminales[[#This Row],[TIPO BUS]])</f>
        <v>VOLVO - B2</v>
      </c>
      <c r="H230" s="27" t="s">
        <v>423</v>
      </c>
      <c r="I230" s="52">
        <v>44982</v>
      </c>
      <c r="J230" s="27" t="s">
        <v>1341</v>
      </c>
      <c r="K230" s="27" t="s">
        <v>839</v>
      </c>
      <c r="L230" s="27" t="s">
        <v>1367</v>
      </c>
      <c r="M230" s="27" t="s">
        <v>423</v>
      </c>
      <c r="N230" s="27" t="str">
        <f>inicioTerminales[[#This Row],[TIPO BUS]]&amp;"-"&amp;inicioTerminales[[#This Row],[MARCA CHASIS]]</f>
        <v>B2-VOLVO</v>
      </c>
    </row>
    <row r="231" spans="1:14">
      <c r="A231" s="27" t="s">
        <v>421</v>
      </c>
      <c r="B231" s="27" t="s">
        <v>571</v>
      </c>
      <c r="C231" s="27">
        <v>6147</v>
      </c>
      <c r="D231" s="27" t="s">
        <v>34</v>
      </c>
      <c r="E231" s="27" t="s">
        <v>13</v>
      </c>
      <c r="F231" s="27" t="s">
        <v>14</v>
      </c>
      <c r="G231" s="27" t="str">
        <f>_xlfn.CONCAT(inicioTerminales[[#This Row],[MARCA CHASIS]]," - ", inicioTerminales[[#This Row],[TIPO BUS]])</f>
        <v>VOLVO - B2</v>
      </c>
      <c r="H231" s="27" t="s">
        <v>423</v>
      </c>
      <c r="I231" s="52">
        <v>44982</v>
      </c>
      <c r="J231" s="27" t="s">
        <v>1341</v>
      </c>
      <c r="K231" s="27" t="s">
        <v>839</v>
      </c>
      <c r="L231" s="27" t="s">
        <v>1367</v>
      </c>
      <c r="M231" s="27" t="s">
        <v>423</v>
      </c>
      <c r="N231" s="27" t="str">
        <f>inicioTerminales[[#This Row],[TIPO BUS]]&amp;"-"&amp;inicioTerminales[[#This Row],[MARCA CHASIS]]</f>
        <v>B2-VOLVO</v>
      </c>
    </row>
    <row r="232" spans="1:14">
      <c r="A232" s="27" t="s">
        <v>10</v>
      </c>
      <c r="B232" s="27" t="s">
        <v>289</v>
      </c>
      <c r="C232" s="27">
        <v>2000</v>
      </c>
      <c r="D232" s="27" t="s">
        <v>285</v>
      </c>
      <c r="E232" s="27" t="s">
        <v>13</v>
      </c>
      <c r="F232" s="27" t="s">
        <v>145</v>
      </c>
      <c r="G232" s="27" t="str">
        <f>_xlfn.CONCAT(inicioTerminales[[#This Row],[MARCA CHASIS]]," - ", inicioTerminales[[#This Row],[TIPO BUS]])</f>
        <v>MERCEDES BENZ - BPAL</v>
      </c>
      <c r="H232" s="27" t="s">
        <v>267</v>
      </c>
      <c r="I232" s="52">
        <v>45038</v>
      </c>
      <c r="J232" s="27" t="s">
        <v>830</v>
      </c>
      <c r="K232" s="27" t="s">
        <v>838</v>
      </c>
      <c r="L232" s="27" t="s">
        <v>1369</v>
      </c>
      <c r="M232" s="27" t="s">
        <v>267</v>
      </c>
      <c r="N232" s="27" t="str">
        <f>inicioTerminales[[#This Row],[TIPO BUS]]&amp;"-"&amp;inicioTerminales[[#This Row],[MARCA CHASIS]]</f>
        <v>BPAL-MERCEDES BENZ</v>
      </c>
    </row>
    <row r="233" spans="1:14">
      <c r="A233" s="27" t="s">
        <v>10</v>
      </c>
      <c r="B233" s="27" t="s">
        <v>290</v>
      </c>
      <c r="C233" s="27">
        <v>2001</v>
      </c>
      <c r="D233" s="27" t="s">
        <v>285</v>
      </c>
      <c r="E233" s="27" t="s">
        <v>13</v>
      </c>
      <c r="F233" s="27" t="s">
        <v>145</v>
      </c>
      <c r="G233" s="27" t="str">
        <f>_xlfn.CONCAT(inicioTerminales[[#This Row],[MARCA CHASIS]]," - ", inicioTerminales[[#This Row],[TIPO BUS]])</f>
        <v>MERCEDES BENZ - BPAL</v>
      </c>
      <c r="H233" s="27" t="s">
        <v>267</v>
      </c>
      <c r="I233" s="52">
        <v>45038</v>
      </c>
      <c r="J233" s="27" t="s">
        <v>830</v>
      </c>
      <c r="K233" s="27" t="s">
        <v>838</v>
      </c>
      <c r="L233" s="27" t="s">
        <v>1369</v>
      </c>
      <c r="M233" s="27" t="s">
        <v>267</v>
      </c>
      <c r="N233" s="27" t="str">
        <f>inicioTerminales[[#This Row],[TIPO BUS]]&amp;"-"&amp;inicioTerminales[[#This Row],[MARCA CHASIS]]</f>
        <v>BPAL-MERCEDES BENZ</v>
      </c>
    </row>
    <row r="234" spans="1:14">
      <c r="A234" s="27" t="s">
        <v>10</v>
      </c>
      <c r="B234" s="27" t="s">
        <v>291</v>
      </c>
      <c r="C234" s="27">
        <v>2002</v>
      </c>
      <c r="D234" s="27" t="s">
        <v>285</v>
      </c>
      <c r="E234" s="27" t="s">
        <v>13</v>
      </c>
      <c r="F234" s="27" t="s">
        <v>145</v>
      </c>
      <c r="G234" s="27" t="str">
        <f>_xlfn.CONCAT(inicioTerminales[[#This Row],[MARCA CHASIS]]," - ", inicioTerminales[[#This Row],[TIPO BUS]])</f>
        <v>MERCEDES BENZ - BPAL</v>
      </c>
      <c r="H234" s="27" t="s">
        <v>267</v>
      </c>
      <c r="I234" s="52">
        <v>45038</v>
      </c>
      <c r="J234" s="27" t="s">
        <v>830</v>
      </c>
      <c r="K234" s="27" t="s">
        <v>838</v>
      </c>
      <c r="L234" s="27" t="s">
        <v>1369</v>
      </c>
      <c r="M234" s="27" t="s">
        <v>267</v>
      </c>
      <c r="N234" s="27" t="str">
        <f>inicioTerminales[[#This Row],[TIPO BUS]]&amp;"-"&amp;inicioTerminales[[#This Row],[MARCA CHASIS]]</f>
        <v>BPAL-MERCEDES BENZ</v>
      </c>
    </row>
    <row r="235" spans="1:14">
      <c r="A235" s="27" t="s">
        <v>10</v>
      </c>
      <c r="B235" s="27" t="s">
        <v>292</v>
      </c>
      <c r="C235" s="27">
        <v>2003</v>
      </c>
      <c r="D235" s="27" t="s">
        <v>285</v>
      </c>
      <c r="E235" s="27" t="s">
        <v>13</v>
      </c>
      <c r="F235" s="27" t="s">
        <v>145</v>
      </c>
      <c r="G235" s="27" t="str">
        <f>_xlfn.CONCAT(inicioTerminales[[#This Row],[MARCA CHASIS]]," - ", inicioTerminales[[#This Row],[TIPO BUS]])</f>
        <v>MERCEDES BENZ - BPAL</v>
      </c>
      <c r="H235" s="27" t="s">
        <v>267</v>
      </c>
      <c r="I235" s="52">
        <v>45038</v>
      </c>
      <c r="J235" s="27" t="s">
        <v>830</v>
      </c>
      <c r="K235" s="27" t="s">
        <v>838</v>
      </c>
      <c r="L235" s="27" t="s">
        <v>1369</v>
      </c>
      <c r="M235" s="27" t="s">
        <v>267</v>
      </c>
      <c r="N235" s="27" t="str">
        <f>inicioTerminales[[#This Row],[TIPO BUS]]&amp;"-"&amp;inicioTerminales[[#This Row],[MARCA CHASIS]]</f>
        <v>BPAL-MERCEDES BENZ</v>
      </c>
    </row>
    <row r="236" spans="1:14">
      <c r="A236" s="27" t="s">
        <v>10</v>
      </c>
      <c r="B236" s="27" t="s">
        <v>293</v>
      </c>
      <c r="C236" s="27">
        <v>2004</v>
      </c>
      <c r="D236" s="27" t="s">
        <v>285</v>
      </c>
      <c r="E236" s="27" t="s">
        <v>13</v>
      </c>
      <c r="F236" s="27" t="s">
        <v>145</v>
      </c>
      <c r="G236" s="27" t="str">
        <f>_xlfn.CONCAT(inicioTerminales[[#This Row],[MARCA CHASIS]]," - ", inicioTerminales[[#This Row],[TIPO BUS]])</f>
        <v>MERCEDES BENZ - BPAL</v>
      </c>
      <c r="H236" s="27" t="s">
        <v>267</v>
      </c>
      <c r="I236" s="52">
        <v>45038</v>
      </c>
      <c r="J236" s="27" t="s">
        <v>830</v>
      </c>
      <c r="K236" s="27" t="s">
        <v>838</v>
      </c>
      <c r="L236" s="27" t="s">
        <v>1369</v>
      </c>
      <c r="M236" s="27" t="s">
        <v>267</v>
      </c>
      <c r="N236" s="27" t="str">
        <f>inicioTerminales[[#This Row],[TIPO BUS]]&amp;"-"&amp;inicioTerminales[[#This Row],[MARCA CHASIS]]</f>
        <v>BPAL-MERCEDES BENZ</v>
      </c>
    </row>
    <row r="237" spans="1:14">
      <c r="A237" s="27" t="s">
        <v>10</v>
      </c>
      <c r="B237" s="27" t="s">
        <v>294</v>
      </c>
      <c r="C237" s="27">
        <v>2005</v>
      </c>
      <c r="D237" s="27" t="s">
        <v>285</v>
      </c>
      <c r="E237" s="27" t="s">
        <v>13</v>
      </c>
      <c r="F237" s="27" t="s">
        <v>145</v>
      </c>
      <c r="G237" s="27" t="str">
        <f>_xlfn.CONCAT(inicioTerminales[[#This Row],[MARCA CHASIS]]," - ", inicioTerminales[[#This Row],[TIPO BUS]])</f>
        <v>MERCEDES BENZ - BPAL</v>
      </c>
      <c r="H237" s="27" t="s">
        <v>267</v>
      </c>
      <c r="I237" s="52">
        <v>45038</v>
      </c>
      <c r="J237" s="27" t="s">
        <v>830</v>
      </c>
      <c r="K237" s="27" t="s">
        <v>838</v>
      </c>
      <c r="L237" s="27" t="s">
        <v>1369</v>
      </c>
      <c r="M237" s="27" t="s">
        <v>267</v>
      </c>
      <c r="N237" s="27" t="str">
        <f>inicioTerminales[[#This Row],[TIPO BUS]]&amp;"-"&amp;inicioTerminales[[#This Row],[MARCA CHASIS]]</f>
        <v>BPAL-MERCEDES BENZ</v>
      </c>
    </row>
    <row r="238" spans="1:14">
      <c r="A238" s="27" t="s">
        <v>10</v>
      </c>
      <c r="B238" s="27" t="s">
        <v>295</v>
      </c>
      <c r="C238" s="27">
        <v>2006</v>
      </c>
      <c r="D238" s="27" t="s">
        <v>285</v>
      </c>
      <c r="E238" s="27" t="s">
        <v>13</v>
      </c>
      <c r="F238" s="27" t="s">
        <v>145</v>
      </c>
      <c r="G238" s="27" t="str">
        <f>_xlfn.CONCAT(inicioTerminales[[#This Row],[MARCA CHASIS]]," - ", inicioTerminales[[#This Row],[TIPO BUS]])</f>
        <v>MERCEDES BENZ - BPAL</v>
      </c>
      <c r="H238" s="27" t="s">
        <v>267</v>
      </c>
      <c r="I238" s="52">
        <v>45038</v>
      </c>
      <c r="J238" s="27" t="s">
        <v>830</v>
      </c>
      <c r="K238" s="27" t="s">
        <v>838</v>
      </c>
      <c r="L238" s="27" t="s">
        <v>1369</v>
      </c>
      <c r="M238" s="27" t="s">
        <v>267</v>
      </c>
      <c r="N238" s="27" t="str">
        <f>inicioTerminales[[#This Row],[TIPO BUS]]&amp;"-"&amp;inicioTerminales[[#This Row],[MARCA CHASIS]]</f>
        <v>BPAL-MERCEDES BENZ</v>
      </c>
    </row>
    <row r="239" spans="1:14">
      <c r="A239" s="27" t="s">
        <v>10</v>
      </c>
      <c r="B239" s="27" t="s">
        <v>296</v>
      </c>
      <c r="C239" s="27">
        <v>2007</v>
      </c>
      <c r="D239" s="27" t="s">
        <v>285</v>
      </c>
      <c r="E239" s="27" t="s">
        <v>13</v>
      </c>
      <c r="F239" s="27" t="s">
        <v>145</v>
      </c>
      <c r="G239" s="27" t="str">
        <f>_xlfn.CONCAT(inicioTerminales[[#This Row],[MARCA CHASIS]]," - ", inicioTerminales[[#This Row],[TIPO BUS]])</f>
        <v>MERCEDES BENZ - BPAL</v>
      </c>
      <c r="H239" s="27" t="s">
        <v>267</v>
      </c>
      <c r="I239" s="52">
        <v>45038</v>
      </c>
      <c r="J239" s="27" t="s">
        <v>830</v>
      </c>
      <c r="K239" s="27" t="s">
        <v>838</v>
      </c>
      <c r="L239" s="27" t="s">
        <v>1369</v>
      </c>
      <c r="M239" s="27" t="s">
        <v>267</v>
      </c>
      <c r="N239" s="27" t="str">
        <f>inicioTerminales[[#This Row],[TIPO BUS]]&amp;"-"&amp;inicioTerminales[[#This Row],[MARCA CHASIS]]</f>
        <v>BPAL-MERCEDES BENZ</v>
      </c>
    </row>
    <row r="240" spans="1:14">
      <c r="A240" s="27" t="s">
        <v>10</v>
      </c>
      <c r="B240" s="27" t="s">
        <v>297</v>
      </c>
      <c r="C240" s="27">
        <v>2008</v>
      </c>
      <c r="D240" s="27" t="s">
        <v>285</v>
      </c>
      <c r="E240" s="27" t="s">
        <v>13</v>
      </c>
      <c r="F240" s="27" t="s">
        <v>145</v>
      </c>
      <c r="G240" s="27" t="str">
        <f>_xlfn.CONCAT(inicioTerminales[[#This Row],[MARCA CHASIS]]," - ", inicioTerminales[[#This Row],[TIPO BUS]])</f>
        <v>MERCEDES BENZ - BPAL</v>
      </c>
      <c r="H240" s="27" t="s">
        <v>267</v>
      </c>
      <c r="I240" s="52">
        <v>45038</v>
      </c>
      <c r="J240" s="27" t="s">
        <v>830</v>
      </c>
      <c r="K240" s="27" t="s">
        <v>838</v>
      </c>
      <c r="L240" s="27" t="s">
        <v>1369</v>
      </c>
      <c r="M240" s="27" t="s">
        <v>267</v>
      </c>
      <c r="N240" s="27" t="str">
        <f>inicioTerminales[[#This Row],[TIPO BUS]]&amp;"-"&amp;inicioTerminales[[#This Row],[MARCA CHASIS]]</f>
        <v>BPAL-MERCEDES BENZ</v>
      </c>
    </row>
    <row r="241" spans="1:14">
      <c r="A241" s="27" t="s">
        <v>10</v>
      </c>
      <c r="B241" s="27" t="s">
        <v>298</v>
      </c>
      <c r="C241" s="27">
        <v>2009</v>
      </c>
      <c r="D241" s="27" t="s">
        <v>285</v>
      </c>
      <c r="E241" s="27" t="s">
        <v>13</v>
      </c>
      <c r="F241" s="27" t="s">
        <v>145</v>
      </c>
      <c r="G241" s="27" t="str">
        <f>_xlfn.CONCAT(inicioTerminales[[#This Row],[MARCA CHASIS]]," - ", inicioTerminales[[#This Row],[TIPO BUS]])</f>
        <v>MERCEDES BENZ - BPAL</v>
      </c>
      <c r="H241" s="27" t="s">
        <v>267</v>
      </c>
      <c r="I241" s="52">
        <v>45038</v>
      </c>
      <c r="J241" s="27" t="s">
        <v>830</v>
      </c>
      <c r="K241" s="27" t="s">
        <v>838</v>
      </c>
      <c r="L241" s="27" t="s">
        <v>1369</v>
      </c>
      <c r="M241" s="27" t="s">
        <v>267</v>
      </c>
      <c r="N241" s="27" t="str">
        <f>inicioTerminales[[#This Row],[TIPO BUS]]&amp;"-"&amp;inicioTerminales[[#This Row],[MARCA CHASIS]]</f>
        <v>BPAL-MERCEDES BENZ</v>
      </c>
    </row>
    <row r="242" spans="1:14">
      <c r="A242" s="27" t="s">
        <v>10</v>
      </c>
      <c r="B242" s="27" t="s">
        <v>299</v>
      </c>
      <c r="C242" s="27">
        <v>2010</v>
      </c>
      <c r="D242" s="27" t="s">
        <v>285</v>
      </c>
      <c r="E242" s="27" t="s">
        <v>13</v>
      </c>
      <c r="F242" s="27" t="s">
        <v>145</v>
      </c>
      <c r="G242" s="27" t="str">
        <f>_xlfn.CONCAT(inicioTerminales[[#This Row],[MARCA CHASIS]]," - ", inicioTerminales[[#This Row],[TIPO BUS]])</f>
        <v>MERCEDES BENZ - BPAL</v>
      </c>
      <c r="H242" s="27" t="s">
        <v>267</v>
      </c>
      <c r="I242" s="52">
        <v>45038</v>
      </c>
      <c r="J242" s="27" t="s">
        <v>830</v>
      </c>
      <c r="K242" s="27" t="s">
        <v>838</v>
      </c>
      <c r="L242" s="27" t="s">
        <v>1369</v>
      </c>
      <c r="M242" s="27" t="s">
        <v>267</v>
      </c>
      <c r="N242" s="27" t="str">
        <f>inicioTerminales[[#This Row],[TIPO BUS]]&amp;"-"&amp;inicioTerminales[[#This Row],[MARCA CHASIS]]</f>
        <v>BPAL-MERCEDES BENZ</v>
      </c>
    </row>
    <row r="243" spans="1:14">
      <c r="A243" s="27" t="s">
        <v>10</v>
      </c>
      <c r="B243" s="27" t="s">
        <v>300</v>
      </c>
      <c r="C243" s="27">
        <v>2011</v>
      </c>
      <c r="D243" s="27" t="s">
        <v>285</v>
      </c>
      <c r="E243" s="27" t="s">
        <v>13</v>
      </c>
      <c r="F243" s="27" t="s">
        <v>145</v>
      </c>
      <c r="G243" s="27" t="str">
        <f>_xlfn.CONCAT(inicioTerminales[[#This Row],[MARCA CHASIS]]," - ", inicioTerminales[[#This Row],[TIPO BUS]])</f>
        <v>MERCEDES BENZ - BPAL</v>
      </c>
      <c r="H243" s="27" t="s">
        <v>267</v>
      </c>
      <c r="I243" s="52">
        <v>45038</v>
      </c>
      <c r="J243" s="27" t="s">
        <v>830</v>
      </c>
      <c r="K243" s="27" t="s">
        <v>838</v>
      </c>
      <c r="L243" s="27" t="s">
        <v>1369</v>
      </c>
      <c r="M243" s="27" t="s">
        <v>267</v>
      </c>
      <c r="N243" s="27" t="str">
        <f>inicioTerminales[[#This Row],[TIPO BUS]]&amp;"-"&amp;inicioTerminales[[#This Row],[MARCA CHASIS]]</f>
        <v>BPAL-MERCEDES BENZ</v>
      </c>
    </row>
    <row r="244" spans="1:14">
      <c r="A244" s="27" t="s">
        <v>10</v>
      </c>
      <c r="B244" s="27" t="s">
        <v>301</v>
      </c>
      <c r="C244" s="27">
        <v>2012</v>
      </c>
      <c r="D244" s="27" t="s">
        <v>285</v>
      </c>
      <c r="E244" s="27" t="s">
        <v>13</v>
      </c>
      <c r="F244" s="27" t="s">
        <v>145</v>
      </c>
      <c r="G244" s="27" t="str">
        <f>_xlfn.CONCAT(inicioTerminales[[#This Row],[MARCA CHASIS]]," - ", inicioTerminales[[#This Row],[TIPO BUS]])</f>
        <v>MERCEDES BENZ - BPAL</v>
      </c>
      <c r="H244" s="27" t="s">
        <v>267</v>
      </c>
      <c r="I244" s="52">
        <v>45038</v>
      </c>
      <c r="J244" s="27" t="s">
        <v>830</v>
      </c>
      <c r="K244" s="27" t="s">
        <v>838</v>
      </c>
      <c r="L244" s="27" t="s">
        <v>1369</v>
      </c>
      <c r="M244" s="27" t="s">
        <v>267</v>
      </c>
      <c r="N244" s="27" t="str">
        <f>inicioTerminales[[#This Row],[TIPO BUS]]&amp;"-"&amp;inicioTerminales[[#This Row],[MARCA CHASIS]]</f>
        <v>BPAL-MERCEDES BENZ</v>
      </c>
    </row>
    <row r="245" spans="1:14">
      <c r="A245" s="27" t="s">
        <v>10</v>
      </c>
      <c r="B245" s="27" t="s">
        <v>302</v>
      </c>
      <c r="C245" s="27">
        <v>2013</v>
      </c>
      <c r="D245" s="27" t="s">
        <v>285</v>
      </c>
      <c r="E245" s="27" t="s">
        <v>13</v>
      </c>
      <c r="F245" s="27" t="s">
        <v>145</v>
      </c>
      <c r="G245" s="27" t="str">
        <f>_xlfn.CONCAT(inicioTerminales[[#This Row],[MARCA CHASIS]]," - ", inicioTerminales[[#This Row],[TIPO BUS]])</f>
        <v>MERCEDES BENZ - BPAL</v>
      </c>
      <c r="H245" s="27" t="s">
        <v>267</v>
      </c>
      <c r="I245" s="52">
        <v>45038</v>
      </c>
      <c r="J245" s="27" t="s">
        <v>830</v>
      </c>
      <c r="K245" s="27" t="s">
        <v>838</v>
      </c>
      <c r="L245" s="27" t="s">
        <v>1369</v>
      </c>
      <c r="M245" s="27" t="s">
        <v>267</v>
      </c>
      <c r="N245" s="27" t="str">
        <f>inicioTerminales[[#This Row],[TIPO BUS]]&amp;"-"&amp;inicioTerminales[[#This Row],[MARCA CHASIS]]</f>
        <v>BPAL-MERCEDES BENZ</v>
      </c>
    </row>
    <row r="246" spans="1:14">
      <c r="A246" s="27" t="s">
        <v>10</v>
      </c>
      <c r="B246" s="27" t="s">
        <v>303</v>
      </c>
      <c r="C246" s="27">
        <v>2014</v>
      </c>
      <c r="D246" s="27" t="s">
        <v>285</v>
      </c>
      <c r="E246" s="27" t="s">
        <v>13</v>
      </c>
      <c r="F246" s="27" t="s">
        <v>145</v>
      </c>
      <c r="G246" s="27" t="str">
        <f>_xlfn.CONCAT(inicioTerminales[[#This Row],[MARCA CHASIS]]," - ", inicioTerminales[[#This Row],[TIPO BUS]])</f>
        <v>MERCEDES BENZ - BPAL</v>
      </c>
      <c r="H246" s="27" t="s">
        <v>267</v>
      </c>
      <c r="I246" s="52">
        <v>45038</v>
      </c>
      <c r="J246" s="27" t="s">
        <v>830</v>
      </c>
      <c r="K246" s="27" t="s">
        <v>838</v>
      </c>
      <c r="L246" s="27" t="s">
        <v>1369</v>
      </c>
      <c r="M246" s="27" t="s">
        <v>267</v>
      </c>
      <c r="N246" s="27" t="str">
        <f>inicioTerminales[[#This Row],[TIPO BUS]]&amp;"-"&amp;inicioTerminales[[#This Row],[MARCA CHASIS]]</f>
        <v>BPAL-MERCEDES BENZ</v>
      </c>
    </row>
    <row r="247" spans="1:14">
      <c r="A247" s="27" t="s">
        <v>10</v>
      </c>
      <c r="B247" s="27" t="s">
        <v>304</v>
      </c>
      <c r="C247" s="27">
        <v>2015</v>
      </c>
      <c r="D247" s="27" t="s">
        <v>285</v>
      </c>
      <c r="E247" s="27" t="s">
        <v>13</v>
      </c>
      <c r="F247" s="27" t="s">
        <v>145</v>
      </c>
      <c r="G247" s="27" t="str">
        <f>_xlfn.CONCAT(inicioTerminales[[#This Row],[MARCA CHASIS]]," - ", inicioTerminales[[#This Row],[TIPO BUS]])</f>
        <v>MERCEDES BENZ - BPAL</v>
      </c>
      <c r="H247" s="27" t="s">
        <v>267</v>
      </c>
      <c r="I247" s="52">
        <v>45038</v>
      </c>
      <c r="J247" s="27" t="s">
        <v>830</v>
      </c>
      <c r="K247" s="27" t="s">
        <v>838</v>
      </c>
      <c r="L247" s="27" t="s">
        <v>1369</v>
      </c>
      <c r="M247" s="27" t="s">
        <v>267</v>
      </c>
      <c r="N247" s="27" t="str">
        <f>inicioTerminales[[#This Row],[TIPO BUS]]&amp;"-"&amp;inicioTerminales[[#This Row],[MARCA CHASIS]]</f>
        <v>BPAL-MERCEDES BENZ</v>
      </c>
    </row>
    <row r="248" spans="1:14">
      <c r="A248" s="27" t="s">
        <v>10</v>
      </c>
      <c r="B248" s="27" t="s">
        <v>305</v>
      </c>
      <c r="C248" s="27">
        <v>2016</v>
      </c>
      <c r="D248" s="27" t="s">
        <v>285</v>
      </c>
      <c r="E248" s="27" t="s">
        <v>13</v>
      </c>
      <c r="F248" s="27" t="s">
        <v>145</v>
      </c>
      <c r="G248" s="27" t="str">
        <f>_xlfn.CONCAT(inicioTerminales[[#This Row],[MARCA CHASIS]]," - ", inicioTerminales[[#This Row],[TIPO BUS]])</f>
        <v>MERCEDES BENZ - BPAL</v>
      </c>
      <c r="H248" s="27" t="s">
        <v>267</v>
      </c>
      <c r="I248" s="52">
        <v>45038</v>
      </c>
      <c r="J248" s="27" t="s">
        <v>830</v>
      </c>
      <c r="K248" s="27" t="s">
        <v>838</v>
      </c>
      <c r="L248" s="27" t="s">
        <v>1369</v>
      </c>
      <c r="M248" s="27" t="s">
        <v>267</v>
      </c>
      <c r="N248" s="27" t="str">
        <f>inicioTerminales[[#This Row],[TIPO BUS]]&amp;"-"&amp;inicioTerminales[[#This Row],[MARCA CHASIS]]</f>
        <v>BPAL-MERCEDES BENZ</v>
      </c>
    </row>
    <row r="249" spans="1:14">
      <c r="A249" s="27" t="s">
        <v>10</v>
      </c>
      <c r="B249" s="27" t="s">
        <v>828</v>
      </c>
      <c r="C249" s="27">
        <v>2017</v>
      </c>
      <c r="D249" s="27" t="s">
        <v>285</v>
      </c>
      <c r="E249" s="27" t="s">
        <v>13</v>
      </c>
      <c r="F249" s="27" t="s">
        <v>145</v>
      </c>
      <c r="G249" s="27" t="str">
        <f>_xlfn.CONCAT(inicioTerminales[[#This Row],[MARCA CHASIS]]," - ", inicioTerminales[[#This Row],[TIPO BUS]])</f>
        <v>MERCEDES BENZ - BPAL</v>
      </c>
      <c r="H249" s="27" t="s">
        <v>267</v>
      </c>
      <c r="I249" s="52">
        <v>45038</v>
      </c>
      <c r="J249" s="27" t="s">
        <v>830</v>
      </c>
      <c r="K249" s="27" t="s">
        <v>838</v>
      </c>
      <c r="L249" s="27" t="s">
        <v>1369</v>
      </c>
      <c r="M249" s="27" t="s">
        <v>267</v>
      </c>
      <c r="N249" s="27" t="str">
        <f>inicioTerminales[[#This Row],[TIPO BUS]]&amp;"-"&amp;inicioTerminales[[#This Row],[MARCA CHASIS]]</f>
        <v>BPAL-MERCEDES BENZ</v>
      </c>
    </row>
    <row r="250" spans="1:14">
      <c r="A250" s="27" t="s">
        <v>10</v>
      </c>
      <c r="B250" s="27" t="s">
        <v>306</v>
      </c>
      <c r="C250" s="27">
        <v>2018</v>
      </c>
      <c r="D250" s="27" t="s">
        <v>285</v>
      </c>
      <c r="E250" s="27" t="s">
        <v>13</v>
      </c>
      <c r="F250" s="27" t="s">
        <v>145</v>
      </c>
      <c r="G250" s="27" t="str">
        <f>_xlfn.CONCAT(inicioTerminales[[#This Row],[MARCA CHASIS]]," - ", inicioTerminales[[#This Row],[TIPO BUS]])</f>
        <v>MERCEDES BENZ - BPAL</v>
      </c>
      <c r="H250" s="27" t="s">
        <v>267</v>
      </c>
      <c r="I250" s="52">
        <v>45038</v>
      </c>
      <c r="J250" s="27" t="s">
        <v>830</v>
      </c>
      <c r="K250" s="27" t="s">
        <v>838</v>
      </c>
      <c r="L250" s="27" t="s">
        <v>1369</v>
      </c>
      <c r="M250" s="27" t="s">
        <v>267</v>
      </c>
      <c r="N250" s="27" t="str">
        <f>inicioTerminales[[#This Row],[TIPO BUS]]&amp;"-"&amp;inicioTerminales[[#This Row],[MARCA CHASIS]]</f>
        <v>BPAL-MERCEDES BENZ</v>
      </c>
    </row>
    <row r="251" spans="1:14">
      <c r="A251" s="27" t="s">
        <v>10</v>
      </c>
      <c r="B251" s="27" t="s">
        <v>831</v>
      </c>
      <c r="C251" s="27">
        <v>2019</v>
      </c>
      <c r="D251" s="27" t="s">
        <v>285</v>
      </c>
      <c r="E251" s="27" t="s">
        <v>13</v>
      </c>
      <c r="F251" s="27" t="s">
        <v>145</v>
      </c>
      <c r="G251" s="27" t="str">
        <f>_xlfn.CONCAT(inicioTerminales[[#This Row],[MARCA CHASIS]]," - ", inicioTerminales[[#This Row],[TIPO BUS]])</f>
        <v>MERCEDES BENZ - BPAL</v>
      </c>
      <c r="H251" s="27" t="s">
        <v>267</v>
      </c>
      <c r="I251" s="52">
        <v>45038</v>
      </c>
      <c r="J251" s="27" t="s">
        <v>830</v>
      </c>
      <c r="K251" s="27" t="s">
        <v>838</v>
      </c>
      <c r="L251" s="27" t="s">
        <v>1369</v>
      </c>
      <c r="M251" s="27" t="s">
        <v>267</v>
      </c>
      <c r="N251" s="27" t="str">
        <f>inicioTerminales[[#This Row],[TIPO BUS]]&amp;"-"&amp;inicioTerminales[[#This Row],[MARCA CHASIS]]</f>
        <v>BPAL-MERCEDES BENZ</v>
      </c>
    </row>
    <row r="252" spans="1:14">
      <c r="A252" s="27" t="s">
        <v>10</v>
      </c>
      <c r="B252" s="27" t="s">
        <v>307</v>
      </c>
      <c r="C252" s="27">
        <v>2020</v>
      </c>
      <c r="D252" s="27" t="s">
        <v>285</v>
      </c>
      <c r="E252" s="27" t="s">
        <v>13</v>
      </c>
      <c r="F252" s="27" t="s">
        <v>145</v>
      </c>
      <c r="G252" s="27" t="str">
        <f>_xlfn.CONCAT(inicioTerminales[[#This Row],[MARCA CHASIS]]," - ", inicioTerminales[[#This Row],[TIPO BUS]])</f>
        <v>MERCEDES BENZ - BPAL</v>
      </c>
      <c r="H252" s="27" t="s">
        <v>267</v>
      </c>
      <c r="I252" s="52">
        <v>45038</v>
      </c>
      <c r="J252" s="27" t="s">
        <v>830</v>
      </c>
      <c r="K252" s="27" t="s">
        <v>838</v>
      </c>
      <c r="L252" s="27" t="s">
        <v>1369</v>
      </c>
      <c r="M252" s="27" t="s">
        <v>267</v>
      </c>
      <c r="N252" s="27" t="str">
        <f>inicioTerminales[[#This Row],[TIPO BUS]]&amp;"-"&amp;inicioTerminales[[#This Row],[MARCA CHASIS]]</f>
        <v>BPAL-MERCEDES BENZ</v>
      </c>
    </row>
    <row r="253" spans="1:14">
      <c r="A253" s="27" t="s">
        <v>10</v>
      </c>
      <c r="B253" s="27" t="s">
        <v>308</v>
      </c>
      <c r="C253" s="27">
        <v>2021</v>
      </c>
      <c r="D253" s="27" t="s">
        <v>285</v>
      </c>
      <c r="E253" s="27" t="s">
        <v>25</v>
      </c>
      <c r="F253" s="27" t="s">
        <v>145</v>
      </c>
      <c r="G253" s="27" t="str">
        <f>_xlfn.CONCAT(inicioTerminales[[#This Row],[MARCA CHASIS]]," - ", inicioTerminales[[#This Row],[TIPO BUS]])</f>
        <v>MERCEDES BENZ - BPAL</v>
      </c>
      <c r="H253" s="27" t="s">
        <v>267</v>
      </c>
      <c r="I253" s="52">
        <v>45038</v>
      </c>
      <c r="J253" s="27" t="s">
        <v>830</v>
      </c>
      <c r="K253" s="27" t="s">
        <v>838</v>
      </c>
      <c r="L253" s="27" t="s">
        <v>1369</v>
      </c>
      <c r="M253" s="27" t="s">
        <v>267</v>
      </c>
      <c r="N253" s="27" t="str">
        <f>inicioTerminales[[#This Row],[TIPO BUS]]&amp;"-"&amp;inicioTerminales[[#This Row],[MARCA CHASIS]]</f>
        <v>BPAL-MERCEDES BENZ</v>
      </c>
    </row>
    <row r="254" spans="1:14">
      <c r="A254" s="27" t="s">
        <v>10</v>
      </c>
      <c r="B254" s="27" t="s">
        <v>309</v>
      </c>
      <c r="C254" s="27">
        <v>2022</v>
      </c>
      <c r="D254" s="27" t="s">
        <v>285</v>
      </c>
      <c r="E254" s="27" t="s">
        <v>25</v>
      </c>
      <c r="F254" s="27" t="s">
        <v>145</v>
      </c>
      <c r="G254" s="27" t="str">
        <f>_xlfn.CONCAT(inicioTerminales[[#This Row],[MARCA CHASIS]]," - ", inicioTerminales[[#This Row],[TIPO BUS]])</f>
        <v>MERCEDES BENZ - BPAL</v>
      </c>
      <c r="H254" s="27" t="s">
        <v>267</v>
      </c>
      <c r="I254" s="52">
        <v>45038</v>
      </c>
      <c r="J254" s="27" t="s">
        <v>830</v>
      </c>
      <c r="K254" s="27" t="s">
        <v>838</v>
      </c>
      <c r="L254" s="27" t="s">
        <v>1369</v>
      </c>
      <c r="M254" s="27" t="s">
        <v>267</v>
      </c>
      <c r="N254" s="27" t="str">
        <f>inicioTerminales[[#This Row],[TIPO BUS]]&amp;"-"&amp;inicioTerminales[[#This Row],[MARCA CHASIS]]</f>
        <v>BPAL-MERCEDES BENZ</v>
      </c>
    </row>
    <row r="255" spans="1:14">
      <c r="A255" s="27" t="s">
        <v>10</v>
      </c>
      <c r="B255" s="27" t="s">
        <v>310</v>
      </c>
      <c r="C255" s="27">
        <v>2023</v>
      </c>
      <c r="D255" s="27" t="s">
        <v>285</v>
      </c>
      <c r="E255" s="27" t="s">
        <v>13</v>
      </c>
      <c r="F255" s="27" t="s">
        <v>145</v>
      </c>
      <c r="G255" s="27" t="str">
        <f>_xlfn.CONCAT(inicioTerminales[[#This Row],[MARCA CHASIS]]," - ", inicioTerminales[[#This Row],[TIPO BUS]])</f>
        <v>MERCEDES BENZ - BPAL</v>
      </c>
      <c r="H255" s="27" t="s">
        <v>267</v>
      </c>
      <c r="I255" s="52">
        <v>45038</v>
      </c>
      <c r="J255" s="27" t="s">
        <v>830</v>
      </c>
      <c r="K255" s="27" t="s">
        <v>838</v>
      </c>
      <c r="L255" s="27" t="s">
        <v>1369</v>
      </c>
      <c r="M255" s="27" t="s">
        <v>267</v>
      </c>
      <c r="N255" s="27" t="str">
        <f>inicioTerminales[[#This Row],[TIPO BUS]]&amp;"-"&amp;inicioTerminales[[#This Row],[MARCA CHASIS]]</f>
        <v>BPAL-MERCEDES BENZ</v>
      </c>
    </row>
    <row r="256" spans="1:14">
      <c r="A256" s="27" t="s">
        <v>10</v>
      </c>
      <c r="B256" s="27" t="s">
        <v>311</v>
      </c>
      <c r="C256" s="27">
        <v>2024</v>
      </c>
      <c r="D256" s="27" t="s">
        <v>285</v>
      </c>
      <c r="E256" s="27" t="s">
        <v>13</v>
      </c>
      <c r="F256" s="27" t="s">
        <v>145</v>
      </c>
      <c r="G256" s="27" t="str">
        <f>_xlfn.CONCAT(inicioTerminales[[#This Row],[MARCA CHASIS]]," - ", inicioTerminales[[#This Row],[TIPO BUS]])</f>
        <v>MERCEDES BENZ - BPAL</v>
      </c>
      <c r="H256" s="27" t="s">
        <v>267</v>
      </c>
      <c r="I256" s="52">
        <v>45038</v>
      </c>
      <c r="J256" s="27" t="s">
        <v>830</v>
      </c>
      <c r="K256" s="27" t="s">
        <v>838</v>
      </c>
      <c r="L256" s="27" t="s">
        <v>1369</v>
      </c>
      <c r="M256" s="27" t="s">
        <v>267</v>
      </c>
      <c r="N256" s="27" t="str">
        <f>inicioTerminales[[#This Row],[TIPO BUS]]&amp;"-"&amp;inicioTerminales[[#This Row],[MARCA CHASIS]]</f>
        <v>BPAL-MERCEDES BENZ</v>
      </c>
    </row>
    <row r="257" spans="1:14">
      <c r="A257" s="27" t="s">
        <v>10</v>
      </c>
      <c r="B257" s="27" t="s">
        <v>312</v>
      </c>
      <c r="C257" s="27">
        <v>2025</v>
      </c>
      <c r="D257" s="27" t="s">
        <v>285</v>
      </c>
      <c r="E257" s="27" t="s">
        <v>13</v>
      </c>
      <c r="F257" s="27" t="s">
        <v>145</v>
      </c>
      <c r="G257" s="27" t="str">
        <f>_xlfn.CONCAT(inicioTerminales[[#This Row],[MARCA CHASIS]]," - ", inicioTerminales[[#This Row],[TIPO BUS]])</f>
        <v>MERCEDES BENZ - BPAL</v>
      </c>
      <c r="H257" s="27" t="s">
        <v>267</v>
      </c>
      <c r="I257" s="52">
        <v>45038</v>
      </c>
      <c r="J257" s="27" t="s">
        <v>830</v>
      </c>
      <c r="K257" s="27" t="s">
        <v>838</v>
      </c>
      <c r="L257" s="27" t="s">
        <v>1369</v>
      </c>
      <c r="M257" s="27" t="s">
        <v>267</v>
      </c>
      <c r="N257" s="27" t="str">
        <f>inicioTerminales[[#This Row],[TIPO BUS]]&amp;"-"&amp;inicioTerminales[[#This Row],[MARCA CHASIS]]</f>
        <v>BPAL-MERCEDES BENZ</v>
      </c>
    </row>
    <row r="258" spans="1:14">
      <c r="A258" s="27" t="s">
        <v>10</v>
      </c>
      <c r="B258" s="27" t="s">
        <v>62</v>
      </c>
      <c r="C258" s="27">
        <v>2042</v>
      </c>
      <c r="D258" s="27" t="s">
        <v>34</v>
      </c>
      <c r="E258" s="27" t="s">
        <v>13</v>
      </c>
      <c r="F258" s="27" t="s">
        <v>36</v>
      </c>
      <c r="G258" s="27" t="str">
        <f>_xlfn.CONCAT(inicioTerminales[[#This Row],[MARCA CHASIS]]," - ", inicioTerminales[[#This Row],[TIPO BUS]])</f>
        <v>SCANIA - B2</v>
      </c>
      <c r="H258" s="27" t="s">
        <v>267</v>
      </c>
      <c r="I258" s="52">
        <v>44912</v>
      </c>
      <c r="J258" s="27" t="s">
        <v>830</v>
      </c>
      <c r="K258" s="27" t="s">
        <v>838</v>
      </c>
      <c r="L258" s="27" t="s">
        <v>1369</v>
      </c>
      <c r="M258" s="27" t="s">
        <v>267</v>
      </c>
      <c r="N258" s="27" t="str">
        <f>inicioTerminales[[#This Row],[TIPO BUS]]&amp;"-"&amp;inicioTerminales[[#This Row],[MARCA CHASIS]]</f>
        <v>B2-SCANIA</v>
      </c>
    </row>
    <row r="259" spans="1:14">
      <c r="A259" s="27" t="s">
        <v>10</v>
      </c>
      <c r="B259" s="27" t="s">
        <v>63</v>
      </c>
      <c r="C259" s="27">
        <v>2043</v>
      </c>
      <c r="D259" s="27" t="s">
        <v>34</v>
      </c>
      <c r="E259" s="27" t="s">
        <v>13</v>
      </c>
      <c r="F259" s="27" t="s">
        <v>36</v>
      </c>
      <c r="G259" s="27" t="str">
        <f>_xlfn.CONCAT(inicioTerminales[[#This Row],[MARCA CHASIS]]," - ", inicioTerminales[[#This Row],[TIPO BUS]])</f>
        <v>SCANIA - B2</v>
      </c>
      <c r="H259" s="27" t="s">
        <v>267</v>
      </c>
      <c r="I259" s="52">
        <v>44912</v>
      </c>
      <c r="J259" s="27" t="s">
        <v>830</v>
      </c>
      <c r="K259" s="27" t="s">
        <v>838</v>
      </c>
      <c r="L259" s="27" t="s">
        <v>1369</v>
      </c>
      <c r="M259" s="27" t="s">
        <v>267</v>
      </c>
      <c r="N259" s="27" t="str">
        <f>inicioTerminales[[#This Row],[TIPO BUS]]&amp;"-"&amp;inicioTerminales[[#This Row],[MARCA CHASIS]]</f>
        <v>B2-SCANIA</v>
      </c>
    </row>
    <row r="260" spans="1:14">
      <c r="A260" s="27" t="s">
        <v>10</v>
      </c>
      <c r="B260" s="27" t="s">
        <v>65</v>
      </c>
      <c r="C260" s="27">
        <v>2044</v>
      </c>
      <c r="D260" s="27" t="s">
        <v>34</v>
      </c>
      <c r="E260" s="27" t="s">
        <v>13</v>
      </c>
      <c r="F260" s="27" t="s">
        <v>36</v>
      </c>
      <c r="G260" s="27" t="str">
        <f>_xlfn.CONCAT(inicioTerminales[[#This Row],[MARCA CHASIS]]," - ", inicioTerminales[[#This Row],[TIPO BUS]])</f>
        <v>SCANIA - B2</v>
      </c>
      <c r="H260" s="27" t="s">
        <v>267</v>
      </c>
      <c r="I260" s="52">
        <v>44933</v>
      </c>
      <c r="J260" s="27" t="s">
        <v>830</v>
      </c>
      <c r="K260" s="27" t="s">
        <v>838</v>
      </c>
      <c r="L260" s="27" t="s">
        <v>1369</v>
      </c>
      <c r="M260" s="27" t="s">
        <v>267</v>
      </c>
      <c r="N260" s="27" t="str">
        <f>inicioTerminales[[#This Row],[TIPO BUS]]&amp;"-"&amp;inicioTerminales[[#This Row],[MARCA CHASIS]]</f>
        <v>B2-SCANIA</v>
      </c>
    </row>
    <row r="261" spans="1:14">
      <c r="A261" s="27" t="s">
        <v>10</v>
      </c>
      <c r="B261" s="27" t="s">
        <v>66</v>
      </c>
      <c r="C261" s="27">
        <v>2045</v>
      </c>
      <c r="D261" s="27" t="s">
        <v>34</v>
      </c>
      <c r="E261" s="27" t="s">
        <v>13</v>
      </c>
      <c r="F261" s="27" t="s">
        <v>36</v>
      </c>
      <c r="G261" s="27" t="str">
        <f>_xlfn.CONCAT(inicioTerminales[[#This Row],[MARCA CHASIS]]," - ", inicioTerminales[[#This Row],[TIPO BUS]])</f>
        <v>SCANIA - B2</v>
      </c>
      <c r="H261" s="27" t="s">
        <v>267</v>
      </c>
      <c r="I261" s="52">
        <v>44912</v>
      </c>
      <c r="J261" s="27" t="s">
        <v>830</v>
      </c>
      <c r="K261" s="27" t="s">
        <v>838</v>
      </c>
      <c r="L261" s="27" t="s">
        <v>1369</v>
      </c>
      <c r="M261" s="27" t="s">
        <v>267</v>
      </c>
      <c r="N261" s="27" t="str">
        <f>inicioTerminales[[#This Row],[TIPO BUS]]&amp;"-"&amp;inicioTerminales[[#This Row],[MARCA CHASIS]]</f>
        <v>B2-SCANIA</v>
      </c>
    </row>
    <row r="262" spans="1:14">
      <c r="A262" s="27" t="s">
        <v>10</v>
      </c>
      <c r="B262" s="27" t="s">
        <v>67</v>
      </c>
      <c r="C262" s="27">
        <v>2047</v>
      </c>
      <c r="D262" s="27" t="s">
        <v>34</v>
      </c>
      <c r="E262" s="27" t="s">
        <v>13</v>
      </c>
      <c r="F262" s="27" t="s">
        <v>36</v>
      </c>
      <c r="G262" s="27" t="str">
        <f>_xlfn.CONCAT(inicioTerminales[[#This Row],[MARCA CHASIS]]," - ", inicioTerminales[[#This Row],[TIPO BUS]])</f>
        <v>SCANIA - B2</v>
      </c>
      <c r="H262" s="27" t="s">
        <v>267</v>
      </c>
      <c r="I262" s="52">
        <v>44912</v>
      </c>
      <c r="J262" s="27" t="s">
        <v>830</v>
      </c>
      <c r="K262" s="27" t="s">
        <v>838</v>
      </c>
      <c r="L262" s="27" t="s">
        <v>1369</v>
      </c>
      <c r="M262" s="27" t="s">
        <v>267</v>
      </c>
      <c r="N262" s="27" t="str">
        <f>inicioTerminales[[#This Row],[TIPO BUS]]&amp;"-"&amp;inicioTerminales[[#This Row],[MARCA CHASIS]]</f>
        <v>B2-SCANIA</v>
      </c>
    </row>
    <row r="263" spans="1:14">
      <c r="A263" s="27" t="s">
        <v>10</v>
      </c>
      <c r="B263" s="27" t="s">
        <v>68</v>
      </c>
      <c r="C263" s="27">
        <v>2048</v>
      </c>
      <c r="D263" s="27" t="s">
        <v>34</v>
      </c>
      <c r="E263" s="27" t="s">
        <v>13</v>
      </c>
      <c r="F263" s="27" t="s">
        <v>36</v>
      </c>
      <c r="G263" s="27" t="str">
        <f>_xlfn.CONCAT(inicioTerminales[[#This Row],[MARCA CHASIS]]," - ", inicioTerminales[[#This Row],[TIPO BUS]])</f>
        <v>SCANIA - B2</v>
      </c>
      <c r="H263" s="27" t="s">
        <v>267</v>
      </c>
      <c r="I263" s="52">
        <v>44912</v>
      </c>
      <c r="J263" s="27" t="s">
        <v>830</v>
      </c>
      <c r="K263" s="27" t="s">
        <v>838</v>
      </c>
      <c r="L263" s="27" t="s">
        <v>1369</v>
      </c>
      <c r="M263" s="27" t="s">
        <v>267</v>
      </c>
      <c r="N263" s="27" t="str">
        <f>inicioTerminales[[#This Row],[TIPO BUS]]&amp;"-"&amp;inicioTerminales[[#This Row],[MARCA CHASIS]]</f>
        <v>B2-SCANIA</v>
      </c>
    </row>
    <row r="264" spans="1:14">
      <c r="A264" s="27" t="s">
        <v>10</v>
      </c>
      <c r="B264" s="27" t="s">
        <v>69</v>
      </c>
      <c r="C264" s="27">
        <v>2049</v>
      </c>
      <c r="D264" s="27" t="s">
        <v>34</v>
      </c>
      <c r="E264" s="27" t="s">
        <v>13</v>
      </c>
      <c r="F264" s="27" t="s">
        <v>36</v>
      </c>
      <c r="G264" s="27" t="str">
        <f>_xlfn.CONCAT(inicioTerminales[[#This Row],[MARCA CHASIS]]," - ", inicioTerminales[[#This Row],[TIPO BUS]])</f>
        <v>SCANIA - B2</v>
      </c>
      <c r="H264" s="27" t="s">
        <v>267</v>
      </c>
      <c r="I264" s="52">
        <v>44912</v>
      </c>
      <c r="J264" s="27" t="s">
        <v>830</v>
      </c>
      <c r="K264" s="27" t="s">
        <v>838</v>
      </c>
      <c r="L264" s="27" t="s">
        <v>1369</v>
      </c>
      <c r="M264" s="27" t="s">
        <v>267</v>
      </c>
      <c r="N264" s="27" t="str">
        <f>inicioTerminales[[#This Row],[TIPO BUS]]&amp;"-"&amp;inicioTerminales[[#This Row],[MARCA CHASIS]]</f>
        <v>B2-SCANIA</v>
      </c>
    </row>
    <row r="265" spans="1:14">
      <c r="A265" s="27" t="s">
        <v>10</v>
      </c>
      <c r="B265" s="27" t="s">
        <v>70</v>
      </c>
      <c r="C265" s="27">
        <v>2050</v>
      </c>
      <c r="D265" s="27" t="s">
        <v>34</v>
      </c>
      <c r="E265" s="27" t="s">
        <v>13</v>
      </c>
      <c r="F265" s="27" t="s">
        <v>36</v>
      </c>
      <c r="G265" s="27" t="str">
        <f>_xlfn.CONCAT(inicioTerminales[[#This Row],[MARCA CHASIS]]," - ", inicioTerminales[[#This Row],[TIPO BUS]])</f>
        <v>SCANIA - B2</v>
      </c>
      <c r="H265" s="27" t="s">
        <v>267</v>
      </c>
      <c r="I265" s="52">
        <v>44912</v>
      </c>
      <c r="J265" s="27" t="s">
        <v>830</v>
      </c>
      <c r="K265" s="27" t="s">
        <v>838</v>
      </c>
      <c r="L265" s="27" t="s">
        <v>1369</v>
      </c>
      <c r="M265" s="27" t="s">
        <v>267</v>
      </c>
      <c r="N265" s="27" t="str">
        <f>inicioTerminales[[#This Row],[TIPO BUS]]&amp;"-"&amp;inicioTerminales[[#This Row],[MARCA CHASIS]]</f>
        <v>B2-SCANIA</v>
      </c>
    </row>
    <row r="266" spans="1:14">
      <c r="A266" s="27" t="s">
        <v>10</v>
      </c>
      <c r="B266" s="27" t="s">
        <v>71</v>
      </c>
      <c r="C266" s="27">
        <v>2051</v>
      </c>
      <c r="D266" s="27" t="s">
        <v>34</v>
      </c>
      <c r="E266" s="27" t="s">
        <v>13</v>
      </c>
      <c r="F266" s="27" t="s">
        <v>36</v>
      </c>
      <c r="G266" s="27" t="str">
        <f>_xlfn.CONCAT(inicioTerminales[[#This Row],[MARCA CHASIS]]," - ", inicioTerminales[[#This Row],[TIPO BUS]])</f>
        <v>SCANIA - B2</v>
      </c>
      <c r="H266" s="27" t="s">
        <v>267</v>
      </c>
      <c r="I266" s="52">
        <v>44912</v>
      </c>
      <c r="J266" s="27" t="s">
        <v>830</v>
      </c>
      <c r="K266" s="27" t="s">
        <v>838</v>
      </c>
      <c r="L266" s="27" t="s">
        <v>1369</v>
      </c>
      <c r="M266" s="27" t="s">
        <v>267</v>
      </c>
      <c r="N266" s="27" t="str">
        <f>inicioTerminales[[#This Row],[TIPO BUS]]&amp;"-"&amp;inicioTerminales[[#This Row],[MARCA CHASIS]]</f>
        <v>B2-SCANIA</v>
      </c>
    </row>
    <row r="267" spans="1:14">
      <c r="A267" s="27" t="s">
        <v>10</v>
      </c>
      <c r="B267" s="27" t="s">
        <v>72</v>
      </c>
      <c r="C267" s="27">
        <v>2052</v>
      </c>
      <c r="D267" s="27" t="s">
        <v>34</v>
      </c>
      <c r="E267" s="27" t="s">
        <v>13</v>
      </c>
      <c r="F267" s="27" t="s">
        <v>36</v>
      </c>
      <c r="G267" s="27" t="str">
        <f>_xlfn.CONCAT(inicioTerminales[[#This Row],[MARCA CHASIS]]," - ", inicioTerminales[[#This Row],[TIPO BUS]])</f>
        <v>SCANIA - B2</v>
      </c>
      <c r="H267" s="27" t="s">
        <v>267</v>
      </c>
      <c r="I267" s="52">
        <v>44912</v>
      </c>
      <c r="J267" s="27" t="s">
        <v>830</v>
      </c>
      <c r="K267" s="27" t="s">
        <v>838</v>
      </c>
      <c r="L267" s="27" t="s">
        <v>1369</v>
      </c>
      <c r="M267" s="27" t="s">
        <v>267</v>
      </c>
      <c r="N267" s="27" t="str">
        <f>inicioTerminales[[#This Row],[TIPO BUS]]&amp;"-"&amp;inicioTerminales[[#This Row],[MARCA CHASIS]]</f>
        <v>B2-SCANIA</v>
      </c>
    </row>
    <row r="268" spans="1:14">
      <c r="A268" s="27" t="s">
        <v>10</v>
      </c>
      <c r="B268" s="27" t="s">
        <v>73</v>
      </c>
      <c r="C268" s="27">
        <v>2053</v>
      </c>
      <c r="D268" s="27" t="s">
        <v>34</v>
      </c>
      <c r="E268" s="27" t="s">
        <v>13</v>
      </c>
      <c r="F268" s="27" t="s">
        <v>36</v>
      </c>
      <c r="G268" s="27" t="str">
        <f>_xlfn.CONCAT(inicioTerminales[[#This Row],[MARCA CHASIS]]," - ", inicioTerminales[[#This Row],[TIPO BUS]])</f>
        <v>SCANIA - B2</v>
      </c>
      <c r="H268" s="27" t="s">
        <v>267</v>
      </c>
      <c r="I268" s="52">
        <v>44912</v>
      </c>
      <c r="J268" s="27" t="s">
        <v>830</v>
      </c>
      <c r="K268" s="27" t="s">
        <v>838</v>
      </c>
      <c r="L268" s="27" t="s">
        <v>1369</v>
      </c>
      <c r="M268" s="27" t="s">
        <v>267</v>
      </c>
      <c r="N268" s="27" t="str">
        <f>inicioTerminales[[#This Row],[TIPO BUS]]&amp;"-"&amp;inicioTerminales[[#This Row],[MARCA CHASIS]]</f>
        <v>B2-SCANIA</v>
      </c>
    </row>
    <row r="269" spans="1:14">
      <c r="A269" s="27" t="s">
        <v>10</v>
      </c>
      <c r="B269" s="27" t="s">
        <v>74</v>
      </c>
      <c r="C269" s="27">
        <v>2054</v>
      </c>
      <c r="D269" s="27" t="s">
        <v>34</v>
      </c>
      <c r="E269" s="27" t="s">
        <v>13</v>
      </c>
      <c r="F269" s="27" t="s">
        <v>36</v>
      </c>
      <c r="G269" s="27" t="str">
        <f>_xlfn.CONCAT(inicioTerminales[[#This Row],[MARCA CHASIS]]," - ", inicioTerminales[[#This Row],[TIPO BUS]])</f>
        <v>SCANIA - B2</v>
      </c>
      <c r="H269" s="27" t="s">
        <v>267</v>
      </c>
      <c r="I269" s="52">
        <v>44912</v>
      </c>
      <c r="J269" s="27" t="s">
        <v>830</v>
      </c>
      <c r="K269" s="27" t="s">
        <v>838</v>
      </c>
      <c r="L269" s="27" t="s">
        <v>1369</v>
      </c>
      <c r="M269" s="27" t="s">
        <v>267</v>
      </c>
      <c r="N269" s="27" t="str">
        <f>inicioTerminales[[#This Row],[TIPO BUS]]&amp;"-"&amp;inicioTerminales[[#This Row],[MARCA CHASIS]]</f>
        <v>B2-SCANIA</v>
      </c>
    </row>
    <row r="270" spans="1:14">
      <c r="A270" s="27" t="s">
        <v>10</v>
      </c>
      <c r="B270" s="27" t="s">
        <v>64</v>
      </c>
      <c r="C270" s="27">
        <v>2056</v>
      </c>
      <c r="D270" s="27" t="s">
        <v>34</v>
      </c>
      <c r="E270" s="27" t="s">
        <v>13</v>
      </c>
      <c r="F270" s="27" t="s">
        <v>36</v>
      </c>
      <c r="G270" s="27" t="str">
        <f>_xlfn.CONCAT(inicioTerminales[[#This Row],[MARCA CHASIS]]," - ", inicioTerminales[[#This Row],[TIPO BUS]])</f>
        <v>SCANIA - B2</v>
      </c>
      <c r="H270" s="27" t="s">
        <v>267</v>
      </c>
      <c r="I270" s="52">
        <v>44912</v>
      </c>
      <c r="J270" s="27" t="s">
        <v>830</v>
      </c>
      <c r="K270" s="27" t="s">
        <v>838</v>
      </c>
      <c r="L270" s="27" t="s">
        <v>1369</v>
      </c>
      <c r="M270" s="27" t="s">
        <v>267</v>
      </c>
      <c r="N270" s="27" t="str">
        <f>inicioTerminales[[#This Row],[TIPO BUS]]&amp;"-"&amp;inicioTerminales[[#This Row],[MARCA CHASIS]]</f>
        <v>B2-SCANIA</v>
      </c>
    </row>
    <row r="271" spans="1:14">
      <c r="A271" s="27" t="s">
        <v>10</v>
      </c>
      <c r="B271" s="27" t="s">
        <v>81</v>
      </c>
      <c r="C271" s="27">
        <v>2057</v>
      </c>
      <c r="D271" s="27" t="s">
        <v>34</v>
      </c>
      <c r="E271" s="27" t="s">
        <v>13</v>
      </c>
      <c r="F271" s="27" t="s">
        <v>36</v>
      </c>
      <c r="G271" s="27" t="str">
        <f>_xlfn.CONCAT(inicioTerminales[[#This Row],[MARCA CHASIS]]," - ", inicioTerminales[[#This Row],[TIPO BUS]])</f>
        <v>SCANIA - B2</v>
      </c>
      <c r="H271" s="27" t="s">
        <v>267</v>
      </c>
      <c r="I271" s="52">
        <v>44912</v>
      </c>
      <c r="J271" s="27" t="s">
        <v>830</v>
      </c>
      <c r="K271" s="27" t="s">
        <v>838</v>
      </c>
      <c r="L271" s="27" t="s">
        <v>1369</v>
      </c>
      <c r="M271" s="27" t="s">
        <v>267</v>
      </c>
      <c r="N271" s="27" t="str">
        <f>inicioTerminales[[#This Row],[TIPO BUS]]&amp;"-"&amp;inicioTerminales[[#This Row],[MARCA CHASIS]]</f>
        <v>B2-SCANIA</v>
      </c>
    </row>
    <row r="272" spans="1:14">
      <c r="A272" s="27" t="s">
        <v>10</v>
      </c>
      <c r="B272" s="27" t="s">
        <v>75</v>
      </c>
      <c r="C272" s="27">
        <v>2058</v>
      </c>
      <c r="D272" s="27" t="s">
        <v>34</v>
      </c>
      <c r="E272" s="27" t="s">
        <v>13</v>
      </c>
      <c r="F272" s="27" t="s">
        <v>36</v>
      </c>
      <c r="G272" s="27" t="str">
        <f>_xlfn.CONCAT(inicioTerminales[[#This Row],[MARCA CHASIS]]," - ", inicioTerminales[[#This Row],[TIPO BUS]])</f>
        <v>SCANIA - B2</v>
      </c>
      <c r="H272" s="27" t="s">
        <v>267</v>
      </c>
      <c r="I272" s="52">
        <v>44912</v>
      </c>
      <c r="J272" s="27" t="s">
        <v>830</v>
      </c>
      <c r="K272" s="27" t="s">
        <v>838</v>
      </c>
      <c r="L272" s="27" t="s">
        <v>1369</v>
      </c>
      <c r="M272" s="27" t="s">
        <v>267</v>
      </c>
      <c r="N272" s="27" t="str">
        <f>inicioTerminales[[#This Row],[TIPO BUS]]&amp;"-"&amp;inicioTerminales[[#This Row],[MARCA CHASIS]]</f>
        <v>B2-SCANIA</v>
      </c>
    </row>
    <row r="273" spans="1:14">
      <c r="A273" s="27" t="s">
        <v>10</v>
      </c>
      <c r="B273" s="27" t="s">
        <v>76</v>
      </c>
      <c r="C273" s="27">
        <v>2059</v>
      </c>
      <c r="D273" s="27" t="s">
        <v>34</v>
      </c>
      <c r="E273" s="27" t="s">
        <v>13</v>
      </c>
      <c r="F273" s="27" t="s">
        <v>36</v>
      </c>
      <c r="G273" s="27" t="str">
        <f>_xlfn.CONCAT(inicioTerminales[[#This Row],[MARCA CHASIS]]," - ", inicioTerminales[[#This Row],[TIPO BUS]])</f>
        <v>SCANIA - B2</v>
      </c>
      <c r="H273" s="27" t="s">
        <v>267</v>
      </c>
      <c r="I273" s="52">
        <v>44928</v>
      </c>
      <c r="J273" s="27" t="s">
        <v>830</v>
      </c>
      <c r="K273" s="27" t="s">
        <v>838</v>
      </c>
      <c r="L273" s="27" t="s">
        <v>1369</v>
      </c>
      <c r="M273" s="27" t="s">
        <v>267</v>
      </c>
      <c r="N273" s="27" t="str">
        <f>inicioTerminales[[#This Row],[TIPO BUS]]&amp;"-"&amp;inicioTerminales[[#This Row],[MARCA CHASIS]]</f>
        <v>B2-SCANIA</v>
      </c>
    </row>
    <row r="274" spans="1:14">
      <c r="A274" s="27" t="s">
        <v>10</v>
      </c>
      <c r="B274" s="27" t="s">
        <v>78</v>
      </c>
      <c r="C274" s="27">
        <v>2060</v>
      </c>
      <c r="D274" s="27" t="s">
        <v>34</v>
      </c>
      <c r="E274" s="27" t="s">
        <v>13</v>
      </c>
      <c r="F274" s="27" t="s">
        <v>36</v>
      </c>
      <c r="G274" s="27" t="str">
        <f>_xlfn.CONCAT(inicioTerminales[[#This Row],[MARCA CHASIS]]," - ", inicioTerminales[[#This Row],[TIPO BUS]])</f>
        <v>SCANIA - B2</v>
      </c>
      <c r="H274" s="27" t="s">
        <v>267</v>
      </c>
      <c r="I274" s="52">
        <v>44912</v>
      </c>
      <c r="J274" s="27" t="s">
        <v>830</v>
      </c>
      <c r="K274" s="27" t="s">
        <v>838</v>
      </c>
      <c r="L274" s="27" t="s">
        <v>1369</v>
      </c>
      <c r="M274" s="27" t="s">
        <v>267</v>
      </c>
      <c r="N274" s="27" t="str">
        <f>inicioTerminales[[#This Row],[TIPO BUS]]&amp;"-"&amp;inicioTerminales[[#This Row],[MARCA CHASIS]]</f>
        <v>B2-SCANIA</v>
      </c>
    </row>
    <row r="275" spans="1:14">
      <c r="A275" s="27" t="s">
        <v>10</v>
      </c>
      <c r="B275" s="27" t="s">
        <v>82</v>
      </c>
      <c r="C275" s="27">
        <v>2061</v>
      </c>
      <c r="D275" s="27" t="s">
        <v>34</v>
      </c>
      <c r="E275" s="27" t="s">
        <v>13</v>
      </c>
      <c r="F275" s="27" t="s">
        <v>36</v>
      </c>
      <c r="G275" s="27" t="str">
        <f>_xlfn.CONCAT(inicioTerminales[[#This Row],[MARCA CHASIS]]," - ", inicioTerminales[[#This Row],[TIPO BUS]])</f>
        <v>SCANIA - B2</v>
      </c>
      <c r="H275" s="27" t="s">
        <v>267</v>
      </c>
      <c r="I275" s="52">
        <v>44912</v>
      </c>
      <c r="J275" s="27" t="s">
        <v>830</v>
      </c>
      <c r="K275" s="27" t="s">
        <v>838</v>
      </c>
      <c r="L275" s="27" t="s">
        <v>1369</v>
      </c>
      <c r="M275" s="27" t="s">
        <v>267</v>
      </c>
      <c r="N275" s="27" t="str">
        <f>inicioTerminales[[#This Row],[TIPO BUS]]&amp;"-"&amp;inicioTerminales[[#This Row],[MARCA CHASIS]]</f>
        <v>B2-SCANIA</v>
      </c>
    </row>
    <row r="276" spans="1:14">
      <c r="A276" s="27" t="s">
        <v>10</v>
      </c>
      <c r="B276" s="27" t="s">
        <v>83</v>
      </c>
      <c r="C276" s="27">
        <v>2062</v>
      </c>
      <c r="D276" s="27" t="s">
        <v>34</v>
      </c>
      <c r="E276" s="27" t="s">
        <v>13</v>
      </c>
      <c r="F276" s="27" t="s">
        <v>36</v>
      </c>
      <c r="G276" s="27" t="str">
        <f>_xlfn.CONCAT(inicioTerminales[[#This Row],[MARCA CHASIS]]," - ", inicioTerminales[[#This Row],[TIPO BUS]])</f>
        <v>SCANIA - B2</v>
      </c>
      <c r="H276" s="27" t="s">
        <v>267</v>
      </c>
      <c r="I276" s="52">
        <v>44912</v>
      </c>
      <c r="J276" s="27" t="s">
        <v>830</v>
      </c>
      <c r="K276" s="27" t="s">
        <v>838</v>
      </c>
      <c r="L276" s="27" t="s">
        <v>1369</v>
      </c>
      <c r="M276" s="27" t="s">
        <v>267</v>
      </c>
      <c r="N276" s="27" t="str">
        <f>inicioTerminales[[#This Row],[TIPO BUS]]&amp;"-"&amp;inicioTerminales[[#This Row],[MARCA CHASIS]]</f>
        <v>B2-SCANIA</v>
      </c>
    </row>
    <row r="277" spans="1:14">
      <c r="A277" s="27" t="s">
        <v>10</v>
      </c>
      <c r="B277" s="27" t="s">
        <v>84</v>
      </c>
      <c r="C277" s="27">
        <v>2063</v>
      </c>
      <c r="D277" s="27" t="s">
        <v>34</v>
      </c>
      <c r="E277" s="27" t="s">
        <v>13</v>
      </c>
      <c r="F277" s="27" t="s">
        <v>36</v>
      </c>
      <c r="G277" s="27" t="str">
        <f>_xlfn.CONCAT(inicioTerminales[[#This Row],[MARCA CHASIS]]," - ", inicioTerminales[[#This Row],[TIPO BUS]])</f>
        <v>SCANIA - B2</v>
      </c>
      <c r="H277" s="27" t="s">
        <v>267</v>
      </c>
      <c r="I277" s="52">
        <v>44912</v>
      </c>
      <c r="J277" s="27" t="s">
        <v>830</v>
      </c>
      <c r="K277" s="27" t="s">
        <v>838</v>
      </c>
      <c r="L277" s="27" t="s">
        <v>1369</v>
      </c>
      <c r="M277" s="27" t="s">
        <v>267</v>
      </c>
      <c r="N277" s="27" t="str">
        <f>inicioTerminales[[#This Row],[TIPO BUS]]&amp;"-"&amp;inicioTerminales[[#This Row],[MARCA CHASIS]]</f>
        <v>B2-SCANIA</v>
      </c>
    </row>
    <row r="278" spans="1:14">
      <c r="A278" s="27" t="s">
        <v>10</v>
      </c>
      <c r="B278" s="27" t="s">
        <v>85</v>
      </c>
      <c r="C278" s="27">
        <v>2067</v>
      </c>
      <c r="D278" s="27" t="s">
        <v>34</v>
      </c>
      <c r="E278" s="27" t="s">
        <v>13</v>
      </c>
      <c r="F278" s="27" t="s">
        <v>36</v>
      </c>
      <c r="G278" s="27" t="str">
        <f>_xlfn.CONCAT(inicioTerminales[[#This Row],[MARCA CHASIS]]," - ", inicioTerminales[[#This Row],[TIPO BUS]])</f>
        <v>SCANIA - B2</v>
      </c>
      <c r="H278" s="27" t="s">
        <v>267</v>
      </c>
      <c r="I278" s="52">
        <v>44933</v>
      </c>
      <c r="J278" s="27" t="s">
        <v>830</v>
      </c>
      <c r="K278" s="27" t="s">
        <v>838</v>
      </c>
      <c r="L278" s="27" t="s">
        <v>1369</v>
      </c>
      <c r="M278" s="27" t="s">
        <v>267</v>
      </c>
      <c r="N278" s="27" t="str">
        <f>inicioTerminales[[#This Row],[TIPO BUS]]&amp;"-"&amp;inicioTerminales[[#This Row],[MARCA CHASIS]]</f>
        <v>B2-SCANIA</v>
      </c>
    </row>
    <row r="279" spans="1:14">
      <c r="A279" s="27" t="s">
        <v>10</v>
      </c>
      <c r="B279" s="27" t="s">
        <v>86</v>
      </c>
      <c r="C279" s="27">
        <v>2068</v>
      </c>
      <c r="D279" s="27" t="s">
        <v>34</v>
      </c>
      <c r="E279" s="27" t="s">
        <v>13</v>
      </c>
      <c r="F279" s="27" t="s">
        <v>36</v>
      </c>
      <c r="G279" s="27" t="str">
        <f>_xlfn.CONCAT(inicioTerminales[[#This Row],[MARCA CHASIS]]," - ", inicioTerminales[[#This Row],[TIPO BUS]])</f>
        <v>SCANIA - B2</v>
      </c>
      <c r="H279" s="27" t="s">
        <v>267</v>
      </c>
      <c r="I279" s="52">
        <v>44928</v>
      </c>
      <c r="J279" s="27" t="s">
        <v>830</v>
      </c>
      <c r="K279" s="27" t="s">
        <v>838</v>
      </c>
      <c r="L279" s="27" t="s">
        <v>1369</v>
      </c>
      <c r="M279" s="27" t="s">
        <v>267</v>
      </c>
      <c r="N279" s="27" t="str">
        <f>inicioTerminales[[#This Row],[TIPO BUS]]&amp;"-"&amp;inicioTerminales[[#This Row],[MARCA CHASIS]]</f>
        <v>B2-SCANIA</v>
      </c>
    </row>
    <row r="280" spans="1:14">
      <c r="A280" s="27" t="s">
        <v>10</v>
      </c>
      <c r="B280" s="27" t="s">
        <v>77</v>
      </c>
      <c r="C280" s="27">
        <v>2069</v>
      </c>
      <c r="D280" s="27" t="s">
        <v>34</v>
      </c>
      <c r="E280" s="27" t="s">
        <v>25</v>
      </c>
      <c r="F280" s="27" t="s">
        <v>36</v>
      </c>
      <c r="G280" s="27" t="str">
        <f>_xlfn.CONCAT(inicioTerminales[[#This Row],[MARCA CHASIS]]," - ", inicioTerminales[[#This Row],[TIPO BUS]])</f>
        <v>SCANIA - B2</v>
      </c>
      <c r="H280" s="27" t="s">
        <v>267</v>
      </c>
      <c r="I280" s="52">
        <v>44928</v>
      </c>
      <c r="J280" s="27" t="s">
        <v>830</v>
      </c>
      <c r="K280" s="27" t="s">
        <v>838</v>
      </c>
      <c r="L280" s="27" t="s">
        <v>1369</v>
      </c>
      <c r="M280" s="27" t="s">
        <v>267</v>
      </c>
      <c r="N280" s="27" t="str">
        <f>inicioTerminales[[#This Row],[TIPO BUS]]&amp;"-"&amp;inicioTerminales[[#This Row],[MARCA CHASIS]]</f>
        <v>B2-SCANIA</v>
      </c>
    </row>
    <row r="281" spans="1:14">
      <c r="A281" s="27" t="s">
        <v>10</v>
      </c>
      <c r="B281" s="27" t="s">
        <v>80</v>
      </c>
      <c r="C281" s="27">
        <v>2072</v>
      </c>
      <c r="D281" s="27" t="s">
        <v>34</v>
      </c>
      <c r="E281" s="27" t="s">
        <v>13</v>
      </c>
      <c r="F281" s="27" t="s">
        <v>36</v>
      </c>
      <c r="G281" s="27" t="str">
        <f>_xlfn.CONCAT(inicioTerminales[[#This Row],[MARCA CHASIS]]," - ", inicioTerminales[[#This Row],[TIPO BUS]])</f>
        <v>SCANIA - B2</v>
      </c>
      <c r="H281" s="27" t="s">
        <v>267</v>
      </c>
      <c r="I281" s="52">
        <v>44928</v>
      </c>
      <c r="J281" s="27" t="s">
        <v>830</v>
      </c>
      <c r="K281" s="27" t="s">
        <v>838</v>
      </c>
      <c r="L281" s="27" t="s">
        <v>1369</v>
      </c>
      <c r="M281" s="27" t="s">
        <v>267</v>
      </c>
      <c r="N281" s="27" t="str">
        <f>inicioTerminales[[#This Row],[TIPO BUS]]&amp;"-"&amp;inicioTerminales[[#This Row],[MARCA CHASIS]]</f>
        <v>B2-SCANIA</v>
      </c>
    </row>
    <row r="282" spans="1:14">
      <c r="A282" s="27" t="s">
        <v>10</v>
      </c>
      <c r="B282" s="27" t="s">
        <v>79</v>
      </c>
      <c r="C282" s="27">
        <v>2073</v>
      </c>
      <c r="D282" s="27" t="s">
        <v>34</v>
      </c>
      <c r="E282" s="27" t="s">
        <v>13</v>
      </c>
      <c r="F282" s="27" t="s">
        <v>36</v>
      </c>
      <c r="G282" s="27" t="str">
        <f>_xlfn.CONCAT(inicioTerminales[[#This Row],[MARCA CHASIS]]," - ", inicioTerminales[[#This Row],[TIPO BUS]])</f>
        <v>SCANIA - B2</v>
      </c>
      <c r="H282" s="27" t="s">
        <v>267</v>
      </c>
      <c r="I282" s="52">
        <v>44933</v>
      </c>
      <c r="J282" s="27" t="s">
        <v>830</v>
      </c>
      <c r="K282" s="27" t="s">
        <v>838</v>
      </c>
      <c r="L282" s="27" t="s">
        <v>1369</v>
      </c>
      <c r="M282" s="27" t="s">
        <v>267</v>
      </c>
      <c r="N282" s="27" t="str">
        <f>inicioTerminales[[#This Row],[TIPO BUS]]&amp;"-"&amp;inicioTerminales[[#This Row],[MARCA CHASIS]]</f>
        <v>B2-SCANIA</v>
      </c>
    </row>
    <row r="283" spans="1:14">
      <c r="A283" s="27" t="s">
        <v>421</v>
      </c>
      <c r="B283" s="27" t="s">
        <v>572</v>
      </c>
      <c r="C283" s="27">
        <v>6148</v>
      </c>
      <c r="D283" s="27" t="s">
        <v>34</v>
      </c>
      <c r="E283" s="27" t="s">
        <v>13</v>
      </c>
      <c r="F283" s="27" t="s">
        <v>14</v>
      </c>
      <c r="G283" s="27" t="str">
        <f>_xlfn.CONCAT(inicioTerminales[[#This Row],[MARCA CHASIS]]," - ", inicioTerminales[[#This Row],[TIPO BUS]])</f>
        <v>VOLVO - B2</v>
      </c>
      <c r="H283" s="27" t="s">
        <v>423</v>
      </c>
      <c r="I283" s="52">
        <v>44982</v>
      </c>
      <c r="J283" s="27" t="s">
        <v>1341</v>
      </c>
      <c r="K283" s="27" t="s">
        <v>839</v>
      </c>
      <c r="L283" s="27" t="s">
        <v>1367</v>
      </c>
      <c r="M283" s="27" t="s">
        <v>423</v>
      </c>
      <c r="N283" s="27" t="str">
        <f>inicioTerminales[[#This Row],[TIPO BUS]]&amp;"-"&amp;inicioTerminales[[#This Row],[MARCA CHASIS]]</f>
        <v>B2-VOLVO</v>
      </c>
    </row>
    <row r="284" spans="1:14">
      <c r="A284" s="27" t="s">
        <v>421</v>
      </c>
      <c r="B284" s="27" t="s">
        <v>478</v>
      </c>
      <c r="C284" s="27">
        <v>6153</v>
      </c>
      <c r="D284" s="27" t="s">
        <v>34</v>
      </c>
      <c r="E284" s="27" t="s">
        <v>13</v>
      </c>
      <c r="F284" s="27" t="s">
        <v>14</v>
      </c>
      <c r="G284" s="27" t="str">
        <f>_xlfn.CONCAT(inicioTerminales[[#This Row],[MARCA CHASIS]]," - ", inicioTerminales[[#This Row],[TIPO BUS]])</f>
        <v>VOLVO - B2</v>
      </c>
      <c r="H284" s="27" t="s">
        <v>423</v>
      </c>
      <c r="I284" s="52">
        <v>44982</v>
      </c>
      <c r="J284" s="27" t="s">
        <v>1341</v>
      </c>
      <c r="K284" s="27" t="s">
        <v>839</v>
      </c>
      <c r="L284" s="27" t="s">
        <v>1367</v>
      </c>
      <c r="M284" s="27" t="s">
        <v>423</v>
      </c>
      <c r="N284" s="27" t="str">
        <f>inicioTerminales[[#This Row],[TIPO BUS]]&amp;"-"&amp;inicioTerminales[[#This Row],[MARCA CHASIS]]</f>
        <v>B2-VOLVO</v>
      </c>
    </row>
    <row r="285" spans="1:14">
      <c r="A285" s="27" t="s">
        <v>421</v>
      </c>
      <c r="B285" s="27" t="s">
        <v>479</v>
      </c>
      <c r="C285" s="27">
        <v>6155</v>
      </c>
      <c r="D285" s="27" t="s">
        <v>34</v>
      </c>
      <c r="E285" s="27" t="s">
        <v>13</v>
      </c>
      <c r="F285" s="27" t="s">
        <v>14</v>
      </c>
      <c r="G285" s="27" t="str">
        <f>_xlfn.CONCAT(inicioTerminales[[#This Row],[MARCA CHASIS]]," - ", inicioTerminales[[#This Row],[TIPO BUS]])</f>
        <v>VOLVO - B2</v>
      </c>
      <c r="H285" s="27" t="s">
        <v>423</v>
      </c>
      <c r="I285" s="52">
        <v>44982</v>
      </c>
      <c r="J285" s="27" t="s">
        <v>1341</v>
      </c>
      <c r="K285" s="27" t="s">
        <v>839</v>
      </c>
      <c r="L285" s="27" t="s">
        <v>1367</v>
      </c>
      <c r="M285" s="27" t="s">
        <v>423</v>
      </c>
      <c r="N285" s="27" t="str">
        <f>inicioTerminales[[#This Row],[TIPO BUS]]&amp;"-"&amp;inicioTerminales[[#This Row],[MARCA CHASIS]]</f>
        <v>B2-VOLVO</v>
      </c>
    </row>
    <row r="286" spans="1:14">
      <c r="A286" s="27" t="s">
        <v>421</v>
      </c>
      <c r="B286" s="27" t="s">
        <v>480</v>
      </c>
      <c r="C286" s="27">
        <v>6156</v>
      </c>
      <c r="D286" s="27" t="s">
        <v>34</v>
      </c>
      <c r="E286" s="27" t="s">
        <v>13</v>
      </c>
      <c r="F286" s="27" t="s">
        <v>14</v>
      </c>
      <c r="G286" s="27" t="str">
        <f>_xlfn.CONCAT(inicioTerminales[[#This Row],[MARCA CHASIS]]," - ", inicioTerminales[[#This Row],[TIPO BUS]])</f>
        <v>VOLVO - B2</v>
      </c>
      <c r="H286" s="27" t="s">
        <v>423</v>
      </c>
      <c r="I286" s="52">
        <v>44982</v>
      </c>
      <c r="J286" s="27" t="s">
        <v>1341</v>
      </c>
      <c r="K286" s="27" t="s">
        <v>839</v>
      </c>
      <c r="L286" s="27" t="s">
        <v>1367</v>
      </c>
      <c r="M286" s="27" t="s">
        <v>423</v>
      </c>
      <c r="N286" s="27" t="str">
        <f>inicioTerminales[[#This Row],[TIPO BUS]]&amp;"-"&amp;inicioTerminales[[#This Row],[MARCA CHASIS]]</f>
        <v>B2-VOLVO</v>
      </c>
    </row>
    <row r="287" spans="1:14">
      <c r="A287" s="27" t="s">
        <v>421</v>
      </c>
      <c r="B287" s="27" t="s">
        <v>481</v>
      </c>
      <c r="C287" s="27">
        <v>6157</v>
      </c>
      <c r="D287" s="27" t="s">
        <v>34</v>
      </c>
      <c r="E287" s="27" t="s">
        <v>13</v>
      </c>
      <c r="F287" s="27" t="s">
        <v>14</v>
      </c>
      <c r="G287" s="27" t="str">
        <f>_xlfn.CONCAT(inicioTerminales[[#This Row],[MARCA CHASIS]]," - ", inicioTerminales[[#This Row],[TIPO BUS]])</f>
        <v>VOLVO - B2</v>
      </c>
      <c r="H287" s="27" t="s">
        <v>423</v>
      </c>
      <c r="I287" s="52">
        <v>44982</v>
      </c>
      <c r="J287" s="27" t="s">
        <v>1341</v>
      </c>
      <c r="K287" s="27" t="s">
        <v>839</v>
      </c>
      <c r="L287" s="27" t="s">
        <v>1367</v>
      </c>
      <c r="M287" s="27" t="s">
        <v>423</v>
      </c>
      <c r="N287" s="27" t="str">
        <f>inicioTerminales[[#This Row],[TIPO BUS]]&amp;"-"&amp;inicioTerminales[[#This Row],[MARCA CHASIS]]</f>
        <v>B2-VOLVO</v>
      </c>
    </row>
    <row r="288" spans="1:14">
      <c r="A288" s="27" t="s">
        <v>421</v>
      </c>
      <c r="B288" s="27" t="s">
        <v>578</v>
      </c>
      <c r="C288" s="27">
        <v>6158</v>
      </c>
      <c r="D288" s="27" t="s">
        <v>34</v>
      </c>
      <c r="E288" s="27" t="s">
        <v>13</v>
      </c>
      <c r="F288" s="27" t="s">
        <v>14</v>
      </c>
      <c r="G288" s="27" t="str">
        <f>_xlfn.CONCAT(inicioTerminales[[#This Row],[MARCA CHASIS]]," - ", inicioTerminales[[#This Row],[TIPO BUS]])</f>
        <v>VOLVO - B2</v>
      </c>
      <c r="H288" s="27" t="s">
        <v>423</v>
      </c>
      <c r="I288" s="52">
        <v>44982</v>
      </c>
      <c r="J288" s="27" t="s">
        <v>1341</v>
      </c>
      <c r="K288" s="27" t="s">
        <v>839</v>
      </c>
      <c r="L288" s="27" t="s">
        <v>1367</v>
      </c>
      <c r="M288" s="27" t="s">
        <v>423</v>
      </c>
      <c r="N288" s="27" t="str">
        <f>inicioTerminales[[#This Row],[TIPO BUS]]&amp;"-"&amp;inicioTerminales[[#This Row],[MARCA CHASIS]]</f>
        <v>B2-VOLVO</v>
      </c>
    </row>
    <row r="289" spans="1:14">
      <c r="A289" s="27" t="s">
        <v>421</v>
      </c>
      <c r="B289" s="27" t="s">
        <v>482</v>
      </c>
      <c r="C289" s="27">
        <v>6160</v>
      </c>
      <c r="D289" s="27" t="s">
        <v>34</v>
      </c>
      <c r="E289" s="27" t="s">
        <v>13</v>
      </c>
      <c r="F289" s="27" t="s">
        <v>14</v>
      </c>
      <c r="G289" s="27" t="str">
        <f>_xlfn.CONCAT(inicioTerminales[[#This Row],[MARCA CHASIS]]," - ", inicioTerminales[[#This Row],[TIPO BUS]])</f>
        <v>VOLVO - B2</v>
      </c>
      <c r="H289" s="27" t="s">
        <v>423</v>
      </c>
      <c r="I289" s="52">
        <v>44982</v>
      </c>
      <c r="J289" s="27" t="s">
        <v>1341</v>
      </c>
      <c r="K289" s="27" t="s">
        <v>839</v>
      </c>
      <c r="L289" s="27" t="s">
        <v>1367</v>
      </c>
      <c r="M289" s="27" t="s">
        <v>423</v>
      </c>
      <c r="N289" s="27" t="str">
        <f>inicioTerminales[[#This Row],[TIPO BUS]]&amp;"-"&amp;inicioTerminales[[#This Row],[MARCA CHASIS]]</f>
        <v>B2-VOLVO</v>
      </c>
    </row>
    <row r="290" spans="1:14">
      <c r="A290" s="27" t="s">
        <v>421</v>
      </c>
      <c r="B290" s="27" t="s">
        <v>440</v>
      </c>
      <c r="C290" s="27">
        <v>6103</v>
      </c>
      <c r="D290" s="27" t="s">
        <v>34</v>
      </c>
      <c r="E290" s="27" t="s">
        <v>13</v>
      </c>
      <c r="F290" s="27" t="s">
        <v>14</v>
      </c>
      <c r="G290" s="27" t="str">
        <f>_xlfn.CONCAT(inicioTerminales[[#This Row],[MARCA CHASIS]]," - ", inicioTerminales[[#This Row],[TIPO BUS]])</f>
        <v>VOLVO - B2</v>
      </c>
      <c r="H290" s="27" t="s">
        <v>423</v>
      </c>
      <c r="I290" s="52">
        <v>44982</v>
      </c>
      <c r="J290" s="27" t="s">
        <v>1341</v>
      </c>
      <c r="K290" s="27" t="s">
        <v>839</v>
      </c>
      <c r="L290" s="27" t="s">
        <v>1367</v>
      </c>
      <c r="M290" s="27" t="s">
        <v>423</v>
      </c>
      <c r="N290" s="27" t="str">
        <f>inicioTerminales[[#This Row],[TIPO BUS]]&amp;"-"&amp;inicioTerminales[[#This Row],[MARCA CHASIS]]</f>
        <v>B2-VOLVO</v>
      </c>
    </row>
    <row r="291" spans="1:14">
      <c r="A291" s="27" t="s">
        <v>421</v>
      </c>
      <c r="B291" s="27" t="s">
        <v>551</v>
      </c>
      <c r="C291" s="27">
        <v>6097</v>
      </c>
      <c r="D291" s="27" t="s">
        <v>34</v>
      </c>
      <c r="E291" s="27" t="s">
        <v>13</v>
      </c>
      <c r="F291" s="27" t="s">
        <v>14</v>
      </c>
      <c r="G291" s="27" t="str">
        <f>_xlfn.CONCAT(inicioTerminales[[#This Row],[MARCA CHASIS]]," - ", inicioTerminales[[#This Row],[TIPO BUS]])</f>
        <v>VOLVO - B2</v>
      </c>
      <c r="H291" s="27" t="s">
        <v>1370</v>
      </c>
      <c r="I291" s="52">
        <v>44982</v>
      </c>
      <c r="J291" s="27" t="s">
        <v>1341</v>
      </c>
      <c r="K291" s="27" t="s">
        <v>841</v>
      </c>
      <c r="L291" s="27" t="s">
        <v>849</v>
      </c>
      <c r="M291" s="27" t="s">
        <v>493</v>
      </c>
      <c r="N291" s="27" t="str">
        <f>inicioTerminales[[#This Row],[TIPO BUS]]&amp;"-"&amp;inicioTerminales[[#This Row],[MARCA CHASIS]]</f>
        <v>B2-VOLVO</v>
      </c>
    </row>
    <row r="292" spans="1:14">
      <c r="A292" s="27" t="s">
        <v>421</v>
      </c>
      <c r="B292" s="27" t="s">
        <v>552</v>
      </c>
      <c r="C292" s="27">
        <v>6098</v>
      </c>
      <c r="D292" s="27" t="s">
        <v>34</v>
      </c>
      <c r="E292" s="27" t="s">
        <v>13</v>
      </c>
      <c r="F292" s="27" t="s">
        <v>14</v>
      </c>
      <c r="G292" s="27" t="str">
        <f>_xlfn.CONCAT(inicioTerminales[[#This Row],[MARCA CHASIS]]," - ", inicioTerminales[[#This Row],[TIPO BUS]])</f>
        <v>VOLVO - B2</v>
      </c>
      <c r="H292" s="27" t="s">
        <v>1370</v>
      </c>
      <c r="I292" s="52">
        <v>44982</v>
      </c>
      <c r="J292" s="27" t="s">
        <v>1341</v>
      </c>
      <c r="K292" s="27" t="s">
        <v>841</v>
      </c>
      <c r="L292" s="27" t="s">
        <v>849</v>
      </c>
      <c r="M292" s="27" t="s">
        <v>493</v>
      </c>
      <c r="N292" s="27" t="str">
        <f>inicioTerminales[[#This Row],[TIPO BUS]]&amp;"-"&amp;inicioTerminales[[#This Row],[MARCA CHASIS]]</f>
        <v>B2-VOLVO</v>
      </c>
    </row>
    <row r="293" spans="1:14">
      <c r="A293" s="27" t="s">
        <v>421</v>
      </c>
      <c r="B293" s="27" t="s">
        <v>553</v>
      </c>
      <c r="C293" s="27">
        <v>6099</v>
      </c>
      <c r="D293" s="27" t="s">
        <v>34</v>
      </c>
      <c r="E293" s="27" t="s">
        <v>13</v>
      </c>
      <c r="F293" s="27" t="s">
        <v>14</v>
      </c>
      <c r="G293" s="27" t="str">
        <f>_xlfn.CONCAT(inicioTerminales[[#This Row],[MARCA CHASIS]]," - ", inicioTerminales[[#This Row],[TIPO BUS]])</f>
        <v>VOLVO - B2</v>
      </c>
      <c r="H293" s="27" t="s">
        <v>1370</v>
      </c>
      <c r="I293" s="52">
        <v>44982</v>
      </c>
      <c r="J293" s="27" t="s">
        <v>1341</v>
      </c>
      <c r="K293" s="27" t="s">
        <v>841</v>
      </c>
      <c r="L293" s="27" t="s">
        <v>849</v>
      </c>
      <c r="M293" s="27" t="s">
        <v>493</v>
      </c>
      <c r="N293" s="27" t="str">
        <f>inicioTerminales[[#This Row],[TIPO BUS]]&amp;"-"&amp;inicioTerminales[[#This Row],[MARCA CHASIS]]</f>
        <v>B2-VOLVO</v>
      </c>
    </row>
    <row r="294" spans="1:14">
      <c r="A294" s="27" t="s">
        <v>421</v>
      </c>
      <c r="B294" s="27" t="s">
        <v>554</v>
      </c>
      <c r="C294" s="27">
        <v>6100</v>
      </c>
      <c r="D294" s="27" t="s">
        <v>34</v>
      </c>
      <c r="E294" s="27" t="s">
        <v>13</v>
      </c>
      <c r="F294" s="27" t="s">
        <v>14</v>
      </c>
      <c r="G294" s="27" t="str">
        <f>_xlfn.CONCAT(inicioTerminales[[#This Row],[MARCA CHASIS]]," - ", inicioTerminales[[#This Row],[TIPO BUS]])</f>
        <v>VOLVO - B2</v>
      </c>
      <c r="H294" s="27" t="s">
        <v>493</v>
      </c>
      <c r="I294" s="52">
        <v>44982</v>
      </c>
      <c r="J294" s="27" t="s">
        <v>1341</v>
      </c>
      <c r="K294" s="27" t="s">
        <v>841</v>
      </c>
      <c r="L294" s="27" t="s">
        <v>849</v>
      </c>
      <c r="M294" s="27" t="s">
        <v>493</v>
      </c>
      <c r="N294" s="27" t="str">
        <f>inicioTerminales[[#This Row],[TIPO BUS]]&amp;"-"&amp;inicioTerminales[[#This Row],[MARCA CHASIS]]</f>
        <v>B2-VOLVO</v>
      </c>
    </row>
    <row r="295" spans="1:14">
      <c r="A295" s="27" t="s">
        <v>421</v>
      </c>
      <c r="B295" s="27" t="s">
        <v>556</v>
      </c>
      <c r="C295" s="27">
        <v>6107</v>
      </c>
      <c r="D295" s="27" t="s">
        <v>34</v>
      </c>
      <c r="E295" s="27" t="s">
        <v>13</v>
      </c>
      <c r="F295" s="27" t="s">
        <v>14</v>
      </c>
      <c r="G295" s="27" t="str">
        <f>_xlfn.CONCAT(inicioTerminales[[#This Row],[MARCA CHASIS]]," - ", inicioTerminales[[#This Row],[TIPO BUS]])</f>
        <v>VOLVO - B2</v>
      </c>
      <c r="H295" s="27" t="s">
        <v>493</v>
      </c>
      <c r="I295" s="52">
        <v>44982</v>
      </c>
      <c r="J295" s="27" t="s">
        <v>1341</v>
      </c>
      <c r="K295" s="27" t="s">
        <v>841</v>
      </c>
      <c r="L295" s="27" t="s">
        <v>849</v>
      </c>
      <c r="M295" s="27" t="s">
        <v>493</v>
      </c>
      <c r="N295" s="27" t="str">
        <f>inicioTerminales[[#This Row],[TIPO BUS]]&amp;"-"&amp;inicioTerminales[[#This Row],[MARCA CHASIS]]</f>
        <v>B2-VOLVO</v>
      </c>
    </row>
    <row r="296" spans="1:14">
      <c r="A296" s="27" t="s">
        <v>421</v>
      </c>
      <c r="B296" s="27" t="s">
        <v>560</v>
      </c>
      <c r="C296" s="27">
        <v>6117</v>
      </c>
      <c r="D296" s="27" t="s">
        <v>34</v>
      </c>
      <c r="E296" s="27" t="s">
        <v>13</v>
      </c>
      <c r="F296" s="27" t="s">
        <v>14</v>
      </c>
      <c r="G296" s="27" t="str">
        <f>_xlfn.CONCAT(inicioTerminales[[#This Row],[MARCA CHASIS]]," - ", inicioTerminales[[#This Row],[TIPO BUS]])</f>
        <v>VOLVO - B2</v>
      </c>
      <c r="H296" s="27" t="s">
        <v>493</v>
      </c>
      <c r="I296" s="52">
        <v>44982</v>
      </c>
      <c r="J296" s="27" t="s">
        <v>1341</v>
      </c>
      <c r="K296" s="27" t="s">
        <v>841</v>
      </c>
      <c r="L296" s="27" t="s">
        <v>849</v>
      </c>
      <c r="M296" s="27" t="s">
        <v>493</v>
      </c>
      <c r="N296" s="27" t="str">
        <f>inicioTerminales[[#This Row],[TIPO BUS]]&amp;"-"&amp;inicioTerminales[[#This Row],[MARCA CHASIS]]</f>
        <v>B2-VOLVO</v>
      </c>
    </row>
    <row r="297" spans="1:14">
      <c r="A297" s="27" t="s">
        <v>421</v>
      </c>
      <c r="B297" s="27" t="s">
        <v>561</v>
      </c>
      <c r="C297" s="27">
        <v>6118</v>
      </c>
      <c r="D297" s="27" t="s">
        <v>34</v>
      </c>
      <c r="E297" s="27" t="s">
        <v>13</v>
      </c>
      <c r="F297" s="27" t="s">
        <v>14</v>
      </c>
      <c r="G297" s="27" t="str">
        <f>_xlfn.CONCAT(inicioTerminales[[#This Row],[MARCA CHASIS]]," - ", inicioTerminales[[#This Row],[TIPO BUS]])</f>
        <v>VOLVO - B2</v>
      </c>
      <c r="H297" s="27" t="s">
        <v>493</v>
      </c>
      <c r="I297" s="52">
        <v>44982</v>
      </c>
      <c r="J297" s="27" t="s">
        <v>1341</v>
      </c>
      <c r="K297" s="27" t="s">
        <v>841</v>
      </c>
      <c r="L297" s="27" t="s">
        <v>849</v>
      </c>
      <c r="M297" s="27" t="s">
        <v>493</v>
      </c>
      <c r="N297" s="27" t="str">
        <f>inicioTerminales[[#This Row],[TIPO BUS]]&amp;"-"&amp;inicioTerminales[[#This Row],[MARCA CHASIS]]</f>
        <v>B2-VOLVO</v>
      </c>
    </row>
    <row r="298" spans="1:14">
      <c r="A298" s="27" t="s">
        <v>421</v>
      </c>
      <c r="B298" s="27" t="s">
        <v>577</v>
      </c>
      <c r="C298" s="27">
        <v>6154</v>
      </c>
      <c r="D298" s="27" t="s">
        <v>34</v>
      </c>
      <c r="E298" s="27" t="s">
        <v>13</v>
      </c>
      <c r="F298" s="27" t="s">
        <v>14</v>
      </c>
      <c r="G298" s="27" t="str">
        <f>_xlfn.CONCAT(inicioTerminales[[#This Row],[MARCA CHASIS]]," - ", inicioTerminales[[#This Row],[TIPO BUS]])</f>
        <v>VOLVO - B2</v>
      </c>
      <c r="H298" s="27" t="s">
        <v>493</v>
      </c>
      <c r="I298" s="52">
        <v>44982</v>
      </c>
      <c r="J298" s="27" t="s">
        <v>1341</v>
      </c>
      <c r="K298" s="27" t="s">
        <v>841</v>
      </c>
      <c r="L298" s="27" t="s">
        <v>849</v>
      </c>
      <c r="M298" s="27" t="s">
        <v>493</v>
      </c>
      <c r="N298" s="27" t="str">
        <f>inicioTerminales[[#This Row],[TIPO BUS]]&amp;"-"&amp;inicioTerminales[[#This Row],[MARCA CHASIS]]</f>
        <v>B2-VOLVO</v>
      </c>
    </row>
    <row r="299" spans="1:14">
      <c r="A299" s="27" t="s">
        <v>421</v>
      </c>
      <c r="B299" s="27" t="s">
        <v>566</v>
      </c>
      <c r="C299" s="27">
        <v>6138</v>
      </c>
      <c r="D299" s="27" t="s">
        <v>34</v>
      </c>
      <c r="E299" s="27" t="s">
        <v>13</v>
      </c>
      <c r="F299" s="27" t="s">
        <v>14</v>
      </c>
      <c r="G299" s="27" t="str">
        <f>_xlfn.CONCAT(inicioTerminales[[#This Row],[MARCA CHASIS]]," - ", inicioTerminales[[#This Row],[TIPO BUS]])</f>
        <v>VOLVO - B2</v>
      </c>
      <c r="H299" s="27" t="s">
        <v>493</v>
      </c>
      <c r="I299" s="52">
        <v>44982</v>
      </c>
      <c r="J299" s="27" t="s">
        <v>1341</v>
      </c>
      <c r="K299" s="27" t="s">
        <v>841</v>
      </c>
      <c r="L299" s="27" t="s">
        <v>849</v>
      </c>
      <c r="M299" s="27" t="s">
        <v>493</v>
      </c>
      <c r="N299" s="27" t="str">
        <f>inicioTerminales[[#This Row],[TIPO BUS]]&amp;"-"&amp;inicioTerminales[[#This Row],[MARCA CHASIS]]</f>
        <v>B2-VOLVO</v>
      </c>
    </row>
    <row r="300" spans="1:14">
      <c r="A300" s="27" t="s">
        <v>421</v>
      </c>
      <c r="B300" s="27" t="s">
        <v>579</v>
      </c>
      <c r="C300" s="27">
        <v>6159</v>
      </c>
      <c r="D300" s="27" t="s">
        <v>34</v>
      </c>
      <c r="E300" s="27" t="s">
        <v>13</v>
      </c>
      <c r="F300" s="27" t="s">
        <v>14</v>
      </c>
      <c r="G300" s="27" t="str">
        <f>_xlfn.CONCAT(inicioTerminales[[#This Row],[MARCA CHASIS]]," - ", inicioTerminales[[#This Row],[TIPO BUS]])</f>
        <v>VOLVO - B2</v>
      </c>
      <c r="H300" s="27" t="s">
        <v>493</v>
      </c>
      <c r="I300" s="52">
        <v>44982</v>
      </c>
      <c r="J300" s="27" t="s">
        <v>1341</v>
      </c>
      <c r="K300" s="27" t="s">
        <v>841</v>
      </c>
      <c r="L300" s="27" t="s">
        <v>849</v>
      </c>
      <c r="M300" s="27" t="s">
        <v>493</v>
      </c>
      <c r="N300" s="27" t="str">
        <f>inicioTerminales[[#This Row],[TIPO BUS]]&amp;"-"&amp;inicioTerminales[[#This Row],[MARCA CHASIS]]</f>
        <v>B2-VOLVO</v>
      </c>
    </row>
    <row r="301" spans="1:14">
      <c r="A301" s="27" t="s">
        <v>421</v>
      </c>
      <c r="B301" s="27" t="s">
        <v>573</v>
      </c>
      <c r="C301" s="27">
        <v>6149</v>
      </c>
      <c r="D301" s="27" t="s">
        <v>34</v>
      </c>
      <c r="E301" s="27" t="s">
        <v>13</v>
      </c>
      <c r="F301" s="27" t="s">
        <v>14</v>
      </c>
      <c r="G301" s="27" t="str">
        <f>_xlfn.CONCAT(inicioTerminales[[#This Row],[MARCA CHASIS]]," - ", inicioTerminales[[#This Row],[TIPO BUS]])</f>
        <v>VOLVO - B2</v>
      </c>
      <c r="H301" s="27" t="s">
        <v>493</v>
      </c>
      <c r="I301" s="52">
        <v>44982</v>
      </c>
      <c r="J301" s="27" t="s">
        <v>1341</v>
      </c>
      <c r="K301" s="27" t="s">
        <v>841</v>
      </c>
      <c r="L301" s="27" t="s">
        <v>849</v>
      </c>
      <c r="M301" s="27" t="s">
        <v>493</v>
      </c>
      <c r="N301" s="27" t="str">
        <f>inicioTerminales[[#This Row],[TIPO BUS]]&amp;"-"&amp;inicioTerminales[[#This Row],[MARCA CHASIS]]</f>
        <v>B2-VOLVO</v>
      </c>
    </row>
    <row r="302" spans="1:14">
      <c r="A302" s="27" t="s">
        <v>421</v>
      </c>
      <c r="B302" s="27" t="s">
        <v>574</v>
      </c>
      <c r="C302" s="27">
        <v>6150</v>
      </c>
      <c r="D302" s="27" t="s">
        <v>34</v>
      </c>
      <c r="E302" s="27" t="s">
        <v>13</v>
      </c>
      <c r="F302" s="27" t="s">
        <v>14</v>
      </c>
      <c r="G302" s="27" t="str">
        <f>_xlfn.CONCAT(inicioTerminales[[#This Row],[MARCA CHASIS]]," - ", inicioTerminales[[#This Row],[TIPO BUS]])</f>
        <v>VOLVO - B2</v>
      </c>
      <c r="H302" s="27" t="s">
        <v>493</v>
      </c>
      <c r="I302" s="52">
        <v>44982</v>
      </c>
      <c r="J302" s="27" t="s">
        <v>1341</v>
      </c>
      <c r="K302" s="27" t="s">
        <v>841</v>
      </c>
      <c r="L302" s="27" t="s">
        <v>849</v>
      </c>
      <c r="M302" s="27" t="s">
        <v>493</v>
      </c>
      <c r="N302" s="27" t="str">
        <f>inicioTerminales[[#This Row],[TIPO BUS]]&amp;"-"&amp;inicioTerminales[[#This Row],[MARCA CHASIS]]</f>
        <v>B2-VOLVO</v>
      </c>
    </row>
    <row r="303" spans="1:14">
      <c r="A303" s="27" t="s">
        <v>421</v>
      </c>
      <c r="B303" s="27" t="s">
        <v>575</v>
      </c>
      <c r="C303" s="27">
        <v>6151</v>
      </c>
      <c r="D303" s="27" t="s">
        <v>34</v>
      </c>
      <c r="E303" s="27" t="s">
        <v>13</v>
      </c>
      <c r="F303" s="27" t="s">
        <v>14</v>
      </c>
      <c r="G303" s="27" t="str">
        <f>_xlfn.CONCAT(inicioTerminales[[#This Row],[MARCA CHASIS]]," - ", inicioTerminales[[#This Row],[TIPO BUS]])</f>
        <v>VOLVO - B2</v>
      </c>
      <c r="H303" s="27" t="s">
        <v>493</v>
      </c>
      <c r="I303" s="52">
        <v>44982</v>
      </c>
      <c r="J303" s="27" t="s">
        <v>1341</v>
      </c>
      <c r="K303" s="27" t="s">
        <v>841</v>
      </c>
      <c r="L303" s="27" t="s">
        <v>849</v>
      </c>
      <c r="M303" s="27" t="s">
        <v>493</v>
      </c>
      <c r="N303" s="27" t="str">
        <f>inicioTerminales[[#This Row],[TIPO BUS]]&amp;"-"&amp;inicioTerminales[[#This Row],[MARCA CHASIS]]</f>
        <v>B2-VOLVO</v>
      </c>
    </row>
    <row r="304" spans="1:14">
      <c r="A304" s="27" t="s">
        <v>421</v>
      </c>
      <c r="B304" s="27" t="s">
        <v>576</v>
      </c>
      <c r="C304" s="27">
        <v>6152</v>
      </c>
      <c r="D304" s="27" t="s">
        <v>34</v>
      </c>
      <c r="E304" s="27" t="s">
        <v>13</v>
      </c>
      <c r="F304" s="27" t="s">
        <v>14</v>
      </c>
      <c r="G304" s="27" t="str">
        <f>_xlfn.CONCAT(inicioTerminales[[#This Row],[MARCA CHASIS]]," - ", inicioTerminales[[#This Row],[TIPO BUS]])</f>
        <v>VOLVO - B2</v>
      </c>
      <c r="H304" s="27" t="s">
        <v>493</v>
      </c>
      <c r="I304" s="52">
        <v>44982</v>
      </c>
      <c r="J304" s="27" t="s">
        <v>1341</v>
      </c>
      <c r="K304" s="27" t="s">
        <v>841</v>
      </c>
      <c r="L304" s="27" t="s">
        <v>849</v>
      </c>
      <c r="M304" s="27" t="s">
        <v>493</v>
      </c>
      <c r="N304" s="27" t="str">
        <f>inicioTerminales[[#This Row],[TIPO BUS]]&amp;"-"&amp;inicioTerminales[[#This Row],[MARCA CHASIS]]</f>
        <v>B2-VOLVO</v>
      </c>
    </row>
    <row r="305" spans="1:14">
      <c r="A305" s="27" t="s">
        <v>10</v>
      </c>
      <c r="B305" s="27" t="s">
        <v>198</v>
      </c>
      <c r="C305" s="27">
        <v>3042</v>
      </c>
      <c r="D305" s="27" t="s">
        <v>147</v>
      </c>
      <c r="E305" s="27" t="s">
        <v>13</v>
      </c>
      <c r="F305" s="27" t="s">
        <v>149</v>
      </c>
      <c r="G305" s="27" t="str">
        <f>_xlfn.CONCAT(inicioTerminales[[#This Row],[MARCA CHASIS]]," - ", inicioTerminales[[#This Row],[TIPO BUS]])</f>
        <v>FOTON - BE</v>
      </c>
      <c r="H305" s="27" t="s">
        <v>130</v>
      </c>
      <c r="I305" s="52">
        <v>44991</v>
      </c>
      <c r="J305" s="27" t="s">
        <v>1341</v>
      </c>
      <c r="K305" s="27" t="s">
        <v>836</v>
      </c>
      <c r="L305" s="27" t="s">
        <v>851</v>
      </c>
      <c r="M305" s="27" t="s">
        <v>130</v>
      </c>
      <c r="N305" s="27" t="str">
        <f>inicioTerminales[[#This Row],[TIPO BUS]]&amp;"-"&amp;inicioTerminales[[#This Row],[MARCA CHASIS]]</f>
        <v>BE-FOTON</v>
      </c>
    </row>
    <row r="306" spans="1:14">
      <c r="A306" s="27" t="s">
        <v>10</v>
      </c>
      <c r="B306" s="27" t="s">
        <v>199</v>
      </c>
      <c r="C306" s="27">
        <v>3043</v>
      </c>
      <c r="D306" s="27" t="s">
        <v>147</v>
      </c>
      <c r="E306" s="27" t="s">
        <v>13</v>
      </c>
      <c r="F306" s="27" t="s">
        <v>149</v>
      </c>
      <c r="G306" s="27" t="str">
        <f>_xlfn.CONCAT(inicioTerminales[[#This Row],[MARCA CHASIS]]," - ", inicioTerminales[[#This Row],[TIPO BUS]])</f>
        <v>FOTON - BE</v>
      </c>
      <c r="H306" s="27" t="s">
        <v>130</v>
      </c>
      <c r="I306" s="52">
        <v>44991</v>
      </c>
      <c r="J306" s="27" t="s">
        <v>1341</v>
      </c>
      <c r="K306" s="27" t="s">
        <v>836</v>
      </c>
      <c r="L306" s="27" t="s">
        <v>851</v>
      </c>
      <c r="M306" s="27" t="s">
        <v>130</v>
      </c>
      <c r="N306" s="27" t="str">
        <f>inicioTerminales[[#This Row],[TIPO BUS]]&amp;"-"&amp;inicioTerminales[[#This Row],[MARCA CHASIS]]</f>
        <v>BE-FOTON</v>
      </c>
    </row>
    <row r="307" spans="1:14">
      <c r="A307" s="27" t="s">
        <v>10</v>
      </c>
      <c r="B307" s="27" t="s">
        <v>200</v>
      </c>
      <c r="C307" s="27">
        <v>3044</v>
      </c>
      <c r="D307" s="27" t="s">
        <v>147</v>
      </c>
      <c r="E307" s="27" t="s">
        <v>13</v>
      </c>
      <c r="F307" s="27" t="s">
        <v>149</v>
      </c>
      <c r="G307" s="27" t="str">
        <f>_xlfn.CONCAT(inicioTerminales[[#This Row],[MARCA CHASIS]]," - ", inicioTerminales[[#This Row],[TIPO BUS]])</f>
        <v>FOTON - BE</v>
      </c>
      <c r="H307" s="27" t="s">
        <v>130</v>
      </c>
      <c r="I307" s="52">
        <v>44991</v>
      </c>
      <c r="J307" s="27" t="s">
        <v>1341</v>
      </c>
      <c r="K307" s="27" t="s">
        <v>836</v>
      </c>
      <c r="L307" s="27" t="s">
        <v>851</v>
      </c>
      <c r="M307" s="27" t="s">
        <v>130</v>
      </c>
      <c r="N307" s="27" t="str">
        <f>inicioTerminales[[#This Row],[TIPO BUS]]&amp;"-"&amp;inicioTerminales[[#This Row],[MARCA CHASIS]]</f>
        <v>BE-FOTON</v>
      </c>
    </row>
    <row r="308" spans="1:14">
      <c r="A308" s="27" t="s">
        <v>10</v>
      </c>
      <c r="B308" s="27" t="s">
        <v>201</v>
      </c>
      <c r="C308" s="27">
        <v>3045</v>
      </c>
      <c r="D308" s="27" t="s">
        <v>147</v>
      </c>
      <c r="E308" s="27" t="s">
        <v>13</v>
      </c>
      <c r="F308" s="27" t="s">
        <v>149</v>
      </c>
      <c r="G308" s="27" t="str">
        <f>_xlfn.CONCAT(inicioTerminales[[#This Row],[MARCA CHASIS]]," - ", inicioTerminales[[#This Row],[TIPO BUS]])</f>
        <v>FOTON - BE</v>
      </c>
      <c r="H308" s="27" t="s">
        <v>130</v>
      </c>
      <c r="I308" s="52">
        <v>44991</v>
      </c>
      <c r="J308" s="27" t="s">
        <v>1341</v>
      </c>
      <c r="K308" s="27" t="s">
        <v>836</v>
      </c>
      <c r="L308" s="27" t="s">
        <v>851</v>
      </c>
      <c r="M308" s="27" t="s">
        <v>130</v>
      </c>
      <c r="N308" s="27" t="str">
        <f>inicioTerminales[[#This Row],[TIPO BUS]]&amp;"-"&amp;inicioTerminales[[#This Row],[MARCA CHASIS]]</f>
        <v>BE-FOTON</v>
      </c>
    </row>
    <row r="309" spans="1:14">
      <c r="A309" s="27" t="s">
        <v>10</v>
      </c>
      <c r="B309" s="27" t="s">
        <v>202</v>
      </c>
      <c r="C309" s="27">
        <v>3046</v>
      </c>
      <c r="D309" s="27" t="s">
        <v>147</v>
      </c>
      <c r="E309" s="27" t="s">
        <v>13</v>
      </c>
      <c r="F309" s="27" t="s">
        <v>149</v>
      </c>
      <c r="G309" s="27" t="str">
        <f>_xlfn.CONCAT(inicioTerminales[[#This Row],[MARCA CHASIS]]," - ", inicioTerminales[[#This Row],[TIPO BUS]])</f>
        <v>FOTON - BE</v>
      </c>
      <c r="H309" s="27" t="s">
        <v>130</v>
      </c>
      <c r="I309" s="52">
        <v>44991</v>
      </c>
      <c r="J309" s="27" t="s">
        <v>1341</v>
      </c>
      <c r="K309" s="27" t="s">
        <v>836</v>
      </c>
      <c r="L309" s="27" t="s">
        <v>851</v>
      </c>
      <c r="M309" s="27" t="s">
        <v>130</v>
      </c>
      <c r="N309" s="27" t="str">
        <f>inicioTerminales[[#This Row],[TIPO BUS]]&amp;"-"&amp;inicioTerminales[[#This Row],[MARCA CHASIS]]</f>
        <v>BE-FOTON</v>
      </c>
    </row>
    <row r="310" spans="1:14">
      <c r="A310" s="27" t="s">
        <v>10</v>
      </c>
      <c r="B310" s="27" t="s">
        <v>203</v>
      </c>
      <c r="C310" s="27">
        <v>3047</v>
      </c>
      <c r="D310" s="27" t="s">
        <v>147</v>
      </c>
      <c r="E310" s="27" t="s">
        <v>13</v>
      </c>
      <c r="F310" s="27" t="s">
        <v>149</v>
      </c>
      <c r="G310" s="27" t="str">
        <f>_xlfn.CONCAT(inicioTerminales[[#This Row],[MARCA CHASIS]]," - ", inicioTerminales[[#This Row],[TIPO BUS]])</f>
        <v>FOTON - BE</v>
      </c>
      <c r="H310" s="27" t="s">
        <v>130</v>
      </c>
      <c r="I310" s="52">
        <v>44991</v>
      </c>
      <c r="J310" s="27" t="s">
        <v>1341</v>
      </c>
      <c r="K310" s="27" t="s">
        <v>836</v>
      </c>
      <c r="L310" s="27" t="s">
        <v>851</v>
      </c>
      <c r="M310" s="27" t="s">
        <v>130</v>
      </c>
      <c r="N310" s="27" t="str">
        <f>inicioTerminales[[#This Row],[TIPO BUS]]&amp;"-"&amp;inicioTerminales[[#This Row],[MARCA CHASIS]]</f>
        <v>BE-FOTON</v>
      </c>
    </row>
    <row r="311" spans="1:14">
      <c r="A311" s="27" t="s">
        <v>10</v>
      </c>
      <c r="B311" s="27" t="s">
        <v>204</v>
      </c>
      <c r="C311" s="27">
        <v>3048</v>
      </c>
      <c r="D311" s="27" t="s">
        <v>147</v>
      </c>
      <c r="E311" s="27" t="s">
        <v>13</v>
      </c>
      <c r="F311" s="27" t="s">
        <v>149</v>
      </c>
      <c r="G311" s="27" t="str">
        <f>_xlfn.CONCAT(inicioTerminales[[#This Row],[MARCA CHASIS]]," - ", inicioTerminales[[#This Row],[TIPO BUS]])</f>
        <v>FOTON - BE</v>
      </c>
      <c r="H311" s="27" t="s">
        <v>130</v>
      </c>
      <c r="I311" s="52">
        <v>44991</v>
      </c>
      <c r="J311" s="27" t="s">
        <v>1341</v>
      </c>
      <c r="K311" s="27" t="s">
        <v>836</v>
      </c>
      <c r="L311" s="27" t="s">
        <v>851</v>
      </c>
      <c r="M311" s="27" t="s">
        <v>130</v>
      </c>
      <c r="N311" s="27" t="str">
        <f>inicioTerminales[[#This Row],[TIPO BUS]]&amp;"-"&amp;inicioTerminales[[#This Row],[MARCA CHASIS]]</f>
        <v>BE-FOTON</v>
      </c>
    </row>
    <row r="312" spans="1:14">
      <c r="A312" s="27" t="s">
        <v>10</v>
      </c>
      <c r="B312" s="27" t="s">
        <v>205</v>
      </c>
      <c r="C312" s="27">
        <v>3049</v>
      </c>
      <c r="D312" s="27" t="s">
        <v>147</v>
      </c>
      <c r="E312" s="27" t="s">
        <v>13</v>
      </c>
      <c r="F312" s="27" t="s">
        <v>149</v>
      </c>
      <c r="G312" s="27" t="str">
        <f>_xlfn.CONCAT(inicioTerminales[[#This Row],[MARCA CHASIS]]," - ", inicioTerminales[[#This Row],[TIPO BUS]])</f>
        <v>FOTON - BE</v>
      </c>
      <c r="H312" s="27" t="s">
        <v>130</v>
      </c>
      <c r="I312" s="52">
        <v>44991</v>
      </c>
      <c r="J312" s="27" t="s">
        <v>1341</v>
      </c>
      <c r="K312" s="27" t="s">
        <v>836</v>
      </c>
      <c r="L312" s="27" t="s">
        <v>851</v>
      </c>
      <c r="M312" s="27" t="s">
        <v>130</v>
      </c>
      <c r="N312" s="27" t="str">
        <f>inicioTerminales[[#This Row],[TIPO BUS]]&amp;"-"&amp;inicioTerminales[[#This Row],[MARCA CHASIS]]</f>
        <v>BE-FOTON</v>
      </c>
    </row>
    <row r="313" spans="1:14">
      <c r="A313" s="27" t="s">
        <v>10</v>
      </c>
      <c r="B313" s="27" t="s">
        <v>206</v>
      </c>
      <c r="C313" s="27">
        <v>3050</v>
      </c>
      <c r="D313" s="27" t="s">
        <v>147</v>
      </c>
      <c r="E313" s="27" t="s">
        <v>13</v>
      </c>
      <c r="F313" s="27" t="s">
        <v>149</v>
      </c>
      <c r="G313" s="27" t="str">
        <f>_xlfn.CONCAT(inicioTerminales[[#This Row],[MARCA CHASIS]]," - ", inicioTerminales[[#This Row],[TIPO BUS]])</f>
        <v>FOTON - BE</v>
      </c>
      <c r="H313" s="27" t="s">
        <v>130</v>
      </c>
      <c r="I313" s="52">
        <v>44991</v>
      </c>
      <c r="J313" s="27" t="s">
        <v>1341</v>
      </c>
      <c r="K313" s="27" t="s">
        <v>836</v>
      </c>
      <c r="L313" s="27" t="s">
        <v>851</v>
      </c>
      <c r="M313" s="27" t="s">
        <v>130</v>
      </c>
      <c r="N313" s="27" t="str">
        <f>inicioTerminales[[#This Row],[TIPO BUS]]&amp;"-"&amp;inicioTerminales[[#This Row],[MARCA CHASIS]]</f>
        <v>BE-FOTON</v>
      </c>
    </row>
    <row r="314" spans="1:14">
      <c r="A314" s="27" t="s">
        <v>10</v>
      </c>
      <c r="B314" s="27" t="s">
        <v>207</v>
      </c>
      <c r="C314" s="27">
        <v>3051</v>
      </c>
      <c r="D314" s="27" t="s">
        <v>147</v>
      </c>
      <c r="E314" s="27" t="s">
        <v>13</v>
      </c>
      <c r="F314" s="27" t="s">
        <v>149</v>
      </c>
      <c r="G314" s="27" t="str">
        <f>_xlfn.CONCAT(inicioTerminales[[#This Row],[MARCA CHASIS]]," - ", inicioTerminales[[#This Row],[TIPO BUS]])</f>
        <v>FOTON - BE</v>
      </c>
      <c r="H314" s="27" t="s">
        <v>130</v>
      </c>
      <c r="I314" s="52">
        <v>44991</v>
      </c>
      <c r="J314" s="27" t="s">
        <v>1341</v>
      </c>
      <c r="K314" s="27" t="s">
        <v>836</v>
      </c>
      <c r="L314" s="27" t="s">
        <v>851</v>
      </c>
      <c r="M314" s="27" t="s">
        <v>130</v>
      </c>
      <c r="N314" s="27" t="str">
        <f>inicioTerminales[[#This Row],[TIPO BUS]]&amp;"-"&amp;inicioTerminales[[#This Row],[MARCA CHASIS]]</f>
        <v>BE-FOTON</v>
      </c>
    </row>
    <row r="315" spans="1:14">
      <c r="A315" s="27" t="s">
        <v>421</v>
      </c>
      <c r="B315" s="27" t="s">
        <v>730</v>
      </c>
      <c r="C315" s="27">
        <v>7025</v>
      </c>
      <c r="D315" s="27" t="s">
        <v>147</v>
      </c>
      <c r="E315" s="27" t="s">
        <v>25</v>
      </c>
      <c r="F315" s="27" t="s">
        <v>149</v>
      </c>
      <c r="G315" s="27" t="str">
        <f>_xlfn.CONCAT(inicioTerminales[[#This Row],[MARCA CHASIS]]," - ", inicioTerminales[[#This Row],[TIPO BUS]])</f>
        <v>FOTON - BE</v>
      </c>
      <c r="H315" s="27" t="s">
        <v>674</v>
      </c>
      <c r="I315" s="52">
        <v>45003</v>
      </c>
      <c r="J315" s="27" t="s">
        <v>1341</v>
      </c>
      <c r="K315" s="27" t="s">
        <v>840</v>
      </c>
      <c r="L315" s="27" t="s">
        <v>853</v>
      </c>
      <c r="M315" s="27" t="s">
        <v>674</v>
      </c>
      <c r="N315" s="27" t="str">
        <f>inicioTerminales[[#This Row],[TIPO BUS]]&amp;"-"&amp;inicioTerminales[[#This Row],[MARCA CHASIS]]</f>
        <v>BE-FOTON</v>
      </c>
    </row>
    <row r="316" spans="1:14">
      <c r="A316" s="27" t="s">
        <v>421</v>
      </c>
      <c r="B316" s="27" t="s">
        <v>580</v>
      </c>
      <c r="C316" s="27">
        <v>7026</v>
      </c>
      <c r="D316" s="27" t="s">
        <v>147</v>
      </c>
      <c r="E316" s="27" t="s">
        <v>25</v>
      </c>
      <c r="F316" s="27" t="s">
        <v>149</v>
      </c>
      <c r="G316" s="27" t="str">
        <f>_xlfn.CONCAT(inicioTerminales[[#This Row],[MARCA CHASIS]]," - ", inicioTerminales[[#This Row],[TIPO BUS]])</f>
        <v>FOTON - BE</v>
      </c>
      <c r="H316" s="27" t="s">
        <v>493</v>
      </c>
      <c r="I316" s="52">
        <v>45003</v>
      </c>
      <c r="J316" s="27" t="s">
        <v>1341</v>
      </c>
      <c r="K316" s="27" t="s">
        <v>841</v>
      </c>
      <c r="L316" s="27" t="s">
        <v>849</v>
      </c>
      <c r="M316" s="27" t="s">
        <v>493</v>
      </c>
      <c r="N316" s="27" t="str">
        <f>inicioTerminales[[#This Row],[TIPO BUS]]&amp;"-"&amp;inicioTerminales[[#This Row],[MARCA CHASIS]]</f>
        <v>BE-FOTON</v>
      </c>
    </row>
    <row r="317" spans="1:14">
      <c r="A317" s="27" t="s">
        <v>421</v>
      </c>
      <c r="B317" s="27" t="s">
        <v>581</v>
      </c>
      <c r="C317" s="27">
        <v>7027</v>
      </c>
      <c r="D317" s="27" t="s">
        <v>147</v>
      </c>
      <c r="E317" s="27" t="s">
        <v>25</v>
      </c>
      <c r="F317" s="27" t="s">
        <v>149</v>
      </c>
      <c r="G317" s="27" t="str">
        <f>_xlfn.CONCAT(inicioTerminales[[#This Row],[MARCA CHASIS]]," - ", inicioTerminales[[#This Row],[TIPO BUS]])</f>
        <v>FOTON - BE</v>
      </c>
      <c r="H317" s="27" t="s">
        <v>493</v>
      </c>
      <c r="I317" s="52">
        <v>45003</v>
      </c>
      <c r="J317" s="27" t="s">
        <v>1341</v>
      </c>
      <c r="K317" s="27" t="s">
        <v>841</v>
      </c>
      <c r="L317" s="27" t="s">
        <v>849</v>
      </c>
      <c r="M317" s="27" t="s">
        <v>493</v>
      </c>
      <c r="N317" s="27" t="str">
        <f>inicioTerminales[[#This Row],[TIPO BUS]]&amp;"-"&amp;inicioTerminales[[#This Row],[MARCA CHASIS]]</f>
        <v>BE-FOTON</v>
      </c>
    </row>
    <row r="318" spans="1:14">
      <c r="A318" s="27" t="s">
        <v>421</v>
      </c>
      <c r="B318" s="27" t="s">
        <v>731</v>
      </c>
      <c r="C318" s="27">
        <v>7028</v>
      </c>
      <c r="D318" s="27" t="s">
        <v>147</v>
      </c>
      <c r="E318" s="27" t="s">
        <v>25</v>
      </c>
      <c r="F318" s="27" t="s">
        <v>149</v>
      </c>
      <c r="G318" s="27" t="str">
        <f>_xlfn.CONCAT(inicioTerminales[[#This Row],[MARCA CHASIS]]," - ", inicioTerminales[[#This Row],[TIPO BUS]])</f>
        <v>FOTON - BE</v>
      </c>
      <c r="H318" s="27" t="s">
        <v>674</v>
      </c>
      <c r="I318" s="52">
        <v>45003</v>
      </c>
      <c r="J318" s="27" t="s">
        <v>1341</v>
      </c>
      <c r="K318" s="27" t="s">
        <v>840</v>
      </c>
      <c r="L318" s="27" t="s">
        <v>853</v>
      </c>
      <c r="M318" s="27" t="s">
        <v>674</v>
      </c>
      <c r="N318" s="27" t="str">
        <f>inicioTerminales[[#This Row],[TIPO BUS]]&amp;"-"&amp;inicioTerminales[[#This Row],[MARCA CHASIS]]</f>
        <v>BE-FOTON</v>
      </c>
    </row>
    <row r="319" spans="1:14">
      <c r="A319" s="27" t="s">
        <v>421</v>
      </c>
      <c r="B319" s="27" t="s">
        <v>582</v>
      </c>
      <c r="C319" s="27">
        <v>7029</v>
      </c>
      <c r="D319" s="27" t="s">
        <v>147</v>
      </c>
      <c r="E319" s="27" t="s">
        <v>25</v>
      </c>
      <c r="F319" s="27" t="s">
        <v>149</v>
      </c>
      <c r="G319" s="27" t="str">
        <f>_xlfn.CONCAT(inicioTerminales[[#This Row],[MARCA CHASIS]]," - ", inicioTerminales[[#This Row],[TIPO BUS]])</f>
        <v>FOTON - BE</v>
      </c>
      <c r="H319" s="27" t="s">
        <v>493</v>
      </c>
      <c r="I319" s="52">
        <v>45003</v>
      </c>
      <c r="J319" s="27" t="s">
        <v>1341</v>
      </c>
      <c r="K319" s="27" t="s">
        <v>841</v>
      </c>
      <c r="L319" s="27" t="s">
        <v>849</v>
      </c>
      <c r="M319" s="27" t="s">
        <v>493</v>
      </c>
      <c r="N319" s="27" t="str">
        <f>inicioTerminales[[#This Row],[TIPO BUS]]&amp;"-"&amp;inicioTerminales[[#This Row],[MARCA CHASIS]]</f>
        <v>BE-FOTON</v>
      </c>
    </row>
    <row r="320" spans="1:14">
      <c r="A320" s="27" t="s">
        <v>421</v>
      </c>
      <c r="B320" s="27" t="s">
        <v>583</v>
      </c>
      <c r="C320" s="27">
        <v>7030</v>
      </c>
      <c r="D320" s="27" t="s">
        <v>147</v>
      </c>
      <c r="E320" s="27" t="s">
        <v>13</v>
      </c>
      <c r="F320" s="27" t="s">
        <v>149</v>
      </c>
      <c r="G320" s="27" t="str">
        <f>_xlfn.CONCAT(inicioTerminales[[#This Row],[MARCA CHASIS]]," - ", inicioTerminales[[#This Row],[TIPO BUS]])</f>
        <v>FOTON - BE</v>
      </c>
      <c r="H320" s="27" t="s">
        <v>493</v>
      </c>
      <c r="I320" s="52">
        <v>45003</v>
      </c>
      <c r="J320" s="27" t="s">
        <v>1341</v>
      </c>
      <c r="K320" s="27" t="s">
        <v>841</v>
      </c>
      <c r="L320" s="27" t="s">
        <v>849</v>
      </c>
      <c r="M320" s="27" t="s">
        <v>493</v>
      </c>
      <c r="N320" s="27" t="str">
        <f>inicioTerminales[[#This Row],[TIPO BUS]]&amp;"-"&amp;inicioTerminales[[#This Row],[MARCA CHASIS]]</f>
        <v>BE-FOTON</v>
      </c>
    </row>
    <row r="321" spans="1:14">
      <c r="A321" s="27" t="s">
        <v>421</v>
      </c>
      <c r="B321" s="27" t="s">
        <v>812</v>
      </c>
      <c r="C321" s="27">
        <v>7031</v>
      </c>
      <c r="D321" s="27" t="s">
        <v>147</v>
      </c>
      <c r="E321" s="27" t="s">
        <v>13</v>
      </c>
      <c r="F321" s="27" t="s">
        <v>149</v>
      </c>
      <c r="G321" s="27" t="str">
        <f>_xlfn.CONCAT(inicioTerminales[[#This Row],[MARCA CHASIS]]," - ", inicioTerminales[[#This Row],[TIPO BUS]])</f>
        <v>FOTON - BE</v>
      </c>
      <c r="H321" s="27" t="s">
        <v>493</v>
      </c>
      <c r="I321" s="52">
        <v>45003</v>
      </c>
      <c r="J321" s="27" t="s">
        <v>1341</v>
      </c>
      <c r="K321" s="27" t="s">
        <v>841</v>
      </c>
      <c r="L321" s="27" t="s">
        <v>849</v>
      </c>
      <c r="M321" s="27" t="s">
        <v>493</v>
      </c>
      <c r="N321" s="27" t="str">
        <f>inicioTerminales[[#This Row],[TIPO BUS]]&amp;"-"&amp;inicioTerminales[[#This Row],[MARCA CHASIS]]</f>
        <v>BE-FOTON</v>
      </c>
    </row>
    <row r="322" spans="1:14">
      <c r="A322" s="27" t="s">
        <v>421</v>
      </c>
      <c r="B322" s="27" t="s">
        <v>584</v>
      </c>
      <c r="C322" s="27">
        <v>7032</v>
      </c>
      <c r="D322" s="27" t="s">
        <v>147</v>
      </c>
      <c r="E322" s="27" t="s">
        <v>13</v>
      </c>
      <c r="F322" s="27" t="s">
        <v>149</v>
      </c>
      <c r="G322" s="27" t="str">
        <f>_xlfn.CONCAT(inicioTerminales[[#This Row],[MARCA CHASIS]]," - ", inicioTerminales[[#This Row],[TIPO BUS]])</f>
        <v>FOTON - BE</v>
      </c>
      <c r="H322" s="27" t="s">
        <v>493</v>
      </c>
      <c r="I322" s="52">
        <v>45003</v>
      </c>
      <c r="J322" s="27" t="s">
        <v>1341</v>
      </c>
      <c r="K322" s="27" t="s">
        <v>841</v>
      </c>
      <c r="L322" s="27" t="s">
        <v>849</v>
      </c>
      <c r="M322" s="27" t="s">
        <v>493</v>
      </c>
      <c r="N322" s="27" t="str">
        <f>inicioTerminales[[#This Row],[TIPO BUS]]&amp;"-"&amp;inicioTerminales[[#This Row],[MARCA CHASIS]]</f>
        <v>BE-FOTON</v>
      </c>
    </row>
    <row r="323" spans="1:14">
      <c r="A323" s="27" t="s">
        <v>421</v>
      </c>
      <c r="B323" s="27" t="s">
        <v>585</v>
      </c>
      <c r="C323" s="27">
        <v>7033</v>
      </c>
      <c r="D323" s="27" t="s">
        <v>147</v>
      </c>
      <c r="E323" s="27" t="s">
        <v>13</v>
      </c>
      <c r="F323" s="27" t="s">
        <v>149</v>
      </c>
      <c r="G323" s="27" t="str">
        <f>_xlfn.CONCAT(inicioTerminales[[#This Row],[MARCA CHASIS]]," - ", inicioTerminales[[#This Row],[TIPO BUS]])</f>
        <v>FOTON - BE</v>
      </c>
      <c r="H323" s="27" t="s">
        <v>493</v>
      </c>
      <c r="I323" s="52">
        <v>45003</v>
      </c>
      <c r="J323" s="27" t="s">
        <v>1341</v>
      </c>
      <c r="K323" s="27" t="s">
        <v>841</v>
      </c>
      <c r="L323" s="27" t="s">
        <v>849</v>
      </c>
      <c r="M323" s="27" t="s">
        <v>493</v>
      </c>
      <c r="N323" s="27" t="str">
        <f>inicioTerminales[[#This Row],[TIPO BUS]]&amp;"-"&amp;inicioTerminales[[#This Row],[MARCA CHASIS]]</f>
        <v>BE-FOTON</v>
      </c>
    </row>
    <row r="324" spans="1:14">
      <c r="A324" s="27" t="s">
        <v>421</v>
      </c>
      <c r="B324" s="27" t="s">
        <v>586</v>
      </c>
      <c r="C324" s="27">
        <v>7034</v>
      </c>
      <c r="D324" s="27" t="s">
        <v>147</v>
      </c>
      <c r="E324" s="27" t="s">
        <v>13</v>
      </c>
      <c r="F324" s="27" t="s">
        <v>149</v>
      </c>
      <c r="G324" s="27" t="str">
        <f>_xlfn.CONCAT(inicioTerminales[[#This Row],[MARCA CHASIS]]," - ", inicioTerminales[[#This Row],[TIPO BUS]])</f>
        <v>FOTON - BE</v>
      </c>
      <c r="H324" s="27" t="s">
        <v>493</v>
      </c>
      <c r="I324" s="52">
        <v>45003</v>
      </c>
      <c r="J324" s="27" t="s">
        <v>1341</v>
      </c>
      <c r="K324" s="27" t="s">
        <v>841</v>
      </c>
      <c r="L324" s="27" t="s">
        <v>849</v>
      </c>
      <c r="M324" s="27" t="s">
        <v>493</v>
      </c>
      <c r="N324" s="27" t="str">
        <f>inicioTerminales[[#This Row],[TIPO BUS]]&amp;"-"&amp;inicioTerminales[[#This Row],[MARCA CHASIS]]</f>
        <v>BE-FOTON</v>
      </c>
    </row>
    <row r="325" spans="1:14">
      <c r="A325" s="27" t="s">
        <v>421</v>
      </c>
      <c r="B325" s="27" t="s">
        <v>587</v>
      </c>
      <c r="C325" s="27">
        <v>7035</v>
      </c>
      <c r="D325" s="27" t="s">
        <v>147</v>
      </c>
      <c r="E325" s="27" t="s">
        <v>13</v>
      </c>
      <c r="F325" s="27" t="s">
        <v>149</v>
      </c>
      <c r="G325" s="27" t="str">
        <f>_xlfn.CONCAT(inicioTerminales[[#This Row],[MARCA CHASIS]]," - ", inicioTerminales[[#This Row],[TIPO BUS]])</f>
        <v>FOTON - BE</v>
      </c>
      <c r="H325" s="27" t="s">
        <v>493</v>
      </c>
      <c r="I325" s="52">
        <v>45003</v>
      </c>
      <c r="J325" s="27" t="s">
        <v>1341</v>
      </c>
      <c r="K325" s="27" t="s">
        <v>841</v>
      </c>
      <c r="L325" s="27" t="s">
        <v>849</v>
      </c>
      <c r="M325" s="27" t="s">
        <v>493</v>
      </c>
      <c r="N325" s="27" t="str">
        <f>inicioTerminales[[#This Row],[TIPO BUS]]&amp;"-"&amp;inicioTerminales[[#This Row],[MARCA CHASIS]]</f>
        <v>BE-FOTON</v>
      </c>
    </row>
    <row r="326" spans="1:14">
      <c r="A326" s="27" t="s">
        <v>421</v>
      </c>
      <c r="B326" s="27" t="s">
        <v>588</v>
      </c>
      <c r="C326" s="27">
        <v>7036</v>
      </c>
      <c r="D326" s="27" t="s">
        <v>147</v>
      </c>
      <c r="E326" s="27" t="s">
        <v>13</v>
      </c>
      <c r="F326" s="27" t="s">
        <v>149</v>
      </c>
      <c r="G326" s="27" t="str">
        <f>_xlfn.CONCAT(inicioTerminales[[#This Row],[MARCA CHASIS]]," - ", inicioTerminales[[#This Row],[TIPO BUS]])</f>
        <v>FOTON - BE</v>
      </c>
      <c r="H326" s="27" t="s">
        <v>493</v>
      </c>
      <c r="I326" s="52">
        <v>45003</v>
      </c>
      <c r="J326" s="27" t="s">
        <v>1341</v>
      </c>
      <c r="K326" s="27" t="s">
        <v>841</v>
      </c>
      <c r="L326" s="27" t="s">
        <v>849</v>
      </c>
      <c r="M326" s="27" t="s">
        <v>493</v>
      </c>
      <c r="N326" s="27" t="str">
        <f>inicioTerminales[[#This Row],[TIPO BUS]]&amp;"-"&amp;inicioTerminales[[#This Row],[MARCA CHASIS]]</f>
        <v>BE-FOTON</v>
      </c>
    </row>
    <row r="327" spans="1:14">
      <c r="A327" s="27" t="s">
        <v>421</v>
      </c>
      <c r="B327" s="27" t="s">
        <v>589</v>
      </c>
      <c r="C327" s="27">
        <v>7037</v>
      </c>
      <c r="D327" s="27" t="s">
        <v>147</v>
      </c>
      <c r="E327" s="27" t="s">
        <v>13</v>
      </c>
      <c r="F327" s="27" t="s">
        <v>149</v>
      </c>
      <c r="G327" s="27" t="str">
        <f>_xlfn.CONCAT(inicioTerminales[[#This Row],[MARCA CHASIS]]," - ", inicioTerminales[[#This Row],[TIPO BUS]])</f>
        <v>FOTON - BE</v>
      </c>
      <c r="H327" s="27" t="s">
        <v>493</v>
      </c>
      <c r="I327" s="52">
        <v>45003</v>
      </c>
      <c r="J327" s="27" t="s">
        <v>1341</v>
      </c>
      <c r="K327" s="27" t="s">
        <v>841</v>
      </c>
      <c r="L327" s="27" t="s">
        <v>849</v>
      </c>
      <c r="M327" s="27" t="s">
        <v>493</v>
      </c>
      <c r="N327" s="27" t="str">
        <f>inicioTerminales[[#This Row],[TIPO BUS]]&amp;"-"&amp;inicioTerminales[[#This Row],[MARCA CHASIS]]</f>
        <v>BE-FOTON</v>
      </c>
    </row>
    <row r="328" spans="1:14">
      <c r="A328" s="27" t="s">
        <v>421</v>
      </c>
      <c r="B328" s="27" t="s">
        <v>590</v>
      </c>
      <c r="C328" s="27">
        <v>7038</v>
      </c>
      <c r="D328" s="27" t="s">
        <v>147</v>
      </c>
      <c r="E328" s="27" t="s">
        <v>13</v>
      </c>
      <c r="F328" s="27" t="s">
        <v>149</v>
      </c>
      <c r="G328" s="27" t="str">
        <f>_xlfn.CONCAT(inicioTerminales[[#This Row],[MARCA CHASIS]]," - ", inicioTerminales[[#This Row],[TIPO BUS]])</f>
        <v>FOTON - BE</v>
      </c>
      <c r="H328" s="27" t="s">
        <v>493</v>
      </c>
      <c r="I328" s="52">
        <v>45003</v>
      </c>
      <c r="J328" s="27" t="s">
        <v>1341</v>
      </c>
      <c r="K328" s="27" t="s">
        <v>841</v>
      </c>
      <c r="L328" s="27" t="s">
        <v>849</v>
      </c>
      <c r="M328" s="27" t="s">
        <v>493</v>
      </c>
      <c r="N328" s="27" t="str">
        <f>inicioTerminales[[#This Row],[TIPO BUS]]&amp;"-"&amp;inicioTerminales[[#This Row],[MARCA CHASIS]]</f>
        <v>BE-FOTON</v>
      </c>
    </row>
    <row r="329" spans="1:14">
      <c r="A329" s="27" t="s">
        <v>421</v>
      </c>
      <c r="B329" s="27" t="s">
        <v>591</v>
      </c>
      <c r="C329" s="27">
        <v>7039</v>
      </c>
      <c r="D329" s="27" t="s">
        <v>147</v>
      </c>
      <c r="E329" s="27" t="s">
        <v>13</v>
      </c>
      <c r="F329" s="27" t="s">
        <v>149</v>
      </c>
      <c r="G329" s="27" t="str">
        <f>_xlfn.CONCAT(inicioTerminales[[#This Row],[MARCA CHASIS]]," - ", inicioTerminales[[#This Row],[TIPO BUS]])</f>
        <v>FOTON - BE</v>
      </c>
      <c r="H329" s="27" t="s">
        <v>493</v>
      </c>
      <c r="I329" s="52">
        <v>45003</v>
      </c>
      <c r="J329" s="27" t="s">
        <v>1341</v>
      </c>
      <c r="K329" s="27" t="s">
        <v>841</v>
      </c>
      <c r="L329" s="27" t="s">
        <v>849</v>
      </c>
      <c r="M329" s="27" t="s">
        <v>493</v>
      </c>
      <c r="N329" s="27" t="str">
        <f>inicioTerminales[[#This Row],[TIPO BUS]]&amp;"-"&amp;inicioTerminales[[#This Row],[MARCA CHASIS]]</f>
        <v>BE-FOTON</v>
      </c>
    </row>
    <row r="330" spans="1:14">
      <c r="A330" s="27" t="s">
        <v>421</v>
      </c>
      <c r="B330" s="27" t="s">
        <v>732</v>
      </c>
      <c r="C330" s="27">
        <v>7040</v>
      </c>
      <c r="D330" s="27" t="s">
        <v>147</v>
      </c>
      <c r="E330" s="27" t="s">
        <v>25</v>
      </c>
      <c r="F330" s="27" t="s">
        <v>149</v>
      </c>
      <c r="G330" s="27" t="str">
        <f>_xlfn.CONCAT(inicioTerminales[[#This Row],[MARCA CHASIS]]," - ", inicioTerminales[[#This Row],[TIPO BUS]])</f>
        <v>FOTON - BE</v>
      </c>
      <c r="H330" s="27" t="s">
        <v>674</v>
      </c>
      <c r="I330" s="52">
        <v>45003</v>
      </c>
      <c r="J330" s="27" t="s">
        <v>1341</v>
      </c>
      <c r="K330" s="27" t="s">
        <v>840</v>
      </c>
      <c r="L330" s="27" t="s">
        <v>853</v>
      </c>
      <c r="M330" s="27" t="s">
        <v>674</v>
      </c>
      <c r="N330" s="27" t="str">
        <f>inicioTerminales[[#This Row],[TIPO BUS]]&amp;"-"&amp;inicioTerminales[[#This Row],[MARCA CHASIS]]</f>
        <v>BE-FOTON</v>
      </c>
    </row>
    <row r="331" spans="1:14">
      <c r="A331" s="27" t="s">
        <v>421</v>
      </c>
      <c r="B331" s="27" t="s">
        <v>813</v>
      </c>
      <c r="C331" s="27">
        <v>7041</v>
      </c>
      <c r="D331" s="27" t="s">
        <v>147</v>
      </c>
      <c r="E331" s="27" t="s">
        <v>13</v>
      </c>
      <c r="F331" s="27" t="s">
        <v>149</v>
      </c>
      <c r="G331" s="27" t="str">
        <f>_xlfn.CONCAT(inicioTerminales[[#This Row],[MARCA CHASIS]]," - ", inicioTerminales[[#This Row],[TIPO BUS]])</f>
        <v>FOTON - BE</v>
      </c>
      <c r="H331" s="27" t="s">
        <v>1371</v>
      </c>
      <c r="I331" s="52">
        <v>45003</v>
      </c>
      <c r="J331" s="27" t="s">
        <v>1341</v>
      </c>
      <c r="K331" s="27" t="s">
        <v>841</v>
      </c>
      <c r="L331" s="27" t="s">
        <v>849</v>
      </c>
      <c r="M331" s="27" t="s">
        <v>493</v>
      </c>
      <c r="N331" s="27" t="str">
        <f>inicioTerminales[[#This Row],[TIPO BUS]]&amp;"-"&amp;inicioTerminales[[#This Row],[MARCA CHASIS]]</f>
        <v>BE-FOTON</v>
      </c>
    </row>
    <row r="332" spans="1:14">
      <c r="A332" s="27" t="s">
        <v>421</v>
      </c>
      <c r="B332" s="27" t="s">
        <v>592</v>
      </c>
      <c r="C332" s="27">
        <v>7042</v>
      </c>
      <c r="D332" s="27" t="s">
        <v>147</v>
      </c>
      <c r="E332" s="27" t="s">
        <v>25</v>
      </c>
      <c r="F332" s="27" t="s">
        <v>149</v>
      </c>
      <c r="G332" s="27" t="str">
        <f>_xlfn.CONCAT(inicioTerminales[[#This Row],[MARCA CHASIS]]," - ", inicioTerminales[[#This Row],[TIPO BUS]])</f>
        <v>FOTON - BE</v>
      </c>
      <c r="H332" s="27" t="s">
        <v>493</v>
      </c>
      <c r="I332" s="52">
        <v>45003</v>
      </c>
      <c r="J332" s="27" t="s">
        <v>1341</v>
      </c>
      <c r="K332" s="27" t="s">
        <v>841</v>
      </c>
      <c r="L332" s="27" t="s">
        <v>849</v>
      </c>
      <c r="M332" s="27" t="s">
        <v>493</v>
      </c>
      <c r="N332" s="27" t="str">
        <f>inicioTerminales[[#This Row],[TIPO BUS]]&amp;"-"&amp;inicioTerminales[[#This Row],[MARCA CHASIS]]</f>
        <v>BE-FOTON</v>
      </c>
    </row>
    <row r="333" spans="1:14">
      <c r="A333" s="27" t="s">
        <v>421</v>
      </c>
      <c r="B333" s="27" t="s">
        <v>814</v>
      </c>
      <c r="C333" s="27">
        <v>7043</v>
      </c>
      <c r="D333" s="27" t="s">
        <v>147</v>
      </c>
      <c r="E333" s="27" t="s">
        <v>13</v>
      </c>
      <c r="F333" s="27" t="s">
        <v>149</v>
      </c>
      <c r="G333" s="27" t="str">
        <f>_xlfn.CONCAT(inicioTerminales[[#This Row],[MARCA CHASIS]]," - ", inicioTerminales[[#This Row],[TIPO BUS]])</f>
        <v>FOTON - BE</v>
      </c>
      <c r="H333" s="27" t="s">
        <v>1371</v>
      </c>
      <c r="I333" s="52">
        <v>45003</v>
      </c>
      <c r="J333" s="27" t="s">
        <v>1341</v>
      </c>
      <c r="K333" s="27" t="s">
        <v>841</v>
      </c>
      <c r="L333" s="27" t="s">
        <v>849</v>
      </c>
      <c r="M333" s="27" t="s">
        <v>493</v>
      </c>
      <c r="N333" s="27" t="str">
        <f>inicioTerminales[[#This Row],[TIPO BUS]]&amp;"-"&amp;inicioTerminales[[#This Row],[MARCA CHASIS]]</f>
        <v>BE-FOTON</v>
      </c>
    </row>
    <row r="334" spans="1:14">
      <c r="A334" s="27" t="s">
        <v>421</v>
      </c>
      <c r="B334" s="27" t="s">
        <v>815</v>
      </c>
      <c r="C334" s="27">
        <v>7044</v>
      </c>
      <c r="D334" s="27" t="s">
        <v>147</v>
      </c>
      <c r="E334" s="27" t="s">
        <v>13</v>
      </c>
      <c r="F334" s="27" t="s">
        <v>149</v>
      </c>
      <c r="G334" s="27" t="str">
        <f>_xlfn.CONCAT(inicioTerminales[[#This Row],[MARCA CHASIS]]," - ", inicioTerminales[[#This Row],[TIPO BUS]])</f>
        <v>FOTON - BE</v>
      </c>
      <c r="H334" s="27" t="s">
        <v>493</v>
      </c>
      <c r="I334" s="52">
        <v>45003</v>
      </c>
      <c r="J334" s="27" t="s">
        <v>1341</v>
      </c>
      <c r="K334" s="27" t="s">
        <v>841</v>
      </c>
      <c r="L334" s="27" t="s">
        <v>849</v>
      </c>
      <c r="M334" s="27" t="s">
        <v>493</v>
      </c>
      <c r="N334" s="27" t="str">
        <f>inicioTerminales[[#This Row],[TIPO BUS]]&amp;"-"&amp;inicioTerminales[[#This Row],[MARCA CHASIS]]</f>
        <v>BE-FOTON</v>
      </c>
    </row>
    <row r="335" spans="1:14">
      <c r="A335" s="27" t="s">
        <v>421</v>
      </c>
      <c r="B335" s="27" t="s">
        <v>593</v>
      </c>
      <c r="C335" s="27">
        <v>7045</v>
      </c>
      <c r="D335" s="27" t="s">
        <v>147</v>
      </c>
      <c r="E335" s="27" t="s">
        <v>13</v>
      </c>
      <c r="F335" s="27" t="s">
        <v>149</v>
      </c>
      <c r="G335" s="27" t="str">
        <f>_xlfn.CONCAT(inicioTerminales[[#This Row],[MARCA CHASIS]]," - ", inicioTerminales[[#This Row],[TIPO BUS]])</f>
        <v>FOTON - BE</v>
      </c>
      <c r="H335" s="27" t="s">
        <v>493</v>
      </c>
      <c r="I335" s="52">
        <v>45003</v>
      </c>
      <c r="J335" s="27" t="s">
        <v>1341</v>
      </c>
      <c r="K335" s="27" t="s">
        <v>841</v>
      </c>
      <c r="L335" s="27" t="s">
        <v>849</v>
      </c>
      <c r="M335" s="27" t="s">
        <v>493</v>
      </c>
      <c r="N335" s="27" t="str">
        <f>inicioTerminales[[#This Row],[TIPO BUS]]&amp;"-"&amp;inicioTerminales[[#This Row],[MARCA CHASIS]]</f>
        <v>BE-FOTON</v>
      </c>
    </row>
    <row r="336" spans="1:14">
      <c r="A336" s="27" t="s">
        <v>421</v>
      </c>
      <c r="B336" s="27" t="s">
        <v>594</v>
      </c>
      <c r="C336" s="27">
        <v>7046</v>
      </c>
      <c r="D336" s="27" t="s">
        <v>147</v>
      </c>
      <c r="E336" s="27" t="s">
        <v>13</v>
      </c>
      <c r="F336" s="27" t="s">
        <v>149</v>
      </c>
      <c r="G336" s="27" t="str">
        <f>_xlfn.CONCAT(inicioTerminales[[#This Row],[MARCA CHASIS]]," - ", inicioTerminales[[#This Row],[TIPO BUS]])</f>
        <v>FOTON - BE</v>
      </c>
      <c r="H336" s="27" t="s">
        <v>493</v>
      </c>
      <c r="I336" s="52">
        <v>45003</v>
      </c>
      <c r="J336" s="27" t="s">
        <v>1341</v>
      </c>
      <c r="K336" s="27" t="s">
        <v>841</v>
      </c>
      <c r="L336" s="27" t="s">
        <v>849</v>
      </c>
      <c r="M336" s="27" t="s">
        <v>493</v>
      </c>
      <c r="N336" s="27" t="str">
        <f>inicioTerminales[[#This Row],[TIPO BUS]]&amp;"-"&amp;inicioTerminales[[#This Row],[MARCA CHASIS]]</f>
        <v>BE-FOTON</v>
      </c>
    </row>
    <row r="337" spans="1:14">
      <c r="A337" s="27" t="s">
        <v>421</v>
      </c>
      <c r="B337" s="27" t="s">
        <v>595</v>
      </c>
      <c r="C337" s="27">
        <v>7047</v>
      </c>
      <c r="D337" s="27" t="s">
        <v>147</v>
      </c>
      <c r="E337" s="27" t="s">
        <v>13</v>
      </c>
      <c r="F337" s="27" t="s">
        <v>149</v>
      </c>
      <c r="G337" s="27" t="str">
        <f>_xlfn.CONCAT(inicioTerminales[[#This Row],[MARCA CHASIS]]," - ", inicioTerminales[[#This Row],[TIPO BUS]])</f>
        <v>FOTON - BE</v>
      </c>
      <c r="H337" s="27" t="s">
        <v>493</v>
      </c>
      <c r="I337" s="52">
        <v>45003</v>
      </c>
      <c r="J337" s="27" t="s">
        <v>1341</v>
      </c>
      <c r="K337" s="27" t="s">
        <v>841</v>
      </c>
      <c r="L337" s="27" t="s">
        <v>849</v>
      </c>
      <c r="M337" s="27" t="s">
        <v>493</v>
      </c>
      <c r="N337" s="27" t="str">
        <f>inicioTerminales[[#This Row],[TIPO BUS]]&amp;"-"&amp;inicioTerminales[[#This Row],[MARCA CHASIS]]</f>
        <v>BE-FOTON</v>
      </c>
    </row>
    <row r="338" spans="1:14">
      <c r="A338" s="27" t="s">
        <v>421</v>
      </c>
      <c r="B338" s="27" t="s">
        <v>596</v>
      </c>
      <c r="C338" s="27">
        <v>7048</v>
      </c>
      <c r="D338" s="27" t="s">
        <v>147</v>
      </c>
      <c r="E338" s="27" t="s">
        <v>13</v>
      </c>
      <c r="F338" s="27" t="s">
        <v>149</v>
      </c>
      <c r="G338" s="27" t="str">
        <f>_xlfn.CONCAT(inicioTerminales[[#This Row],[MARCA CHASIS]]," - ", inicioTerminales[[#This Row],[TIPO BUS]])</f>
        <v>FOTON - BE</v>
      </c>
      <c r="H338" s="27" t="s">
        <v>493</v>
      </c>
      <c r="I338" s="52">
        <v>45003</v>
      </c>
      <c r="J338" s="27" t="s">
        <v>1341</v>
      </c>
      <c r="K338" s="27" t="s">
        <v>841</v>
      </c>
      <c r="L338" s="27" t="s">
        <v>849</v>
      </c>
      <c r="M338" s="27" t="s">
        <v>493</v>
      </c>
      <c r="N338" s="27" t="str">
        <f>inicioTerminales[[#This Row],[TIPO BUS]]&amp;"-"&amp;inicioTerminales[[#This Row],[MARCA CHASIS]]</f>
        <v>BE-FOTON</v>
      </c>
    </row>
    <row r="339" spans="1:14">
      <c r="A339" s="27" t="s">
        <v>421</v>
      </c>
      <c r="B339" s="27" t="s">
        <v>597</v>
      </c>
      <c r="C339" s="27">
        <v>7049</v>
      </c>
      <c r="D339" s="27" t="s">
        <v>147</v>
      </c>
      <c r="E339" s="27" t="s">
        <v>13</v>
      </c>
      <c r="F339" s="27" t="s">
        <v>149</v>
      </c>
      <c r="G339" s="27" t="str">
        <f>_xlfn.CONCAT(inicioTerminales[[#This Row],[MARCA CHASIS]]," - ", inicioTerminales[[#This Row],[TIPO BUS]])</f>
        <v>FOTON - BE</v>
      </c>
      <c r="H339" s="27" t="s">
        <v>1371</v>
      </c>
      <c r="I339" s="52">
        <v>45003</v>
      </c>
      <c r="J339" s="27" t="s">
        <v>1341</v>
      </c>
      <c r="K339" s="27" t="s">
        <v>841</v>
      </c>
      <c r="L339" s="27" t="s">
        <v>849</v>
      </c>
      <c r="M339" s="27" t="s">
        <v>493</v>
      </c>
      <c r="N339" s="27" t="str">
        <f>inicioTerminales[[#This Row],[TIPO BUS]]&amp;"-"&amp;inicioTerminales[[#This Row],[MARCA CHASIS]]</f>
        <v>BE-FOTON</v>
      </c>
    </row>
    <row r="340" spans="1:14">
      <c r="A340" s="27" t="s">
        <v>421</v>
      </c>
      <c r="B340" s="27" t="s">
        <v>598</v>
      </c>
      <c r="C340" s="27">
        <v>7050</v>
      </c>
      <c r="D340" s="27" t="s">
        <v>147</v>
      </c>
      <c r="E340" s="27" t="s">
        <v>13</v>
      </c>
      <c r="F340" s="27" t="s">
        <v>149</v>
      </c>
      <c r="G340" s="27" t="str">
        <f>_xlfn.CONCAT(inicioTerminales[[#This Row],[MARCA CHASIS]]," - ", inicioTerminales[[#This Row],[TIPO BUS]])</f>
        <v>FOTON - BE</v>
      </c>
      <c r="H340" s="27" t="s">
        <v>493</v>
      </c>
      <c r="I340" s="52">
        <v>45003</v>
      </c>
      <c r="J340" s="27" t="s">
        <v>1341</v>
      </c>
      <c r="K340" s="27" t="s">
        <v>841</v>
      </c>
      <c r="L340" s="27" t="s">
        <v>849</v>
      </c>
      <c r="M340" s="27" t="s">
        <v>493</v>
      </c>
      <c r="N340" s="27" t="str">
        <f>inicioTerminales[[#This Row],[TIPO BUS]]&amp;"-"&amp;inicioTerminales[[#This Row],[MARCA CHASIS]]</f>
        <v>BE-FOTON</v>
      </c>
    </row>
    <row r="341" spans="1:14">
      <c r="A341" s="27" t="s">
        <v>421</v>
      </c>
      <c r="B341" s="27" t="s">
        <v>599</v>
      </c>
      <c r="C341" s="27">
        <v>7051</v>
      </c>
      <c r="D341" s="27" t="s">
        <v>147</v>
      </c>
      <c r="E341" s="27" t="s">
        <v>13</v>
      </c>
      <c r="F341" s="27" t="s">
        <v>149</v>
      </c>
      <c r="G341" s="27" t="str">
        <f>_xlfn.CONCAT(inicioTerminales[[#This Row],[MARCA CHASIS]]," - ", inicioTerminales[[#This Row],[TIPO BUS]])</f>
        <v>FOTON - BE</v>
      </c>
      <c r="H341" s="27" t="s">
        <v>493</v>
      </c>
      <c r="I341" s="52">
        <v>45003</v>
      </c>
      <c r="J341" s="27" t="s">
        <v>1341</v>
      </c>
      <c r="K341" s="27" t="s">
        <v>841</v>
      </c>
      <c r="L341" s="27" t="s">
        <v>849</v>
      </c>
      <c r="M341" s="27" t="s">
        <v>493</v>
      </c>
      <c r="N341" s="27" t="str">
        <f>inicioTerminales[[#This Row],[TIPO BUS]]&amp;"-"&amp;inicioTerminales[[#This Row],[MARCA CHASIS]]</f>
        <v>BE-FOTON</v>
      </c>
    </row>
    <row r="342" spans="1:14">
      <c r="A342" s="27" t="s">
        <v>421</v>
      </c>
      <c r="B342" s="27" t="s">
        <v>600</v>
      </c>
      <c r="C342" s="27">
        <v>7052</v>
      </c>
      <c r="D342" s="27" t="s">
        <v>147</v>
      </c>
      <c r="E342" s="27" t="s">
        <v>13</v>
      </c>
      <c r="F342" s="27" t="s">
        <v>149</v>
      </c>
      <c r="G342" s="27" t="str">
        <f>_xlfn.CONCAT(inicioTerminales[[#This Row],[MARCA CHASIS]]," - ", inicioTerminales[[#This Row],[TIPO BUS]])</f>
        <v>FOTON - BE</v>
      </c>
      <c r="H342" s="27" t="s">
        <v>493</v>
      </c>
      <c r="I342" s="52">
        <v>45003</v>
      </c>
      <c r="J342" s="27" t="s">
        <v>1341</v>
      </c>
      <c r="K342" s="27" t="s">
        <v>841</v>
      </c>
      <c r="L342" s="27" t="s">
        <v>849</v>
      </c>
      <c r="M342" s="27" t="s">
        <v>493</v>
      </c>
      <c r="N342" s="27" t="str">
        <f>inicioTerminales[[#This Row],[TIPO BUS]]&amp;"-"&amp;inicioTerminales[[#This Row],[MARCA CHASIS]]</f>
        <v>BE-FOTON</v>
      </c>
    </row>
    <row r="343" spans="1:14">
      <c r="A343" s="27" t="s">
        <v>421</v>
      </c>
      <c r="B343" s="27" t="s">
        <v>601</v>
      </c>
      <c r="C343" s="27">
        <v>7053</v>
      </c>
      <c r="D343" s="27" t="s">
        <v>147</v>
      </c>
      <c r="E343" s="27" t="s">
        <v>13</v>
      </c>
      <c r="F343" s="27" t="s">
        <v>149</v>
      </c>
      <c r="G343" s="27" t="str">
        <f>_xlfn.CONCAT(inicioTerminales[[#This Row],[MARCA CHASIS]]," - ", inicioTerminales[[#This Row],[TIPO BUS]])</f>
        <v>FOTON - BE</v>
      </c>
      <c r="H343" s="27" t="s">
        <v>493</v>
      </c>
      <c r="I343" s="52">
        <v>45003</v>
      </c>
      <c r="J343" s="27" t="s">
        <v>1341</v>
      </c>
      <c r="K343" s="27" t="s">
        <v>841</v>
      </c>
      <c r="L343" s="27" t="s">
        <v>849</v>
      </c>
      <c r="M343" s="27" t="s">
        <v>493</v>
      </c>
      <c r="N343" s="27" t="str">
        <f>inicioTerminales[[#This Row],[TIPO BUS]]&amp;"-"&amp;inicioTerminales[[#This Row],[MARCA CHASIS]]</f>
        <v>BE-FOTON</v>
      </c>
    </row>
    <row r="344" spans="1:14">
      <c r="A344" s="27" t="s">
        <v>421</v>
      </c>
      <c r="B344" s="27" t="s">
        <v>602</v>
      </c>
      <c r="C344" s="27">
        <v>7054</v>
      </c>
      <c r="D344" s="27" t="s">
        <v>147</v>
      </c>
      <c r="E344" s="27" t="s">
        <v>13</v>
      </c>
      <c r="F344" s="27" t="s">
        <v>149</v>
      </c>
      <c r="G344" s="27" t="str">
        <f>_xlfn.CONCAT(inicioTerminales[[#This Row],[MARCA CHASIS]]," - ", inicioTerminales[[#This Row],[TIPO BUS]])</f>
        <v>FOTON - BE</v>
      </c>
      <c r="H344" s="27" t="s">
        <v>493</v>
      </c>
      <c r="I344" s="52">
        <v>45003</v>
      </c>
      <c r="J344" s="27" t="s">
        <v>1341</v>
      </c>
      <c r="K344" s="27" t="s">
        <v>841</v>
      </c>
      <c r="L344" s="27" t="s">
        <v>849</v>
      </c>
      <c r="M344" s="27" t="s">
        <v>493</v>
      </c>
      <c r="N344" s="27" t="str">
        <f>inicioTerminales[[#This Row],[TIPO BUS]]&amp;"-"&amp;inicioTerminales[[#This Row],[MARCA CHASIS]]</f>
        <v>BE-FOTON</v>
      </c>
    </row>
    <row r="345" spans="1:14">
      <c r="A345" s="27" t="s">
        <v>421</v>
      </c>
      <c r="B345" s="27" t="s">
        <v>603</v>
      </c>
      <c r="C345" s="27">
        <v>7055</v>
      </c>
      <c r="D345" s="27" t="s">
        <v>147</v>
      </c>
      <c r="E345" s="27" t="s">
        <v>13</v>
      </c>
      <c r="F345" s="27" t="s">
        <v>149</v>
      </c>
      <c r="G345" s="27" t="str">
        <f>_xlfn.CONCAT(inicioTerminales[[#This Row],[MARCA CHASIS]]," - ", inicioTerminales[[#This Row],[TIPO BUS]])</f>
        <v>FOTON - BE</v>
      </c>
      <c r="H345" s="27" t="s">
        <v>493</v>
      </c>
      <c r="I345" s="52">
        <v>45003</v>
      </c>
      <c r="J345" s="27" t="s">
        <v>1341</v>
      </c>
      <c r="K345" s="27" t="s">
        <v>841</v>
      </c>
      <c r="L345" s="27" t="s">
        <v>849</v>
      </c>
      <c r="M345" s="27" t="s">
        <v>493</v>
      </c>
      <c r="N345" s="27" t="str">
        <f>inicioTerminales[[#This Row],[TIPO BUS]]&amp;"-"&amp;inicioTerminales[[#This Row],[MARCA CHASIS]]</f>
        <v>BE-FOTON</v>
      </c>
    </row>
    <row r="346" spans="1:14">
      <c r="A346" s="27" t="s">
        <v>421</v>
      </c>
      <c r="B346" s="27" t="s">
        <v>604</v>
      </c>
      <c r="C346" s="27">
        <v>7056</v>
      </c>
      <c r="D346" s="27" t="s">
        <v>147</v>
      </c>
      <c r="E346" s="27" t="s">
        <v>13</v>
      </c>
      <c r="F346" s="27" t="s">
        <v>149</v>
      </c>
      <c r="G346" s="27" t="str">
        <f>_xlfn.CONCAT(inicioTerminales[[#This Row],[MARCA CHASIS]]," - ", inicioTerminales[[#This Row],[TIPO BUS]])</f>
        <v>FOTON - BE</v>
      </c>
      <c r="H346" s="27" t="s">
        <v>493</v>
      </c>
      <c r="I346" s="52">
        <v>45003</v>
      </c>
      <c r="J346" s="27" t="s">
        <v>1341</v>
      </c>
      <c r="K346" s="27" t="s">
        <v>841</v>
      </c>
      <c r="L346" s="27" t="s">
        <v>849</v>
      </c>
      <c r="M346" s="27" t="s">
        <v>493</v>
      </c>
      <c r="N346" s="27" t="str">
        <f>inicioTerminales[[#This Row],[TIPO BUS]]&amp;"-"&amp;inicioTerminales[[#This Row],[MARCA CHASIS]]</f>
        <v>BE-FOTON</v>
      </c>
    </row>
    <row r="347" spans="1:14">
      <c r="A347" s="27" t="s">
        <v>421</v>
      </c>
      <c r="B347" s="27" t="s">
        <v>605</v>
      </c>
      <c r="C347" s="27">
        <v>7057</v>
      </c>
      <c r="D347" s="27" t="s">
        <v>147</v>
      </c>
      <c r="E347" s="27" t="s">
        <v>13</v>
      </c>
      <c r="F347" s="27" t="s">
        <v>149</v>
      </c>
      <c r="G347" s="27" t="str">
        <f>_xlfn.CONCAT(inicioTerminales[[#This Row],[MARCA CHASIS]]," - ", inicioTerminales[[#This Row],[TIPO BUS]])</f>
        <v>FOTON - BE</v>
      </c>
      <c r="H347" s="27" t="s">
        <v>493</v>
      </c>
      <c r="I347" s="52">
        <v>45003</v>
      </c>
      <c r="J347" s="27" t="s">
        <v>1341</v>
      </c>
      <c r="K347" s="27" t="s">
        <v>841</v>
      </c>
      <c r="L347" s="27" t="s">
        <v>849</v>
      </c>
      <c r="M347" s="27" t="s">
        <v>493</v>
      </c>
      <c r="N347" s="27" t="str">
        <f>inicioTerminales[[#This Row],[TIPO BUS]]&amp;"-"&amp;inicioTerminales[[#This Row],[MARCA CHASIS]]</f>
        <v>BE-FOTON</v>
      </c>
    </row>
    <row r="348" spans="1:14">
      <c r="A348" s="27" t="s">
        <v>421</v>
      </c>
      <c r="B348" s="27" t="s">
        <v>606</v>
      </c>
      <c r="C348" s="27">
        <v>7058</v>
      </c>
      <c r="D348" s="27" t="s">
        <v>147</v>
      </c>
      <c r="E348" s="27" t="s">
        <v>13</v>
      </c>
      <c r="F348" s="27" t="s">
        <v>149</v>
      </c>
      <c r="G348" s="27" t="str">
        <f>_xlfn.CONCAT(inicioTerminales[[#This Row],[MARCA CHASIS]]," - ", inicioTerminales[[#This Row],[TIPO BUS]])</f>
        <v>FOTON - BE</v>
      </c>
      <c r="H348" s="27" t="s">
        <v>493</v>
      </c>
      <c r="I348" s="52">
        <v>45003</v>
      </c>
      <c r="J348" s="27" t="s">
        <v>1341</v>
      </c>
      <c r="K348" s="27" t="s">
        <v>841</v>
      </c>
      <c r="L348" s="27" t="s">
        <v>849</v>
      </c>
      <c r="M348" s="27" t="s">
        <v>493</v>
      </c>
      <c r="N348" s="27" t="str">
        <f>inicioTerminales[[#This Row],[TIPO BUS]]&amp;"-"&amp;inicioTerminales[[#This Row],[MARCA CHASIS]]</f>
        <v>BE-FOTON</v>
      </c>
    </row>
    <row r="349" spans="1:14">
      <c r="A349" s="27" t="s">
        <v>421</v>
      </c>
      <c r="B349" s="27" t="s">
        <v>816</v>
      </c>
      <c r="C349" s="27">
        <v>7059</v>
      </c>
      <c r="D349" s="27" t="s">
        <v>147</v>
      </c>
      <c r="E349" s="27" t="s">
        <v>13</v>
      </c>
      <c r="F349" s="27" t="s">
        <v>149</v>
      </c>
      <c r="G349" s="27" t="str">
        <f>_xlfn.CONCAT(inicioTerminales[[#This Row],[MARCA CHASIS]]," - ", inicioTerminales[[#This Row],[TIPO BUS]])</f>
        <v>FOTON - BE</v>
      </c>
      <c r="H349" s="27" t="s">
        <v>1371</v>
      </c>
      <c r="I349" s="52">
        <v>45003</v>
      </c>
      <c r="J349" s="27" t="s">
        <v>1341</v>
      </c>
      <c r="K349" s="27" t="s">
        <v>841</v>
      </c>
      <c r="L349" s="27" t="s">
        <v>849</v>
      </c>
      <c r="M349" s="27" t="s">
        <v>493</v>
      </c>
      <c r="N349" s="27" t="str">
        <f>inicioTerminales[[#This Row],[TIPO BUS]]&amp;"-"&amp;inicioTerminales[[#This Row],[MARCA CHASIS]]</f>
        <v>BE-FOTON</v>
      </c>
    </row>
    <row r="350" spans="1:14">
      <c r="A350" s="27" t="s">
        <v>421</v>
      </c>
      <c r="B350" s="27" t="s">
        <v>607</v>
      </c>
      <c r="C350" s="27">
        <v>7060</v>
      </c>
      <c r="D350" s="27" t="s">
        <v>147</v>
      </c>
      <c r="E350" s="27" t="s">
        <v>13</v>
      </c>
      <c r="F350" s="27" t="s">
        <v>149</v>
      </c>
      <c r="G350" s="27" t="str">
        <f>_xlfn.CONCAT(inicioTerminales[[#This Row],[MARCA CHASIS]]," - ", inicioTerminales[[#This Row],[TIPO BUS]])</f>
        <v>FOTON - BE</v>
      </c>
      <c r="H350" s="27" t="s">
        <v>493</v>
      </c>
      <c r="I350" s="52">
        <v>45003</v>
      </c>
      <c r="J350" s="27" t="s">
        <v>1341</v>
      </c>
      <c r="K350" s="27" t="s">
        <v>841</v>
      </c>
      <c r="L350" s="27" t="s">
        <v>849</v>
      </c>
      <c r="M350" s="27" t="s">
        <v>493</v>
      </c>
      <c r="N350" s="27" t="str">
        <f>inicioTerminales[[#This Row],[TIPO BUS]]&amp;"-"&amp;inicioTerminales[[#This Row],[MARCA CHASIS]]</f>
        <v>BE-FOTON</v>
      </c>
    </row>
    <row r="351" spans="1:14">
      <c r="A351" s="27" t="s">
        <v>421</v>
      </c>
      <c r="B351" s="27" t="s">
        <v>608</v>
      </c>
      <c r="C351" s="27">
        <v>7061</v>
      </c>
      <c r="D351" s="27" t="s">
        <v>147</v>
      </c>
      <c r="E351" s="27" t="s">
        <v>13</v>
      </c>
      <c r="F351" s="27" t="s">
        <v>149</v>
      </c>
      <c r="G351" s="27" t="str">
        <f>_xlfn.CONCAT(inicioTerminales[[#This Row],[MARCA CHASIS]]," - ", inicioTerminales[[#This Row],[TIPO BUS]])</f>
        <v>FOTON - BE</v>
      </c>
      <c r="H351" s="27" t="s">
        <v>493</v>
      </c>
      <c r="I351" s="52">
        <v>45003</v>
      </c>
      <c r="J351" s="27" t="s">
        <v>1341</v>
      </c>
      <c r="K351" s="27" t="s">
        <v>841</v>
      </c>
      <c r="L351" s="27" t="s">
        <v>849</v>
      </c>
      <c r="M351" s="27" t="s">
        <v>493</v>
      </c>
      <c r="N351" s="27" t="str">
        <f>inicioTerminales[[#This Row],[TIPO BUS]]&amp;"-"&amp;inicioTerminales[[#This Row],[MARCA CHASIS]]</f>
        <v>BE-FOTON</v>
      </c>
    </row>
    <row r="352" spans="1:14">
      <c r="A352" s="27" t="s">
        <v>421</v>
      </c>
      <c r="B352" s="27" t="s">
        <v>609</v>
      </c>
      <c r="C352" s="27">
        <v>7062</v>
      </c>
      <c r="D352" s="27" t="s">
        <v>147</v>
      </c>
      <c r="E352" s="27" t="s">
        <v>13</v>
      </c>
      <c r="F352" s="27" t="s">
        <v>149</v>
      </c>
      <c r="G352" s="27" t="str">
        <f>_xlfn.CONCAT(inicioTerminales[[#This Row],[MARCA CHASIS]]," - ", inicioTerminales[[#This Row],[TIPO BUS]])</f>
        <v>FOTON - BE</v>
      </c>
      <c r="H352" s="27" t="s">
        <v>493</v>
      </c>
      <c r="I352" s="52">
        <v>45003</v>
      </c>
      <c r="J352" s="27" t="s">
        <v>1341</v>
      </c>
      <c r="K352" s="27" t="s">
        <v>841</v>
      </c>
      <c r="L352" s="27" t="s">
        <v>849</v>
      </c>
      <c r="M352" s="27" t="s">
        <v>493</v>
      </c>
      <c r="N352" s="27" t="str">
        <f>inicioTerminales[[#This Row],[TIPO BUS]]&amp;"-"&amp;inicioTerminales[[#This Row],[MARCA CHASIS]]</f>
        <v>BE-FOTON</v>
      </c>
    </row>
    <row r="353" spans="1:14">
      <c r="A353" s="27" t="s">
        <v>421</v>
      </c>
      <c r="B353" s="27" t="s">
        <v>610</v>
      </c>
      <c r="C353" s="27">
        <v>7063</v>
      </c>
      <c r="D353" s="27" t="s">
        <v>147</v>
      </c>
      <c r="E353" s="27" t="s">
        <v>13</v>
      </c>
      <c r="F353" s="27" t="s">
        <v>149</v>
      </c>
      <c r="G353" s="27" t="str">
        <f>_xlfn.CONCAT(inicioTerminales[[#This Row],[MARCA CHASIS]]," - ", inicioTerminales[[#This Row],[TIPO BUS]])</f>
        <v>FOTON - BE</v>
      </c>
      <c r="H353" s="27" t="s">
        <v>493</v>
      </c>
      <c r="I353" s="52">
        <v>45003</v>
      </c>
      <c r="J353" s="27" t="s">
        <v>1341</v>
      </c>
      <c r="K353" s="27" t="s">
        <v>841</v>
      </c>
      <c r="L353" s="27" t="s">
        <v>849</v>
      </c>
      <c r="M353" s="27" t="s">
        <v>493</v>
      </c>
      <c r="N353" s="27" t="str">
        <f>inicioTerminales[[#This Row],[TIPO BUS]]&amp;"-"&amp;inicioTerminales[[#This Row],[MARCA CHASIS]]</f>
        <v>BE-FOTON</v>
      </c>
    </row>
    <row r="354" spans="1:14">
      <c r="A354" s="27" t="s">
        <v>421</v>
      </c>
      <c r="B354" s="27" t="s">
        <v>611</v>
      </c>
      <c r="C354" s="27">
        <v>7064</v>
      </c>
      <c r="D354" s="27" t="s">
        <v>147</v>
      </c>
      <c r="E354" s="27" t="s">
        <v>13</v>
      </c>
      <c r="F354" s="27" t="s">
        <v>149</v>
      </c>
      <c r="G354" s="27" t="str">
        <f>_xlfn.CONCAT(inicioTerminales[[#This Row],[MARCA CHASIS]]," - ", inicioTerminales[[#This Row],[TIPO BUS]])</f>
        <v>FOTON - BE</v>
      </c>
      <c r="H354" s="27" t="s">
        <v>493</v>
      </c>
      <c r="I354" s="52">
        <v>45003</v>
      </c>
      <c r="J354" s="27" t="s">
        <v>1341</v>
      </c>
      <c r="K354" s="27" t="s">
        <v>841</v>
      </c>
      <c r="L354" s="27" t="s">
        <v>849</v>
      </c>
      <c r="M354" s="27" t="s">
        <v>493</v>
      </c>
      <c r="N354" s="27" t="str">
        <f>inicioTerminales[[#This Row],[TIPO BUS]]&amp;"-"&amp;inicioTerminales[[#This Row],[MARCA CHASIS]]</f>
        <v>BE-FOTON</v>
      </c>
    </row>
    <row r="355" spans="1:14">
      <c r="A355" s="27" t="s">
        <v>421</v>
      </c>
      <c r="B355" s="27" t="s">
        <v>817</v>
      </c>
      <c r="C355" s="27">
        <v>7065</v>
      </c>
      <c r="D355" s="27" t="s">
        <v>147</v>
      </c>
      <c r="E355" s="27" t="s">
        <v>13</v>
      </c>
      <c r="F355" s="27" t="s">
        <v>149</v>
      </c>
      <c r="G355" s="27" t="str">
        <f>_xlfn.CONCAT(inicioTerminales[[#This Row],[MARCA CHASIS]]," - ", inicioTerminales[[#This Row],[TIPO BUS]])</f>
        <v>FOTON - BE</v>
      </c>
      <c r="H355" s="27" t="s">
        <v>1371</v>
      </c>
      <c r="I355" s="52">
        <v>45003</v>
      </c>
      <c r="J355" s="27" t="s">
        <v>1341</v>
      </c>
      <c r="K355" s="27" t="s">
        <v>841</v>
      </c>
      <c r="L355" s="27" t="s">
        <v>849</v>
      </c>
      <c r="M355" s="27" t="s">
        <v>493</v>
      </c>
      <c r="N355" s="27" t="str">
        <f>inicioTerminales[[#This Row],[TIPO BUS]]&amp;"-"&amp;inicioTerminales[[#This Row],[MARCA CHASIS]]</f>
        <v>BE-FOTON</v>
      </c>
    </row>
    <row r="356" spans="1:14">
      <c r="A356" s="27" t="s">
        <v>421</v>
      </c>
      <c r="B356" s="27" t="s">
        <v>818</v>
      </c>
      <c r="C356" s="27">
        <v>7066</v>
      </c>
      <c r="D356" s="27" t="s">
        <v>147</v>
      </c>
      <c r="E356" s="27" t="s">
        <v>13</v>
      </c>
      <c r="F356" s="27" t="s">
        <v>149</v>
      </c>
      <c r="G356" s="27" t="str">
        <f>_xlfn.CONCAT(inicioTerminales[[#This Row],[MARCA CHASIS]]," - ", inicioTerminales[[#This Row],[TIPO BUS]])</f>
        <v>FOTON - BE</v>
      </c>
      <c r="H356" s="27" t="s">
        <v>493</v>
      </c>
      <c r="I356" s="52">
        <v>45003</v>
      </c>
      <c r="J356" s="27" t="s">
        <v>1341</v>
      </c>
      <c r="K356" s="27" t="s">
        <v>841</v>
      </c>
      <c r="L356" s="27" t="s">
        <v>849</v>
      </c>
      <c r="M356" s="27" t="s">
        <v>493</v>
      </c>
      <c r="N356" s="27" t="str">
        <f>inicioTerminales[[#This Row],[TIPO BUS]]&amp;"-"&amp;inicioTerminales[[#This Row],[MARCA CHASIS]]</f>
        <v>BE-FOTON</v>
      </c>
    </row>
    <row r="357" spans="1:14">
      <c r="A357" s="27" t="s">
        <v>421</v>
      </c>
      <c r="B357" s="27" t="s">
        <v>612</v>
      </c>
      <c r="C357" s="27">
        <v>7067</v>
      </c>
      <c r="D357" s="27" t="s">
        <v>147</v>
      </c>
      <c r="E357" s="27" t="s">
        <v>13</v>
      </c>
      <c r="F357" s="27" t="s">
        <v>149</v>
      </c>
      <c r="G357" s="27" t="str">
        <f>_xlfn.CONCAT(inicioTerminales[[#This Row],[MARCA CHASIS]]," - ", inicioTerminales[[#This Row],[TIPO BUS]])</f>
        <v>FOTON - BE</v>
      </c>
      <c r="H357" s="27" t="s">
        <v>493</v>
      </c>
      <c r="I357" s="52">
        <v>45003</v>
      </c>
      <c r="J357" s="27" t="s">
        <v>1341</v>
      </c>
      <c r="K357" s="27" t="s">
        <v>841</v>
      </c>
      <c r="L357" s="27" t="s">
        <v>849</v>
      </c>
      <c r="M357" s="27" t="s">
        <v>493</v>
      </c>
      <c r="N357" s="27" t="str">
        <f>inicioTerminales[[#This Row],[TIPO BUS]]&amp;"-"&amp;inicioTerminales[[#This Row],[MARCA CHASIS]]</f>
        <v>BE-FOTON</v>
      </c>
    </row>
    <row r="358" spans="1:14">
      <c r="A358" s="27" t="s">
        <v>421</v>
      </c>
      <c r="B358" s="27" t="s">
        <v>819</v>
      </c>
      <c r="C358" s="27">
        <v>7068</v>
      </c>
      <c r="D358" s="27" t="s">
        <v>147</v>
      </c>
      <c r="E358" s="27" t="s">
        <v>13</v>
      </c>
      <c r="F358" s="27" t="s">
        <v>149</v>
      </c>
      <c r="G358" s="27" t="str">
        <f>_xlfn.CONCAT(inicioTerminales[[#This Row],[MARCA CHASIS]]," - ", inicioTerminales[[#This Row],[TIPO BUS]])</f>
        <v>FOTON - BE</v>
      </c>
      <c r="H358" s="27" t="s">
        <v>493</v>
      </c>
      <c r="I358" s="52">
        <v>45003</v>
      </c>
      <c r="J358" s="27" t="s">
        <v>1341</v>
      </c>
      <c r="K358" s="27" t="s">
        <v>841</v>
      </c>
      <c r="L358" s="27" t="s">
        <v>849</v>
      </c>
      <c r="M358" s="27" t="s">
        <v>493</v>
      </c>
      <c r="N358" s="27" t="str">
        <f>inicioTerminales[[#This Row],[TIPO BUS]]&amp;"-"&amp;inicioTerminales[[#This Row],[MARCA CHASIS]]</f>
        <v>BE-FOTON</v>
      </c>
    </row>
    <row r="359" spans="1:14">
      <c r="A359" s="27" t="s">
        <v>421</v>
      </c>
      <c r="B359" s="27" t="s">
        <v>613</v>
      </c>
      <c r="C359" s="27">
        <v>7069</v>
      </c>
      <c r="D359" s="27" t="s">
        <v>147</v>
      </c>
      <c r="E359" s="27" t="s">
        <v>13</v>
      </c>
      <c r="F359" s="27" t="s">
        <v>149</v>
      </c>
      <c r="G359" s="27" t="str">
        <f>_xlfn.CONCAT(inicioTerminales[[#This Row],[MARCA CHASIS]]," - ", inicioTerminales[[#This Row],[TIPO BUS]])</f>
        <v>FOTON - BE</v>
      </c>
      <c r="H359" s="27" t="s">
        <v>493</v>
      </c>
      <c r="I359" s="52">
        <v>45003</v>
      </c>
      <c r="J359" s="27" t="s">
        <v>1341</v>
      </c>
      <c r="K359" s="27" t="s">
        <v>841</v>
      </c>
      <c r="L359" s="27" t="s">
        <v>849</v>
      </c>
      <c r="M359" s="27" t="s">
        <v>493</v>
      </c>
      <c r="N359" s="27" t="str">
        <f>inicioTerminales[[#This Row],[TIPO BUS]]&amp;"-"&amp;inicioTerminales[[#This Row],[MARCA CHASIS]]</f>
        <v>BE-FOTON</v>
      </c>
    </row>
    <row r="360" spans="1:14">
      <c r="A360" s="27" t="s">
        <v>421</v>
      </c>
      <c r="B360" s="27" t="s">
        <v>614</v>
      </c>
      <c r="C360" s="27">
        <v>7070</v>
      </c>
      <c r="D360" s="27" t="s">
        <v>147</v>
      </c>
      <c r="E360" s="27" t="s">
        <v>13</v>
      </c>
      <c r="F360" s="27" t="s">
        <v>149</v>
      </c>
      <c r="G360" s="27" t="str">
        <f>_xlfn.CONCAT(inicioTerminales[[#This Row],[MARCA CHASIS]]," - ", inicioTerminales[[#This Row],[TIPO BUS]])</f>
        <v>FOTON - BE</v>
      </c>
      <c r="H360" s="27" t="s">
        <v>493</v>
      </c>
      <c r="I360" s="52">
        <v>45003</v>
      </c>
      <c r="J360" s="27" t="s">
        <v>1341</v>
      </c>
      <c r="K360" s="27" t="s">
        <v>841</v>
      </c>
      <c r="L360" s="27" t="s">
        <v>849</v>
      </c>
      <c r="M360" s="27" t="s">
        <v>493</v>
      </c>
      <c r="N360" s="27" t="str">
        <f>inicioTerminales[[#This Row],[TIPO BUS]]&amp;"-"&amp;inicioTerminales[[#This Row],[MARCA CHASIS]]</f>
        <v>BE-FOTON</v>
      </c>
    </row>
    <row r="361" spans="1:14">
      <c r="A361" s="27" t="s">
        <v>421</v>
      </c>
      <c r="B361" s="27" t="s">
        <v>733</v>
      </c>
      <c r="C361" s="27">
        <v>7071</v>
      </c>
      <c r="D361" s="27" t="s">
        <v>147</v>
      </c>
      <c r="E361" s="27" t="s">
        <v>13</v>
      </c>
      <c r="F361" s="27" t="s">
        <v>149</v>
      </c>
      <c r="G361" s="27" t="str">
        <f>_xlfn.CONCAT(inicioTerminales[[#This Row],[MARCA CHASIS]]," - ", inicioTerminales[[#This Row],[TIPO BUS]])</f>
        <v>FOTON - BE</v>
      </c>
      <c r="H361" s="27" t="s">
        <v>674</v>
      </c>
      <c r="I361" s="52">
        <v>45003</v>
      </c>
      <c r="J361" s="27" t="s">
        <v>1341</v>
      </c>
      <c r="K361" s="27" t="s">
        <v>840</v>
      </c>
      <c r="L361" s="27" t="s">
        <v>853</v>
      </c>
      <c r="M361" s="27" t="s">
        <v>674</v>
      </c>
      <c r="N361" s="27" t="str">
        <f>inicioTerminales[[#This Row],[TIPO BUS]]&amp;"-"&amp;inicioTerminales[[#This Row],[MARCA CHASIS]]</f>
        <v>BE-FOTON</v>
      </c>
    </row>
    <row r="362" spans="1:14">
      <c r="A362" s="27" t="s">
        <v>421</v>
      </c>
      <c r="B362" s="27" t="s">
        <v>615</v>
      </c>
      <c r="C362" s="27">
        <v>7072</v>
      </c>
      <c r="D362" s="27" t="s">
        <v>147</v>
      </c>
      <c r="E362" s="27" t="s">
        <v>13</v>
      </c>
      <c r="F362" s="27" t="s">
        <v>149</v>
      </c>
      <c r="G362" s="27" t="str">
        <f>_xlfn.CONCAT(inicioTerminales[[#This Row],[MARCA CHASIS]]," - ", inicioTerminales[[#This Row],[TIPO BUS]])</f>
        <v>FOTON - BE</v>
      </c>
      <c r="H362" s="27" t="s">
        <v>493</v>
      </c>
      <c r="I362" s="52">
        <v>45003</v>
      </c>
      <c r="J362" s="27" t="s">
        <v>1341</v>
      </c>
      <c r="K362" s="27" t="s">
        <v>841</v>
      </c>
      <c r="L362" s="27" t="s">
        <v>849</v>
      </c>
      <c r="M362" s="27" t="s">
        <v>493</v>
      </c>
      <c r="N362" s="27" t="str">
        <f>inicioTerminales[[#This Row],[TIPO BUS]]&amp;"-"&amp;inicioTerminales[[#This Row],[MARCA CHASIS]]</f>
        <v>BE-FOTON</v>
      </c>
    </row>
    <row r="363" spans="1:14">
      <c r="A363" s="27" t="s">
        <v>421</v>
      </c>
      <c r="B363" s="27" t="s">
        <v>616</v>
      </c>
      <c r="C363" s="27">
        <v>7073</v>
      </c>
      <c r="D363" s="27" t="s">
        <v>147</v>
      </c>
      <c r="E363" s="27" t="s">
        <v>13</v>
      </c>
      <c r="F363" s="27" t="s">
        <v>149</v>
      </c>
      <c r="G363" s="27" t="str">
        <f>_xlfn.CONCAT(inicioTerminales[[#This Row],[MARCA CHASIS]]," - ", inicioTerminales[[#This Row],[TIPO BUS]])</f>
        <v>FOTON - BE</v>
      </c>
      <c r="H363" s="27" t="s">
        <v>493</v>
      </c>
      <c r="I363" s="52">
        <v>45003</v>
      </c>
      <c r="J363" s="27" t="s">
        <v>1341</v>
      </c>
      <c r="K363" s="27" t="s">
        <v>841</v>
      </c>
      <c r="L363" s="27" t="s">
        <v>849</v>
      </c>
      <c r="M363" s="27" t="s">
        <v>493</v>
      </c>
      <c r="N363" s="27" t="str">
        <f>inicioTerminales[[#This Row],[TIPO BUS]]&amp;"-"&amp;inicioTerminales[[#This Row],[MARCA CHASIS]]</f>
        <v>BE-FOTON</v>
      </c>
    </row>
    <row r="364" spans="1:14">
      <c r="A364" s="27" t="s">
        <v>421</v>
      </c>
      <c r="B364" s="27" t="s">
        <v>617</v>
      </c>
      <c r="C364" s="27">
        <v>7074</v>
      </c>
      <c r="D364" s="27" t="s">
        <v>147</v>
      </c>
      <c r="E364" s="27" t="s">
        <v>13</v>
      </c>
      <c r="F364" s="27" t="s">
        <v>149</v>
      </c>
      <c r="G364" s="27" t="str">
        <f>_xlfn.CONCAT(inicioTerminales[[#This Row],[MARCA CHASIS]]," - ", inicioTerminales[[#This Row],[TIPO BUS]])</f>
        <v>FOTON - BE</v>
      </c>
      <c r="H364" s="27" t="s">
        <v>493</v>
      </c>
      <c r="I364" s="52">
        <v>45003</v>
      </c>
      <c r="J364" s="27" t="s">
        <v>1341</v>
      </c>
      <c r="K364" s="27" t="s">
        <v>841</v>
      </c>
      <c r="L364" s="27" t="s">
        <v>849</v>
      </c>
      <c r="M364" s="27" t="s">
        <v>493</v>
      </c>
      <c r="N364" s="27" t="str">
        <f>inicioTerminales[[#This Row],[TIPO BUS]]&amp;"-"&amp;inicioTerminales[[#This Row],[MARCA CHASIS]]</f>
        <v>BE-FOTON</v>
      </c>
    </row>
    <row r="365" spans="1:14">
      <c r="A365" s="27" t="s">
        <v>421</v>
      </c>
      <c r="B365" s="27" t="s">
        <v>618</v>
      </c>
      <c r="C365" s="27">
        <v>7075</v>
      </c>
      <c r="D365" s="27" t="s">
        <v>147</v>
      </c>
      <c r="E365" s="27" t="s">
        <v>13</v>
      </c>
      <c r="F365" s="27" t="s">
        <v>149</v>
      </c>
      <c r="G365" s="27" t="str">
        <f>_xlfn.CONCAT(inicioTerminales[[#This Row],[MARCA CHASIS]]," - ", inicioTerminales[[#This Row],[TIPO BUS]])</f>
        <v>FOTON - BE</v>
      </c>
      <c r="H365" s="27" t="s">
        <v>493</v>
      </c>
      <c r="I365" s="52">
        <v>45003</v>
      </c>
      <c r="J365" s="27" t="s">
        <v>1341</v>
      </c>
      <c r="K365" s="27" t="s">
        <v>841</v>
      </c>
      <c r="L365" s="27" t="s">
        <v>849</v>
      </c>
      <c r="M365" s="27" t="s">
        <v>493</v>
      </c>
      <c r="N365" s="27" t="str">
        <f>inicioTerminales[[#This Row],[TIPO BUS]]&amp;"-"&amp;inicioTerminales[[#This Row],[MARCA CHASIS]]</f>
        <v>BE-FOTON</v>
      </c>
    </row>
    <row r="366" spans="1:14">
      <c r="A366" s="27" t="s">
        <v>421</v>
      </c>
      <c r="B366" s="27" t="s">
        <v>619</v>
      </c>
      <c r="C366" s="27">
        <v>7076</v>
      </c>
      <c r="D366" s="27" t="s">
        <v>147</v>
      </c>
      <c r="E366" s="27" t="s">
        <v>13</v>
      </c>
      <c r="F366" s="27" t="s">
        <v>149</v>
      </c>
      <c r="G366" s="27" t="str">
        <f>_xlfn.CONCAT(inicioTerminales[[#This Row],[MARCA CHASIS]]," - ", inicioTerminales[[#This Row],[TIPO BUS]])</f>
        <v>FOTON - BE</v>
      </c>
      <c r="H366" s="27" t="s">
        <v>493</v>
      </c>
      <c r="I366" s="52">
        <v>45003</v>
      </c>
      <c r="J366" s="27" t="s">
        <v>1341</v>
      </c>
      <c r="K366" s="27" t="s">
        <v>841</v>
      </c>
      <c r="L366" s="27" t="s">
        <v>849</v>
      </c>
      <c r="M366" s="27" t="s">
        <v>493</v>
      </c>
      <c r="N366" s="27" t="str">
        <f>inicioTerminales[[#This Row],[TIPO BUS]]&amp;"-"&amp;inicioTerminales[[#This Row],[MARCA CHASIS]]</f>
        <v>BE-FOTON</v>
      </c>
    </row>
    <row r="367" spans="1:14">
      <c r="A367" s="27" t="s">
        <v>421</v>
      </c>
      <c r="B367" s="27" t="s">
        <v>620</v>
      </c>
      <c r="C367" s="27">
        <v>7077</v>
      </c>
      <c r="D367" s="27" t="s">
        <v>147</v>
      </c>
      <c r="E367" s="27" t="s">
        <v>13</v>
      </c>
      <c r="F367" s="27" t="s">
        <v>149</v>
      </c>
      <c r="G367" s="27" t="str">
        <f>_xlfn.CONCAT(inicioTerminales[[#This Row],[MARCA CHASIS]]," - ", inicioTerminales[[#This Row],[TIPO BUS]])</f>
        <v>FOTON - BE</v>
      </c>
      <c r="H367" s="27" t="s">
        <v>493</v>
      </c>
      <c r="I367" s="52">
        <v>45003</v>
      </c>
      <c r="J367" s="27" t="s">
        <v>1341</v>
      </c>
      <c r="K367" s="27" t="s">
        <v>841</v>
      </c>
      <c r="L367" s="27" t="s">
        <v>849</v>
      </c>
      <c r="M367" s="27" t="s">
        <v>493</v>
      </c>
      <c r="N367" s="27" t="str">
        <f>inicioTerminales[[#This Row],[TIPO BUS]]&amp;"-"&amp;inicioTerminales[[#This Row],[MARCA CHASIS]]</f>
        <v>BE-FOTON</v>
      </c>
    </row>
    <row r="368" spans="1:14">
      <c r="A368" s="27" t="s">
        <v>421</v>
      </c>
      <c r="B368" s="27" t="s">
        <v>621</v>
      </c>
      <c r="C368" s="27">
        <v>7078</v>
      </c>
      <c r="D368" s="27" t="s">
        <v>147</v>
      </c>
      <c r="E368" s="27" t="s">
        <v>13</v>
      </c>
      <c r="F368" s="27" t="s">
        <v>149</v>
      </c>
      <c r="G368" s="27" t="str">
        <f>_xlfn.CONCAT(inicioTerminales[[#This Row],[MARCA CHASIS]]," - ", inicioTerminales[[#This Row],[TIPO BUS]])</f>
        <v>FOTON - BE</v>
      </c>
      <c r="H368" s="27" t="s">
        <v>493</v>
      </c>
      <c r="I368" s="52">
        <v>45003</v>
      </c>
      <c r="J368" s="27" t="s">
        <v>1341</v>
      </c>
      <c r="K368" s="27" t="s">
        <v>841</v>
      </c>
      <c r="L368" s="27" t="s">
        <v>849</v>
      </c>
      <c r="M368" s="27" t="s">
        <v>493</v>
      </c>
      <c r="N368" s="27" t="str">
        <f>inicioTerminales[[#This Row],[TIPO BUS]]&amp;"-"&amp;inicioTerminales[[#This Row],[MARCA CHASIS]]</f>
        <v>BE-FOTON</v>
      </c>
    </row>
    <row r="369" spans="1:14">
      <c r="A369" s="27" t="s">
        <v>421</v>
      </c>
      <c r="B369" s="27" t="s">
        <v>622</v>
      </c>
      <c r="C369" s="27">
        <v>7079</v>
      </c>
      <c r="D369" s="27" t="s">
        <v>147</v>
      </c>
      <c r="E369" s="27" t="s">
        <v>13</v>
      </c>
      <c r="F369" s="27" t="s">
        <v>149</v>
      </c>
      <c r="G369" s="27" t="str">
        <f>_xlfn.CONCAT(inicioTerminales[[#This Row],[MARCA CHASIS]]," - ", inicioTerminales[[#This Row],[TIPO BUS]])</f>
        <v>FOTON - BE</v>
      </c>
      <c r="H369" s="27" t="s">
        <v>493</v>
      </c>
      <c r="I369" s="52">
        <v>45003</v>
      </c>
      <c r="J369" s="27" t="s">
        <v>1341</v>
      </c>
      <c r="K369" s="27" t="s">
        <v>841</v>
      </c>
      <c r="L369" s="27" t="s">
        <v>849</v>
      </c>
      <c r="M369" s="27" t="s">
        <v>493</v>
      </c>
      <c r="N369" s="27" t="str">
        <f>inicioTerminales[[#This Row],[TIPO BUS]]&amp;"-"&amp;inicioTerminales[[#This Row],[MARCA CHASIS]]</f>
        <v>BE-FOTON</v>
      </c>
    </row>
    <row r="370" spans="1:14">
      <c r="A370" s="27" t="s">
        <v>421</v>
      </c>
      <c r="B370" s="27" t="s">
        <v>623</v>
      </c>
      <c r="C370" s="27">
        <v>7080</v>
      </c>
      <c r="D370" s="27" t="s">
        <v>147</v>
      </c>
      <c r="E370" s="27" t="s">
        <v>13</v>
      </c>
      <c r="F370" s="27" t="s">
        <v>149</v>
      </c>
      <c r="G370" s="27" t="str">
        <f>_xlfn.CONCAT(inicioTerminales[[#This Row],[MARCA CHASIS]]," - ", inicioTerminales[[#This Row],[TIPO BUS]])</f>
        <v>FOTON - BE</v>
      </c>
      <c r="H370" s="27" t="s">
        <v>493</v>
      </c>
      <c r="I370" s="52">
        <v>45003</v>
      </c>
      <c r="J370" s="27" t="s">
        <v>1341</v>
      </c>
      <c r="K370" s="27" t="s">
        <v>841</v>
      </c>
      <c r="L370" s="27" t="s">
        <v>849</v>
      </c>
      <c r="M370" s="27" t="s">
        <v>493</v>
      </c>
      <c r="N370" s="27" t="str">
        <f>inicioTerminales[[#This Row],[TIPO BUS]]&amp;"-"&amp;inicioTerminales[[#This Row],[MARCA CHASIS]]</f>
        <v>BE-FOTON</v>
      </c>
    </row>
    <row r="371" spans="1:14">
      <c r="A371" s="27" t="s">
        <v>421</v>
      </c>
      <c r="B371" s="27" t="s">
        <v>624</v>
      </c>
      <c r="C371" s="27">
        <v>7081</v>
      </c>
      <c r="D371" s="27" t="s">
        <v>147</v>
      </c>
      <c r="E371" s="27" t="s">
        <v>13</v>
      </c>
      <c r="F371" s="27" t="s">
        <v>149</v>
      </c>
      <c r="G371" s="27" t="str">
        <f>_xlfn.CONCAT(inicioTerminales[[#This Row],[MARCA CHASIS]]," - ", inicioTerminales[[#This Row],[TIPO BUS]])</f>
        <v>FOTON - BE</v>
      </c>
      <c r="H371" s="27" t="s">
        <v>493</v>
      </c>
      <c r="I371" s="52">
        <v>45003</v>
      </c>
      <c r="J371" s="27" t="s">
        <v>1341</v>
      </c>
      <c r="K371" s="27" t="s">
        <v>841</v>
      </c>
      <c r="L371" s="27" t="s">
        <v>849</v>
      </c>
      <c r="M371" s="27" t="s">
        <v>493</v>
      </c>
      <c r="N371" s="27" t="str">
        <f>inicioTerminales[[#This Row],[TIPO BUS]]&amp;"-"&amp;inicioTerminales[[#This Row],[MARCA CHASIS]]</f>
        <v>BE-FOTON</v>
      </c>
    </row>
    <row r="372" spans="1:14">
      <c r="A372" s="27" t="s">
        <v>421</v>
      </c>
      <c r="B372" s="27" t="s">
        <v>625</v>
      </c>
      <c r="C372" s="27">
        <v>7082</v>
      </c>
      <c r="D372" s="27" t="s">
        <v>147</v>
      </c>
      <c r="E372" s="27" t="s">
        <v>13</v>
      </c>
      <c r="F372" s="27" t="s">
        <v>149</v>
      </c>
      <c r="G372" s="27" t="str">
        <f>_xlfn.CONCAT(inicioTerminales[[#This Row],[MARCA CHASIS]]," - ", inicioTerminales[[#This Row],[TIPO BUS]])</f>
        <v>FOTON - BE</v>
      </c>
      <c r="H372" s="27" t="s">
        <v>493</v>
      </c>
      <c r="I372" s="52">
        <v>45003</v>
      </c>
      <c r="J372" s="27" t="s">
        <v>1341</v>
      </c>
      <c r="K372" s="27" t="s">
        <v>841</v>
      </c>
      <c r="L372" s="27" t="s">
        <v>849</v>
      </c>
      <c r="M372" s="27" t="s">
        <v>493</v>
      </c>
      <c r="N372" s="27" t="str">
        <f>inicioTerminales[[#This Row],[TIPO BUS]]&amp;"-"&amp;inicioTerminales[[#This Row],[MARCA CHASIS]]</f>
        <v>BE-FOTON</v>
      </c>
    </row>
    <row r="373" spans="1:14">
      <c r="A373" s="27" t="s">
        <v>421</v>
      </c>
      <c r="B373" s="27" t="s">
        <v>626</v>
      </c>
      <c r="C373" s="27">
        <v>7083</v>
      </c>
      <c r="D373" s="27" t="s">
        <v>147</v>
      </c>
      <c r="E373" s="27" t="s">
        <v>13</v>
      </c>
      <c r="F373" s="27" t="s">
        <v>149</v>
      </c>
      <c r="G373" s="27" t="str">
        <f>_xlfn.CONCAT(inicioTerminales[[#This Row],[MARCA CHASIS]]," - ", inicioTerminales[[#This Row],[TIPO BUS]])</f>
        <v>FOTON - BE</v>
      </c>
      <c r="H373" s="27" t="s">
        <v>493</v>
      </c>
      <c r="I373" s="52">
        <v>45003</v>
      </c>
      <c r="J373" s="27" t="s">
        <v>1341</v>
      </c>
      <c r="K373" s="27" t="s">
        <v>841</v>
      </c>
      <c r="L373" s="27" t="s">
        <v>849</v>
      </c>
      <c r="M373" s="27" t="s">
        <v>493</v>
      </c>
      <c r="N373" s="27" t="str">
        <f>inicioTerminales[[#This Row],[TIPO BUS]]&amp;"-"&amp;inicioTerminales[[#This Row],[MARCA CHASIS]]</f>
        <v>BE-FOTON</v>
      </c>
    </row>
    <row r="374" spans="1:14">
      <c r="A374" s="27" t="s">
        <v>421</v>
      </c>
      <c r="B374" s="27" t="s">
        <v>627</v>
      </c>
      <c r="C374" s="27">
        <v>7084</v>
      </c>
      <c r="D374" s="27" t="s">
        <v>147</v>
      </c>
      <c r="E374" s="27" t="s">
        <v>13</v>
      </c>
      <c r="F374" s="27" t="s">
        <v>149</v>
      </c>
      <c r="G374" s="27" t="str">
        <f>_xlfn.CONCAT(inicioTerminales[[#This Row],[MARCA CHASIS]]," - ", inicioTerminales[[#This Row],[TIPO BUS]])</f>
        <v>FOTON - BE</v>
      </c>
      <c r="H374" s="27" t="s">
        <v>493</v>
      </c>
      <c r="I374" s="52">
        <v>45003</v>
      </c>
      <c r="J374" s="27" t="s">
        <v>1341</v>
      </c>
      <c r="K374" s="27" t="s">
        <v>841</v>
      </c>
      <c r="L374" s="27" t="s">
        <v>849</v>
      </c>
      <c r="M374" s="27" t="s">
        <v>493</v>
      </c>
      <c r="N374" s="27" t="str">
        <f>inicioTerminales[[#This Row],[TIPO BUS]]&amp;"-"&amp;inicioTerminales[[#This Row],[MARCA CHASIS]]</f>
        <v>BE-FOTON</v>
      </c>
    </row>
    <row r="375" spans="1:14">
      <c r="A375" s="27" t="s">
        <v>421</v>
      </c>
      <c r="B375" s="27" t="s">
        <v>628</v>
      </c>
      <c r="C375" s="27">
        <v>7085</v>
      </c>
      <c r="D375" s="27" t="s">
        <v>147</v>
      </c>
      <c r="E375" s="27" t="s">
        <v>13</v>
      </c>
      <c r="F375" s="27" t="s">
        <v>149</v>
      </c>
      <c r="G375" s="27" t="str">
        <f>_xlfn.CONCAT(inicioTerminales[[#This Row],[MARCA CHASIS]]," - ", inicioTerminales[[#This Row],[TIPO BUS]])</f>
        <v>FOTON - BE</v>
      </c>
      <c r="H375" s="27" t="s">
        <v>493</v>
      </c>
      <c r="I375" s="52">
        <v>45003</v>
      </c>
      <c r="J375" s="27" t="s">
        <v>1341</v>
      </c>
      <c r="K375" s="27" t="s">
        <v>841</v>
      </c>
      <c r="L375" s="27" t="s">
        <v>849</v>
      </c>
      <c r="M375" s="27" t="s">
        <v>493</v>
      </c>
      <c r="N375" s="27" t="str">
        <f>inicioTerminales[[#This Row],[TIPO BUS]]&amp;"-"&amp;inicioTerminales[[#This Row],[MARCA CHASIS]]</f>
        <v>BE-FOTON</v>
      </c>
    </row>
    <row r="376" spans="1:14">
      <c r="A376" s="27" t="s">
        <v>421</v>
      </c>
      <c r="B376" s="27" t="s">
        <v>820</v>
      </c>
      <c r="C376" s="27">
        <v>7086</v>
      </c>
      <c r="D376" s="27" t="s">
        <v>147</v>
      </c>
      <c r="E376" s="27" t="s">
        <v>13</v>
      </c>
      <c r="F376" s="27" t="s">
        <v>149</v>
      </c>
      <c r="G376" s="27" t="str">
        <f>_xlfn.CONCAT(inicioTerminales[[#This Row],[MARCA CHASIS]]," - ", inicioTerminales[[#This Row],[TIPO BUS]])</f>
        <v>FOTON - BE</v>
      </c>
      <c r="H376" s="27" t="s">
        <v>493</v>
      </c>
      <c r="I376" s="52">
        <v>45003</v>
      </c>
      <c r="J376" s="27" t="s">
        <v>1341</v>
      </c>
      <c r="K376" s="27" t="s">
        <v>841</v>
      </c>
      <c r="L376" s="27" t="s">
        <v>849</v>
      </c>
      <c r="M376" s="27" t="s">
        <v>493</v>
      </c>
      <c r="N376" s="27" t="str">
        <f>inicioTerminales[[#This Row],[TIPO BUS]]&amp;"-"&amp;inicioTerminales[[#This Row],[MARCA CHASIS]]</f>
        <v>BE-FOTON</v>
      </c>
    </row>
    <row r="377" spans="1:14">
      <c r="A377" s="27" t="s">
        <v>421</v>
      </c>
      <c r="B377" s="27" t="s">
        <v>629</v>
      </c>
      <c r="C377" s="27">
        <v>7087</v>
      </c>
      <c r="D377" s="27" t="s">
        <v>147</v>
      </c>
      <c r="E377" s="27" t="s">
        <v>13</v>
      </c>
      <c r="F377" s="27" t="s">
        <v>149</v>
      </c>
      <c r="G377" s="27" t="str">
        <f>_xlfn.CONCAT(inicioTerminales[[#This Row],[MARCA CHASIS]]," - ", inicioTerminales[[#This Row],[TIPO BUS]])</f>
        <v>FOTON - BE</v>
      </c>
      <c r="H377" s="27" t="s">
        <v>493</v>
      </c>
      <c r="I377" s="52">
        <v>45003</v>
      </c>
      <c r="J377" s="27" t="s">
        <v>1341</v>
      </c>
      <c r="K377" s="27" t="s">
        <v>841</v>
      </c>
      <c r="L377" s="27" t="s">
        <v>849</v>
      </c>
      <c r="M377" s="27" t="s">
        <v>493</v>
      </c>
      <c r="N377" s="27" t="str">
        <f>inicioTerminales[[#This Row],[TIPO BUS]]&amp;"-"&amp;inicioTerminales[[#This Row],[MARCA CHASIS]]</f>
        <v>BE-FOTON</v>
      </c>
    </row>
    <row r="378" spans="1:14">
      <c r="A378" s="27" t="s">
        <v>421</v>
      </c>
      <c r="B378" s="27" t="s">
        <v>630</v>
      </c>
      <c r="C378" s="27">
        <v>7088</v>
      </c>
      <c r="D378" s="27" t="s">
        <v>147</v>
      </c>
      <c r="E378" s="27" t="s">
        <v>13</v>
      </c>
      <c r="F378" s="27" t="s">
        <v>149</v>
      </c>
      <c r="G378" s="27" t="str">
        <f>_xlfn.CONCAT(inicioTerminales[[#This Row],[MARCA CHASIS]]," - ", inicioTerminales[[#This Row],[TIPO BUS]])</f>
        <v>FOTON - BE</v>
      </c>
      <c r="H378" s="27" t="s">
        <v>493</v>
      </c>
      <c r="I378" s="52">
        <v>45003</v>
      </c>
      <c r="J378" s="27" t="s">
        <v>1341</v>
      </c>
      <c r="K378" s="27" t="s">
        <v>841</v>
      </c>
      <c r="L378" s="27" t="s">
        <v>849</v>
      </c>
      <c r="M378" s="27" t="s">
        <v>493</v>
      </c>
      <c r="N378" s="27" t="str">
        <f>inicioTerminales[[#This Row],[TIPO BUS]]&amp;"-"&amp;inicioTerminales[[#This Row],[MARCA CHASIS]]</f>
        <v>BE-FOTON</v>
      </c>
    </row>
    <row r="379" spans="1:14">
      <c r="A379" s="27" t="s">
        <v>421</v>
      </c>
      <c r="B379" s="27" t="s">
        <v>821</v>
      </c>
      <c r="C379" s="27">
        <v>7089</v>
      </c>
      <c r="D379" s="27" t="s">
        <v>147</v>
      </c>
      <c r="E379" s="27" t="s">
        <v>13</v>
      </c>
      <c r="F379" s="27" t="s">
        <v>149</v>
      </c>
      <c r="G379" s="27" t="str">
        <f>_xlfn.CONCAT(inicioTerminales[[#This Row],[MARCA CHASIS]]," - ", inicioTerminales[[#This Row],[TIPO BUS]])</f>
        <v>FOTON - BE</v>
      </c>
      <c r="H379" s="27" t="s">
        <v>493</v>
      </c>
      <c r="I379" s="52">
        <v>45003</v>
      </c>
      <c r="J379" s="27" t="s">
        <v>1341</v>
      </c>
      <c r="K379" s="27" t="s">
        <v>841</v>
      </c>
      <c r="L379" s="27" t="s">
        <v>849</v>
      </c>
      <c r="M379" s="27" t="s">
        <v>493</v>
      </c>
      <c r="N379" s="27" t="str">
        <f>inicioTerminales[[#This Row],[TIPO BUS]]&amp;"-"&amp;inicioTerminales[[#This Row],[MARCA CHASIS]]</f>
        <v>BE-FOTON</v>
      </c>
    </row>
    <row r="380" spans="1:14">
      <c r="A380" s="27" t="s">
        <v>421</v>
      </c>
      <c r="B380" s="27" t="s">
        <v>631</v>
      </c>
      <c r="C380" s="27">
        <v>7090</v>
      </c>
      <c r="D380" s="27" t="s">
        <v>147</v>
      </c>
      <c r="E380" s="27" t="s">
        <v>13</v>
      </c>
      <c r="F380" s="27" t="s">
        <v>149</v>
      </c>
      <c r="G380" s="27" t="str">
        <f>_xlfn.CONCAT(inicioTerminales[[#This Row],[MARCA CHASIS]]," - ", inicioTerminales[[#This Row],[TIPO BUS]])</f>
        <v>FOTON - BE</v>
      </c>
      <c r="H380" s="27" t="s">
        <v>493</v>
      </c>
      <c r="I380" s="52">
        <v>45003</v>
      </c>
      <c r="J380" s="27" t="s">
        <v>1341</v>
      </c>
      <c r="K380" s="27" t="s">
        <v>841</v>
      </c>
      <c r="L380" s="27" t="s">
        <v>849</v>
      </c>
      <c r="M380" s="27" t="s">
        <v>493</v>
      </c>
      <c r="N380" s="27" t="str">
        <f>inicioTerminales[[#This Row],[TIPO BUS]]&amp;"-"&amp;inicioTerminales[[#This Row],[MARCA CHASIS]]</f>
        <v>BE-FOTON</v>
      </c>
    </row>
    <row r="381" spans="1:14">
      <c r="A381" s="27" t="s">
        <v>421</v>
      </c>
      <c r="B381" s="27" t="s">
        <v>632</v>
      </c>
      <c r="C381" s="27">
        <v>7091</v>
      </c>
      <c r="D381" s="27" t="s">
        <v>147</v>
      </c>
      <c r="E381" s="27" t="s">
        <v>13</v>
      </c>
      <c r="F381" s="27" t="s">
        <v>149</v>
      </c>
      <c r="G381" s="27" t="str">
        <f>_xlfn.CONCAT(inicioTerminales[[#This Row],[MARCA CHASIS]]," - ", inicioTerminales[[#This Row],[TIPO BUS]])</f>
        <v>FOTON - BE</v>
      </c>
      <c r="H381" s="27" t="s">
        <v>493</v>
      </c>
      <c r="I381" s="52">
        <v>45003</v>
      </c>
      <c r="J381" s="27" t="s">
        <v>1341</v>
      </c>
      <c r="K381" s="27" t="s">
        <v>841</v>
      </c>
      <c r="L381" s="27" t="s">
        <v>849</v>
      </c>
      <c r="M381" s="27" t="s">
        <v>493</v>
      </c>
      <c r="N381" s="27" t="str">
        <f>inicioTerminales[[#This Row],[TIPO BUS]]&amp;"-"&amp;inicioTerminales[[#This Row],[MARCA CHASIS]]</f>
        <v>BE-FOTON</v>
      </c>
    </row>
    <row r="382" spans="1:14">
      <c r="A382" s="27" t="s">
        <v>421</v>
      </c>
      <c r="B382" s="27" t="s">
        <v>531</v>
      </c>
      <c r="C382" s="27">
        <v>6055</v>
      </c>
      <c r="D382" s="27" t="s">
        <v>34</v>
      </c>
      <c r="E382" s="27" t="s">
        <v>25</v>
      </c>
      <c r="F382" s="27" t="s">
        <v>145</v>
      </c>
      <c r="G382" s="27" t="str">
        <f>_xlfn.CONCAT(inicioTerminales[[#This Row],[MARCA CHASIS]]," - ", inicioTerminales[[#This Row],[TIPO BUS]])</f>
        <v>MERCEDES BENZ - B2</v>
      </c>
      <c r="H382" s="27" t="s">
        <v>493</v>
      </c>
      <c r="I382" s="52">
        <v>45024</v>
      </c>
      <c r="J382" s="27" t="s">
        <v>830</v>
      </c>
      <c r="K382" s="27" t="s">
        <v>841</v>
      </c>
      <c r="L382" s="27" t="s">
        <v>849</v>
      </c>
      <c r="M382" s="27" t="s">
        <v>493</v>
      </c>
      <c r="N382" s="27" t="str">
        <f>inicioTerminales[[#This Row],[TIPO BUS]]&amp;"-"&amp;inicioTerminales[[#This Row],[MARCA CHASIS]]</f>
        <v>B2-MERCEDES BENZ</v>
      </c>
    </row>
    <row r="383" spans="1:14">
      <c r="A383" s="27" t="s">
        <v>421</v>
      </c>
      <c r="B383" s="27" t="s">
        <v>633</v>
      </c>
      <c r="C383" s="27">
        <v>7092</v>
      </c>
      <c r="D383" s="27" t="s">
        <v>147</v>
      </c>
      <c r="E383" s="27" t="s">
        <v>13</v>
      </c>
      <c r="F383" s="27" t="s">
        <v>149</v>
      </c>
      <c r="G383" s="27" t="str">
        <f>_xlfn.CONCAT(inicioTerminales[[#This Row],[MARCA CHASIS]]," - ", inicioTerminales[[#This Row],[TIPO BUS]])</f>
        <v>FOTON - BE</v>
      </c>
      <c r="H383" s="27" t="s">
        <v>493</v>
      </c>
      <c r="I383" s="52">
        <v>45003</v>
      </c>
      <c r="J383" s="27" t="s">
        <v>1341</v>
      </c>
      <c r="K383" s="27" t="s">
        <v>841</v>
      </c>
      <c r="L383" s="27" t="s">
        <v>849</v>
      </c>
      <c r="M383" s="27" t="s">
        <v>493</v>
      </c>
      <c r="N383" s="27" t="str">
        <f>inicioTerminales[[#This Row],[TIPO BUS]]&amp;"-"&amp;inicioTerminales[[#This Row],[MARCA CHASIS]]</f>
        <v>BE-FOTON</v>
      </c>
    </row>
    <row r="384" spans="1:14">
      <c r="A384" s="27" t="s">
        <v>421</v>
      </c>
      <c r="B384" s="27" t="s">
        <v>533</v>
      </c>
      <c r="C384" s="27">
        <v>6061</v>
      </c>
      <c r="D384" s="27" t="s">
        <v>34</v>
      </c>
      <c r="E384" s="27" t="s">
        <v>13</v>
      </c>
      <c r="F384" s="27" t="s">
        <v>145</v>
      </c>
      <c r="G384" s="27" t="str">
        <f>_xlfn.CONCAT(inicioTerminales[[#This Row],[MARCA CHASIS]]," - ", inicioTerminales[[#This Row],[TIPO BUS]])</f>
        <v>MERCEDES BENZ - B2</v>
      </c>
      <c r="H384" s="27" t="s">
        <v>493</v>
      </c>
      <c r="I384" s="52">
        <v>45024</v>
      </c>
      <c r="J384" s="27" t="s">
        <v>830</v>
      </c>
      <c r="K384" s="27" t="s">
        <v>841</v>
      </c>
      <c r="L384" s="27" t="s">
        <v>849</v>
      </c>
      <c r="M384" s="27" t="s">
        <v>493</v>
      </c>
      <c r="N384" s="27" t="str">
        <f>inicioTerminales[[#This Row],[TIPO BUS]]&amp;"-"&amp;inicioTerminales[[#This Row],[MARCA CHASIS]]</f>
        <v>B2-MERCEDES BENZ</v>
      </c>
    </row>
    <row r="385" spans="1:14">
      <c r="A385" s="27" t="s">
        <v>421</v>
      </c>
      <c r="B385" s="27" t="s">
        <v>534</v>
      </c>
      <c r="C385" s="27">
        <v>6063</v>
      </c>
      <c r="D385" s="27" t="s">
        <v>34</v>
      </c>
      <c r="E385" s="27" t="s">
        <v>13</v>
      </c>
      <c r="F385" s="27" t="s">
        <v>145</v>
      </c>
      <c r="G385" s="27" t="str">
        <f>_xlfn.CONCAT(inicioTerminales[[#This Row],[MARCA CHASIS]]," - ", inicioTerminales[[#This Row],[TIPO BUS]])</f>
        <v>MERCEDES BENZ - B2</v>
      </c>
      <c r="H385" s="27" t="s">
        <v>493</v>
      </c>
      <c r="I385" s="52">
        <v>45024</v>
      </c>
      <c r="J385" s="27" t="s">
        <v>830</v>
      </c>
      <c r="K385" s="27" t="s">
        <v>841</v>
      </c>
      <c r="L385" s="27" t="s">
        <v>849</v>
      </c>
      <c r="M385" s="27" t="s">
        <v>493</v>
      </c>
      <c r="N385" s="27" t="str">
        <f>inicioTerminales[[#This Row],[TIPO BUS]]&amp;"-"&amp;inicioTerminales[[#This Row],[MARCA CHASIS]]</f>
        <v>B2-MERCEDES BENZ</v>
      </c>
    </row>
    <row r="386" spans="1:14">
      <c r="A386" s="27" t="s">
        <v>421</v>
      </c>
      <c r="B386" s="27" t="s">
        <v>535</v>
      </c>
      <c r="C386" s="27">
        <v>6066</v>
      </c>
      <c r="D386" s="27" t="s">
        <v>34</v>
      </c>
      <c r="E386" s="27" t="s">
        <v>13</v>
      </c>
      <c r="F386" s="27" t="s">
        <v>145</v>
      </c>
      <c r="G386" s="27" t="str">
        <f>_xlfn.CONCAT(inicioTerminales[[#This Row],[MARCA CHASIS]]," - ", inicioTerminales[[#This Row],[TIPO BUS]])</f>
        <v>MERCEDES BENZ - B2</v>
      </c>
      <c r="H386" s="27" t="s">
        <v>493</v>
      </c>
      <c r="I386" s="52">
        <v>45024</v>
      </c>
      <c r="J386" s="27" t="s">
        <v>830</v>
      </c>
      <c r="K386" s="27" t="s">
        <v>841</v>
      </c>
      <c r="L386" s="27" t="s">
        <v>849</v>
      </c>
      <c r="M386" s="27" t="s">
        <v>493</v>
      </c>
      <c r="N386" s="27" t="str">
        <f>inicioTerminales[[#This Row],[TIPO BUS]]&amp;"-"&amp;inicioTerminales[[#This Row],[MARCA CHASIS]]</f>
        <v>B2-MERCEDES BENZ</v>
      </c>
    </row>
    <row r="387" spans="1:14">
      <c r="A387" s="27" t="s">
        <v>421</v>
      </c>
      <c r="B387" s="27" t="s">
        <v>536</v>
      </c>
      <c r="C387" s="27">
        <v>6068</v>
      </c>
      <c r="D387" s="27" t="s">
        <v>34</v>
      </c>
      <c r="E387" s="27" t="s">
        <v>13</v>
      </c>
      <c r="F387" s="27" t="s">
        <v>145</v>
      </c>
      <c r="G387" s="27" t="str">
        <f>_xlfn.CONCAT(inicioTerminales[[#This Row],[MARCA CHASIS]]," - ", inicioTerminales[[#This Row],[TIPO BUS]])</f>
        <v>MERCEDES BENZ - B2</v>
      </c>
      <c r="H387" s="27" t="s">
        <v>493</v>
      </c>
      <c r="I387" s="52">
        <v>45024</v>
      </c>
      <c r="J387" s="27" t="s">
        <v>830</v>
      </c>
      <c r="K387" s="27" t="s">
        <v>841</v>
      </c>
      <c r="L387" s="27" t="s">
        <v>849</v>
      </c>
      <c r="M387" s="27" t="s">
        <v>493</v>
      </c>
      <c r="N387" s="27" t="str">
        <f>inicioTerminales[[#This Row],[TIPO BUS]]&amp;"-"&amp;inicioTerminales[[#This Row],[MARCA CHASIS]]</f>
        <v>B2-MERCEDES BENZ</v>
      </c>
    </row>
    <row r="388" spans="1:14">
      <c r="A388" s="27" t="s">
        <v>421</v>
      </c>
      <c r="B388" s="27" t="s">
        <v>537</v>
      </c>
      <c r="C388" s="27">
        <v>6069</v>
      </c>
      <c r="D388" s="27" t="s">
        <v>34</v>
      </c>
      <c r="E388" s="27" t="s">
        <v>13</v>
      </c>
      <c r="F388" s="27" t="s">
        <v>145</v>
      </c>
      <c r="G388" s="27" t="str">
        <f>_xlfn.CONCAT(inicioTerminales[[#This Row],[MARCA CHASIS]]," - ", inicioTerminales[[#This Row],[TIPO BUS]])</f>
        <v>MERCEDES BENZ - B2</v>
      </c>
      <c r="H388" s="27" t="s">
        <v>493</v>
      </c>
      <c r="I388" s="52">
        <v>45024</v>
      </c>
      <c r="J388" s="27" t="s">
        <v>830</v>
      </c>
      <c r="K388" s="27" t="s">
        <v>841</v>
      </c>
      <c r="L388" s="27" t="s">
        <v>849</v>
      </c>
      <c r="M388" s="27" t="s">
        <v>493</v>
      </c>
      <c r="N388" s="27" t="str">
        <f>inicioTerminales[[#This Row],[TIPO BUS]]&amp;"-"&amp;inicioTerminales[[#This Row],[MARCA CHASIS]]</f>
        <v>B2-MERCEDES BENZ</v>
      </c>
    </row>
    <row r="389" spans="1:14">
      <c r="A389" s="27" t="s">
        <v>421</v>
      </c>
      <c r="B389" s="27" t="s">
        <v>538</v>
      </c>
      <c r="C389" s="27">
        <v>6077</v>
      </c>
      <c r="D389" s="27" t="s">
        <v>34</v>
      </c>
      <c r="E389" s="27" t="s">
        <v>13</v>
      </c>
      <c r="F389" s="27" t="s">
        <v>145</v>
      </c>
      <c r="G389" s="27" t="str">
        <f>_xlfn.CONCAT(inicioTerminales[[#This Row],[MARCA CHASIS]]," - ", inicioTerminales[[#This Row],[TIPO BUS]])</f>
        <v>MERCEDES BENZ - B2</v>
      </c>
      <c r="H389" s="27" t="s">
        <v>493</v>
      </c>
      <c r="I389" s="52">
        <v>45024</v>
      </c>
      <c r="J389" s="27" t="s">
        <v>830</v>
      </c>
      <c r="K389" s="27" t="s">
        <v>841</v>
      </c>
      <c r="L389" s="27" t="s">
        <v>849</v>
      </c>
      <c r="M389" s="27" t="s">
        <v>493</v>
      </c>
      <c r="N389" s="27" t="str">
        <f>inicioTerminales[[#This Row],[TIPO BUS]]&amp;"-"&amp;inicioTerminales[[#This Row],[MARCA CHASIS]]</f>
        <v>B2-MERCEDES BENZ</v>
      </c>
    </row>
    <row r="390" spans="1:14">
      <c r="A390" s="27" t="s">
        <v>421</v>
      </c>
      <c r="B390" s="27" t="s">
        <v>539</v>
      </c>
      <c r="C390" s="27">
        <v>6082</v>
      </c>
      <c r="D390" s="27" t="s">
        <v>34</v>
      </c>
      <c r="E390" s="27" t="s">
        <v>13</v>
      </c>
      <c r="F390" s="27" t="s">
        <v>145</v>
      </c>
      <c r="G390" s="27" t="str">
        <f>_xlfn.CONCAT(inicioTerminales[[#This Row],[MARCA CHASIS]]," - ", inicioTerminales[[#This Row],[TIPO BUS]])</f>
        <v>MERCEDES BENZ - B2</v>
      </c>
      <c r="H390" s="27" t="s">
        <v>493</v>
      </c>
      <c r="I390" s="52">
        <v>45024</v>
      </c>
      <c r="J390" s="27" t="s">
        <v>830</v>
      </c>
      <c r="K390" s="27" t="s">
        <v>841</v>
      </c>
      <c r="L390" s="27" t="s">
        <v>849</v>
      </c>
      <c r="M390" s="27" t="s">
        <v>493</v>
      </c>
      <c r="N390" s="27" t="str">
        <f>inicioTerminales[[#This Row],[TIPO BUS]]&amp;"-"&amp;inicioTerminales[[#This Row],[MARCA CHASIS]]</f>
        <v>B2-MERCEDES BENZ</v>
      </c>
    </row>
    <row r="391" spans="1:14">
      <c r="A391" s="27" t="s">
        <v>421</v>
      </c>
      <c r="B391" s="27" t="s">
        <v>540</v>
      </c>
      <c r="C391" s="27">
        <v>6083</v>
      </c>
      <c r="D391" s="27" t="s">
        <v>34</v>
      </c>
      <c r="E391" s="27" t="s">
        <v>13</v>
      </c>
      <c r="F391" s="27" t="s">
        <v>145</v>
      </c>
      <c r="G391" s="27" t="str">
        <f>_xlfn.CONCAT(inicioTerminales[[#This Row],[MARCA CHASIS]]," - ", inicioTerminales[[#This Row],[TIPO BUS]])</f>
        <v>MERCEDES BENZ - B2</v>
      </c>
      <c r="H391" s="27" t="s">
        <v>493</v>
      </c>
      <c r="I391" s="52">
        <v>45024</v>
      </c>
      <c r="J391" s="27" t="s">
        <v>830</v>
      </c>
      <c r="K391" s="27" t="s">
        <v>841</v>
      </c>
      <c r="L391" s="27" t="s">
        <v>849</v>
      </c>
      <c r="M391" s="27" t="s">
        <v>493</v>
      </c>
      <c r="N391" s="27" t="str">
        <f>inicioTerminales[[#This Row],[TIPO BUS]]&amp;"-"&amp;inicioTerminales[[#This Row],[MARCA CHASIS]]</f>
        <v>B2-MERCEDES BENZ</v>
      </c>
    </row>
    <row r="392" spans="1:14">
      <c r="A392" s="27" t="s">
        <v>421</v>
      </c>
      <c r="B392" s="27" t="s">
        <v>541</v>
      </c>
      <c r="C392" s="27">
        <v>6084</v>
      </c>
      <c r="D392" s="27" t="s">
        <v>34</v>
      </c>
      <c r="E392" s="27" t="s">
        <v>13</v>
      </c>
      <c r="F392" s="27" t="s">
        <v>145</v>
      </c>
      <c r="G392" s="27" t="str">
        <f>_xlfn.CONCAT(inicioTerminales[[#This Row],[MARCA CHASIS]]," - ", inicioTerminales[[#This Row],[TIPO BUS]])</f>
        <v>MERCEDES BENZ - B2</v>
      </c>
      <c r="H392" s="27" t="s">
        <v>493</v>
      </c>
      <c r="I392" s="52">
        <v>45024</v>
      </c>
      <c r="J392" s="27" t="s">
        <v>830</v>
      </c>
      <c r="K392" s="27" t="s">
        <v>841</v>
      </c>
      <c r="L392" s="27" t="s">
        <v>849</v>
      </c>
      <c r="M392" s="27" t="s">
        <v>493</v>
      </c>
      <c r="N392" s="27" t="str">
        <f>inicioTerminales[[#This Row],[TIPO BUS]]&amp;"-"&amp;inicioTerminales[[#This Row],[MARCA CHASIS]]</f>
        <v>B2-MERCEDES BENZ</v>
      </c>
    </row>
    <row r="393" spans="1:14">
      <c r="A393" s="27" t="s">
        <v>421</v>
      </c>
      <c r="B393" s="27" t="s">
        <v>542</v>
      </c>
      <c r="C393" s="27">
        <v>6089</v>
      </c>
      <c r="D393" s="27" t="s">
        <v>34</v>
      </c>
      <c r="E393" s="27" t="s">
        <v>13</v>
      </c>
      <c r="F393" s="27" t="s">
        <v>145</v>
      </c>
      <c r="G393" s="27" t="str">
        <f>_xlfn.CONCAT(inicioTerminales[[#This Row],[MARCA CHASIS]]," - ", inicioTerminales[[#This Row],[TIPO BUS]])</f>
        <v>MERCEDES BENZ - B2</v>
      </c>
      <c r="H393" s="27" t="s">
        <v>493</v>
      </c>
      <c r="I393" s="52">
        <v>45024</v>
      </c>
      <c r="J393" s="27" t="s">
        <v>830</v>
      </c>
      <c r="K393" s="27" t="s">
        <v>841</v>
      </c>
      <c r="L393" s="27" t="s">
        <v>849</v>
      </c>
      <c r="M393" s="27" t="s">
        <v>493</v>
      </c>
      <c r="N393" s="27" t="str">
        <f>inicioTerminales[[#This Row],[TIPO BUS]]&amp;"-"&amp;inicioTerminales[[#This Row],[MARCA CHASIS]]</f>
        <v>B2-MERCEDES BENZ</v>
      </c>
    </row>
    <row r="394" spans="1:14">
      <c r="A394" s="27" t="s">
        <v>421</v>
      </c>
      <c r="B394" s="27" t="s">
        <v>543</v>
      </c>
      <c r="C394" s="27">
        <v>6090</v>
      </c>
      <c r="D394" s="27" t="s">
        <v>34</v>
      </c>
      <c r="E394" s="27" t="s">
        <v>13</v>
      </c>
      <c r="F394" s="27" t="s">
        <v>145</v>
      </c>
      <c r="G394" s="27" t="str">
        <f>_xlfn.CONCAT(inicioTerminales[[#This Row],[MARCA CHASIS]]," - ", inicioTerminales[[#This Row],[TIPO BUS]])</f>
        <v>MERCEDES BENZ - B2</v>
      </c>
      <c r="H394" s="27" t="s">
        <v>493</v>
      </c>
      <c r="I394" s="52">
        <v>45024</v>
      </c>
      <c r="J394" s="27" t="s">
        <v>830</v>
      </c>
      <c r="K394" s="27" t="s">
        <v>841</v>
      </c>
      <c r="L394" s="27" t="s">
        <v>849</v>
      </c>
      <c r="M394" s="27" t="s">
        <v>493</v>
      </c>
      <c r="N394" s="27" t="str">
        <f>inicioTerminales[[#This Row],[TIPO BUS]]&amp;"-"&amp;inicioTerminales[[#This Row],[MARCA CHASIS]]</f>
        <v>B2-MERCEDES BENZ</v>
      </c>
    </row>
    <row r="395" spans="1:14">
      <c r="A395" s="27" t="s">
        <v>421</v>
      </c>
      <c r="B395" s="27" t="s">
        <v>634</v>
      </c>
      <c r="C395" s="27">
        <v>7093</v>
      </c>
      <c r="D395" s="27" t="s">
        <v>147</v>
      </c>
      <c r="E395" s="27" t="s">
        <v>13</v>
      </c>
      <c r="F395" s="27" t="s">
        <v>149</v>
      </c>
      <c r="G395" s="27" t="str">
        <f>_xlfn.CONCAT(inicioTerminales[[#This Row],[MARCA CHASIS]]," - ", inicioTerminales[[#This Row],[TIPO BUS]])</f>
        <v>FOTON - BE</v>
      </c>
      <c r="H395" s="27" t="s">
        <v>493</v>
      </c>
      <c r="I395" s="52">
        <v>45003</v>
      </c>
      <c r="J395" s="27" t="s">
        <v>1341</v>
      </c>
      <c r="K395" s="27" t="s">
        <v>841</v>
      </c>
      <c r="L395" s="27" t="s">
        <v>849</v>
      </c>
      <c r="M395" s="27" t="s">
        <v>493</v>
      </c>
      <c r="N395" s="27" t="str">
        <f>inicioTerminales[[#This Row],[TIPO BUS]]&amp;"-"&amp;inicioTerminales[[#This Row],[MARCA CHASIS]]</f>
        <v>BE-FOTON</v>
      </c>
    </row>
    <row r="396" spans="1:14">
      <c r="A396" s="27" t="s">
        <v>421</v>
      </c>
      <c r="B396" s="27" t="s">
        <v>734</v>
      </c>
      <c r="C396" s="27">
        <v>7094</v>
      </c>
      <c r="D396" s="27" t="s">
        <v>147</v>
      </c>
      <c r="E396" s="27" t="s">
        <v>13</v>
      </c>
      <c r="F396" s="27" t="s">
        <v>149</v>
      </c>
      <c r="G396" s="27" t="str">
        <f>_xlfn.CONCAT(inicioTerminales[[#This Row],[MARCA CHASIS]]," - ", inicioTerminales[[#This Row],[TIPO BUS]])</f>
        <v>FOTON - BE</v>
      </c>
      <c r="H396" s="27" t="s">
        <v>674</v>
      </c>
      <c r="I396" s="52">
        <v>45003</v>
      </c>
      <c r="J396" s="27" t="s">
        <v>1341</v>
      </c>
      <c r="K396" s="27" t="s">
        <v>840</v>
      </c>
      <c r="L396" s="27" t="s">
        <v>853</v>
      </c>
      <c r="M396" s="27" t="s">
        <v>674</v>
      </c>
      <c r="N396" s="27" t="str">
        <f>inicioTerminales[[#This Row],[TIPO BUS]]&amp;"-"&amp;inicioTerminales[[#This Row],[MARCA CHASIS]]</f>
        <v>BE-FOTON</v>
      </c>
    </row>
    <row r="397" spans="1:14">
      <c r="A397" s="27" t="s">
        <v>421</v>
      </c>
      <c r="B397" s="27" t="s">
        <v>635</v>
      </c>
      <c r="C397" s="27">
        <v>7095</v>
      </c>
      <c r="D397" s="27" t="s">
        <v>147</v>
      </c>
      <c r="E397" s="27" t="s">
        <v>13</v>
      </c>
      <c r="F397" s="27" t="s">
        <v>149</v>
      </c>
      <c r="G397" s="27" t="str">
        <f>_xlfn.CONCAT(inicioTerminales[[#This Row],[MARCA CHASIS]]," - ", inicioTerminales[[#This Row],[TIPO BUS]])</f>
        <v>FOTON - BE</v>
      </c>
      <c r="H397" s="27" t="s">
        <v>493</v>
      </c>
      <c r="I397" s="52">
        <v>45003</v>
      </c>
      <c r="J397" s="27" t="s">
        <v>1341</v>
      </c>
      <c r="K397" s="27" t="s">
        <v>841</v>
      </c>
      <c r="L397" s="27" t="s">
        <v>849</v>
      </c>
      <c r="M397" s="27" t="s">
        <v>493</v>
      </c>
      <c r="N397" s="27" t="str">
        <f>inicioTerminales[[#This Row],[TIPO BUS]]&amp;"-"&amp;inicioTerminales[[#This Row],[MARCA CHASIS]]</f>
        <v>BE-FOTON</v>
      </c>
    </row>
    <row r="398" spans="1:14">
      <c r="A398" s="27" t="s">
        <v>421</v>
      </c>
      <c r="B398" s="27" t="s">
        <v>636</v>
      </c>
      <c r="C398" s="27">
        <v>7096</v>
      </c>
      <c r="D398" s="27" t="s">
        <v>147</v>
      </c>
      <c r="E398" s="27" t="s">
        <v>13</v>
      </c>
      <c r="F398" s="27" t="s">
        <v>149</v>
      </c>
      <c r="G398" s="27" t="str">
        <f>_xlfn.CONCAT(inicioTerminales[[#This Row],[MARCA CHASIS]]," - ", inicioTerminales[[#This Row],[TIPO BUS]])</f>
        <v>FOTON - BE</v>
      </c>
      <c r="H398" s="27" t="s">
        <v>493</v>
      </c>
      <c r="I398" s="52">
        <v>45003</v>
      </c>
      <c r="J398" s="27" t="s">
        <v>1341</v>
      </c>
      <c r="K398" s="27" t="s">
        <v>841</v>
      </c>
      <c r="L398" s="27" t="s">
        <v>849</v>
      </c>
      <c r="M398" s="27" t="s">
        <v>493</v>
      </c>
      <c r="N398" s="27" t="str">
        <f>inicioTerminales[[#This Row],[TIPO BUS]]&amp;"-"&amp;inicioTerminales[[#This Row],[MARCA CHASIS]]</f>
        <v>BE-FOTON</v>
      </c>
    </row>
    <row r="399" spans="1:14">
      <c r="A399" s="27" t="s">
        <v>421</v>
      </c>
      <c r="B399" s="27" t="s">
        <v>637</v>
      </c>
      <c r="C399" s="27">
        <v>7097</v>
      </c>
      <c r="D399" s="27" t="s">
        <v>147</v>
      </c>
      <c r="E399" s="27" t="s">
        <v>13</v>
      </c>
      <c r="F399" s="27" t="s">
        <v>149</v>
      </c>
      <c r="G399" s="27" t="str">
        <f>_xlfn.CONCAT(inicioTerminales[[#This Row],[MARCA CHASIS]]," - ", inicioTerminales[[#This Row],[TIPO BUS]])</f>
        <v>FOTON - BE</v>
      </c>
      <c r="H399" s="27" t="s">
        <v>493</v>
      </c>
      <c r="I399" s="52">
        <v>45003</v>
      </c>
      <c r="J399" s="27" t="s">
        <v>1341</v>
      </c>
      <c r="K399" s="27" t="s">
        <v>841</v>
      </c>
      <c r="L399" s="27" t="s">
        <v>849</v>
      </c>
      <c r="M399" s="27" t="s">
        <v>493</v>
      </c>
      <c r="N399" s="27" t="str">
        <f>inicioTerminales[[#This Row],[TIPO BUS]]&amp;"-"&amp;inicioTerminales[[#This Row],[MARCA CHASIS]]</f>
        <v>BE-FOTON</v>
      </c>
    </row>
    <row r="400" spans="1:14">
      <c r="A400" s="27" t="s">
        <v>421</v>
      </c>
      <c r="B400" s="27" t="s">
        <v>526</v>
      </c>
      <c r="C400" s="27">
        <v>7098</v>
      </c>
      <c r="D400" s="27" t="s">
        <v>147</v>
      </c>
      <c r="E400" s="27" t="s">
        <v>13</v>
      </c>
      <c r="F400" s="27" t="s">
        <v>149</v>
      </c>
      <c r="G400" s="27" t="str">
        <f>_xlfn.CONCAT(inicioTerminales[[#This Row],[MARCA CHASIS]]," - ", inicioTerminales[[#This Row],[TIPO BUS]])</f>
        <v>FOTON - BE</v>
      </c>
      <c r="H400" s="27" t="s">
        <v>493</v>
      </c>
      <c r="I400" s="52">
        <v>45003</v>
      </c>
      <c r="J400" s="27" t="s">
        <v>1341</v>
      </c>
      <c r="K400" s="27" t="s">
        <v>841</v>
      </c>
      <c r="L400" s="27" t="s">
        <v>849</v>
      </c>
      <c r="M400" s="27" t="s">
        <v>493</v>
      </c>
      <c r="N400" s="27" t="str">
        <f>inicioTerminales[[#This Row],[TIPO BUS]]&amp;"-"&amp;inicioTerminales[[#This Row],[MARCA CHASIS]]</f>
        <v>BE-FOTON</v>
      </c>
    </row>
    <row r="401" spans="1:14">
      <c r="A401" s="27" t="s">
        <v>421</v>
      </c>
      <c r="B401" s="27" t="s">
        <v>638</v>
      </c>
      <c r="C401" s="27">
        <v>7099</v>
      </c>
      <c r="D401" s="27" t="s">
        <v>147</v>
      </c>
      <c r="E401" s="27" t="s">
        <v>13</v>
      </c>
      <c r="F401" s="27" t="s">
        <v>149</v>
      </c>
      <c r="G401" s="27" t="str">
        <f>_xlfn.CONCAT(inicioTerminales[[#This Row],[MARCA CHASIS]]," - ", inicioTerminales[[#This Row],[TIPO BUS]])</f>
        <v>FOTON - BE</v>
      </c>
      <c r="H401" s="27" t="s">
        <v>493</v>
      </c>
      <c r="I401" s="52">
        <v>45003</v>
      </c>
      <c r="J401" s="27" t="s">
        <v>1341</v>
      </c>
      <c r="K401" s="27" t="s">
        <v>841</v>
      </c>
      <c r="L401" s="27" t="s">
        <v>849</v>
      </c>
      <c r="M401" s="27" t="s">
        <v>493</v>
      </c>
      <c r="N401" s="27" t="str">
        <f>inicioTerminales[[#This Row],[TIPO BUS]]&amp;"-"&amp;inicioTerminales[[#This Row],[MARCA CHASIS]]</f>
        <v>BE-FOTON</v>
      </c>
    </row>
    <row r="402" spans="1:14">
      <c r="A402" s="27" t="s">
        <v>421</v>
      </c>
      <c r="B402" s="27" t="s">
        <v>639</v>
      </c>
      <c r="C402" s="27">
        <v>7100</v>
      </c>
      <c r="D402" s="27" t="s">
        <v>147</v>
      </c>
      <c r="E402" s="27" t="s">
        <v>13</v>
      </c>
      <c r="F402" s="27" t="s">
        <v>149</v>
      </c>
      <c r="G402" s="27" t="str">
        <f>_xlfn.CONCAT(inicioTerminales[[#This Row],[MARCA CHASIS]]," - ", inicioTerminales[[#This Row],[TIPO BUS]])</f>
        <v>FOTON - BE</v>
      </c>
      <c r="H402" s="27" t="s">
        <v>493</v>
      </c>
      <c r="I402" s="52">
        <v>45003</v>
      </c>
      <c r="J402" s="27" t="s">
        <v>1341</v>
      </c>
      <c r="K402" s="27" t="s">
        <v>841</v>
      </c>
      <c r="L402" s="27" t="s">
        <v>849</v>
      </c>
      <c r="M402" s="27" t="s">
        <v>493</v>
      </c>
      <c r="N402" s="27" t="str">
        <f>inicioTerminales[[#This Row],[TIPO BUS]]&amp;"-"&amp;inicioTerminales[[#This Row],[MARCA CHASIS]]</f>
        <v>BE-FOTON</v>
      </c>
    </row>
    <row r="403" spans="1:14">
      <c r="A403" s="27" t="s">
        <v>421</v>
      </c>
      <c r="B403" s="27" t="s">
        <v>640</v>
      </c>
      <c r="C403" s="27">
        <v>7101</v>
      </c>
      <c r="D403" s="27" t="s">
        <v>147</v>
      </c>
      <c r="E403" s="27" t="s">
        <v>13</v>
      </c>
      <c r="F403" s="27" t="s">
        <v>149</v>
      </c>
      <c r="G403" s="27" t="str">
        <f>_xlfn.CONCAT(inicioTerminales[[#This Row],[MARCA CHASIS]]," - ", inicioTerminales[[#This Row],[TIPO BUS]])</f>
        <v>FOTON - BE</v>
      </c>
      <c r="H403" s="27" t="s">
        <v>493</v>
      </c>
      <c r="I403" s="52">
        <v>45003</v>
      </c>
      <c r="J403" s="27" t="s">
        <v>1341</v>
      </c>
      <c r="K403" s="27" t="s">
        <v>841</v>
      </c>
      <c r="L403" s="27" t="s">
        <v>849</v>
      </c>
      <c r="M403" s="27" t="s">
        <v>493</v>
      </c>
      <c r="N403" s="27" t="str">
        <f>inicioTerminales[[#This Row],[TIPO BUS]]&amp;"-"&amp;inicioTerminales[[#This Row],[MARCA CHASIS]]</f>
        <v>BE-FOTON</v>
      </c>
    </row>
    <row r="404" spans="1:14">
      <c r="A404" s="27" t="s">
        <v>421</v>
      </c>
      <c r="B404" s="27" t="s">
        <v>641</v>
      </c>
      <c r="C404" s="27">
        <v>7102</v>
      </c>
      <c r="D404" s="27" t="s">
        <v>147</v>
      </c>
      <c r="E404" s="27" t="s">
        <v>13</v>
      </c>
      <c r="F404" s="27" t="s">
        <v>149</v>
      </c>
      <c r="G404" s="27" t="str">
        <f>_xlfn.CONCAT(inicioTerminales[[#This Row],[MARCA CHASIS]]," - ", inicioTerminales[[#This Row],[TIPO BUS]])</f>
        <v>FOTON - BE</v>
      </c>
      <c r="H404" s="27" t="s">
        <v>1371</v>
      </c>
      <c r="I404" s="52">
        <v>45003</v>
      </c>
      <c r="J404" s="27" t="s">
        <v>1341</v>
      </c>
      <c r="K404" s="27" t="s">
        <v>841</v>
      </c>
      <c r="L404" s="27" t="s">
        <v>849</v>
      </c>
      <c r="M404" s="27" t="s">
        <v>493</v>
      </c>
      <c r="N404" s="27" t="str">
        <f>inicioTerminales[[#This Row],[TIPO BUS]]&amp;"-"&amp;inicioTerminales[[#This Row],[MARCA CHASIS]]</f>
        <v>BE-FOTON</v>
      </c>
    </row>
    <row r="405" spans="1:14">
      <c r="A405" s="27" t="s">
        <v>421</v>
      </c>
      <c r="B405" s="27" t="s">
        <v>642</v>
      </c>
      <c r="C405" s="27">
        <v>7103</v>
      </c>
      <c r="D405" s="27" t="s">
        <v>147</v>
      </c>
      <c r="E405" s="27" t="s">
        <v>13</v>
      </c>
      <c r="F405" s="27" t="s">
        <v>149</v>
      </c>
      <c r="G405" s="27" t="str">
        <f>_xlfn.CONCAT(inicioTerminales[[#This Row],[MARCA CHASIS]]," - ", inicioTerminales[[#This Row],[TIPO BUS]])</f>
        <v>FOTON - BE</v>
      </c>
      <c r="H405" s="27" t="s">
        <v>493</v>
      </c>
      <c r="I405" s="52">
        <v>45003</v>
      </c>
      <c r="J405" s="27" t="s">
        <v>1341</v>
      </c>
      <c r="K405" s="27" t="s">
        <v>841</v>
      </c>
      <c r="L405" s="27" t="s">
        <v>849</v>
      </c>
      <c r="M405" s="27" t="s">
        <v>493</v>
      </c>
      <c r="N405" s="27" t="str">
        <f>inicioTerminales[[#This Row],[TIPO BUS]]&amp;"-"&amp;inicioTerminales[[#This Row],[MARCA CHASIS]]</f>
        <v>BE-FOTON</v>
      </c>
    </row>
    <row r="406" spans="1:14">
      <c r="A406" s="27" t="s">
        <v>421</v>
      </c>
      <c r="B406" s="27" t="s">
        <v>643</v>
      </c>
      <c r="C406" s="27">
        <v>7104</v>
      </c>
      <c r="D406" s="27" t="s">
        <v>147</v>
      </c>
      <c r="E406" s="27" t="s">
        <v>13</v>
      </c>
      <c r="F406" s="27" t="s">
        <v>149</v>
      </c>
      <c r="G406" s="27" t="str">
        <f>_xlfn.CONCAT(inicioTerminales[[#This Row],[MARCA CHASIS]]," - ", inicioTerminales[[#This Row],[TIPO BUS]])</f>
        <v>FOTON - BE</v>
      </c>
      <c r="H406" s="27" t="s">
        <v>493</v>
      </c>
      <c r="I406" s="52">
        <v>45003</v>
      </c>
      <c r="J406" s="27" t="s">
        <v>1341</v>
      </c>
      <c r="K406" s="27" t="s">
        <v>841</v>
      </c>
      <c r="L406" s="27" t="s">
        <v>849</v>
      </c>
      <c r="M406" s="27" t="s">
        <v>493</v>
      </c>
      <c r="N406" s="27" t="str">
        <f>inicioTerminales[[#This Row],[TIPO BUS]]&amp;"-"&amp;inicioTerminales[[#This Row],[MARCA CHASIS]]</f>
        <v>BE-FOTON</v>
      </c>
    </row>
    <row r="407" spans="1:14">
      <c r="A407" s="27" t="s">
        <v>421</v>
      </c>
      <c r="B407" s="27" t="s">
        <v>644</v>
      </c>
      <c r="C407" s="27">
        <v>7105</v>
      </c>
      <c r="D407" s="27" t="s">
        <v>147</v>
      </c>
      <c r="E407" s="27" t="s">
        <v>13</v>
      </c>
      <c r="F407" s="27" t="s">
        <v>149</v>
      </c>
      <c r="G407" s="27" t="str">
        <f>_xlfn.CONCAT(inicioTerminales[[#This Row],[MARCA CHASIS]]," - ", inicioTerminales[[#This Row],[TIPO BUS]])</f>
        <v>FOTON - BE</v>
      </c>
      <c r="H407" s="27" t="s">
        <v>493</v>
      </c>
      <c r="I407" s="52">
        <v>45003</v>
      </c>
      <c r="J407" s="27" t="s">
        <v>1341</v>
      </c>
      <c r="K407" s="27" t="s">
        <v>841</v>
      </c>
      <c r="L407" s="27" t="s">
        <v>849</v>
      </c>
      <c r="M407" s="27" t="s">
        <v>493</v>
      </c>
      <c r="N407" s="27" t="str">
        <f>inicioTerminales[[#This Row],[TIPO BUS]]&amp;"-"&amp;inicioTerminales[[#This Row],[MARCA CHASIS]]</f>
        <v>BE-FOTON</v>
      </c>
    </row>
    <row r="408" spans="1:14">
      <c r="A408" s="27" t="s">
        <v>421</v>
      </c>
      <c r="B408" s="27" t="s">
        <v>645</v>
      </c>
      <c r="C408" s="27">
        <v>7106</v>
      </c>
      <c r="D408" s="27" t="s">
        <v>147</v>
      </c>
      <c r="E408" s="27" t="s">
        <v>13</v>
      </c>
      <c r="F408" s="27" t="s">
        <v>149</v>
      </c>
      <c r="G408" s="27" t="str">
        <f>_xlfn.CONCAT(inicioTerminales[[#This Row],[MARCA CHASIS]]," - ", inicioTerminales[[#This Row],[TIPO BUS]])</f>
        <v>FOTON - BE</v>
      </c>
      <c r="H408" s="27" t="s">
        <v>493</v>
      </c>
      <c r="I408" s="52">
        <v>45003</v>
      </c>
      <c r="J408" s="27" t="s">
        <v>1341</v>
      </c>
      <c r="K408" s="27" t="s">
        <v>841</v>
      </c>
      <c r="L408" s="27" t="s">
        <v>849</v>
      </c>
      <c r="M408" s="27" t="s">
        <v>493</v>
      </c>
      <c r="N408" s="27" t="str">
        <f>inicioTerminales[[#This Row],[TIPO BUS]]&amp;"-"&amp;inicioTerminales[[#This Row],[MARCA CHASIS]]</f>
        <v>BE-FOTON</v>
      </c>
    </row>
    <row r="409" spans="1:14">
      <c r="A409" s="27" t="s">
        <v>421</v>
      </c>
      <c r="B409" s="27" t="s">
        <v>646</v>
      </c>
      <c r="C409" s="27">
        <v>7107</v>
      </c>
      <c r="D409" s="27" t="s">
        <v>147</v>
      </c>
      <c r="E409" s="27" t="s">
        <v>13</v>
      </c>
      <c r="F409" s="27" t="s">
        <v>149</v>
      </c>
      <c r="G409" s="27" t="str">
        <f>_xlfn.CONCAT(inicioTerminales[[#This Row],[MARCA CHASIS]]," - ", inicioTerminales[[#This Row],[TIPO BUS]])</f>
        <v>FOTON - BE</v>
      </c>
      <c r="H409" s="27" t="s">
        <v>493</v>
      </c>
      <c r="I409" s="52">
        <v>45003</v>
      </c>
      <c r="J409" s="27" t="s">
        <v>1341</v>
      </c>
      <c r="K409" s="27" t="s">
        <v>841</v>
      </c>
      <c r="L409" s="27" t="s">
        <v>849</v>
      </c>
      <c r="M409" s="27" t="s">
        <v>493</v>
      </c>
      <c r="N409" s="27" t="str">
        <f>inicioTerminales[[#This Row],[TIPO BUS]]&amp;"-"&amp;inicioTerminales[[#This Row],[MARCA CHASIS]]</f>
        <v>BE-FOTON</v>
      </c>
    </row>
    <row r="410" spans="1:14">
      <c r="A410" s="27" t="s">
        <v>421</v>
      </c>
      <c r="B410" s="27" t="s">
        <v>735</v>
      </c>
      <c r="C410" s="27">
        <v>7108</v>
      </c>
      <c r="D410" s="27" t="s">
        <v>147</v>
      </c>
      <c r="E410" s="27" t="s">
        <v>13</v>
      </c>
      <c r="F410" s="27" t="s">
        <v>149</v>
      </c>
      <c r="G410" s="27" t="str">
        <f>_xlfn.CONCAT(inicioTerminales[[#This Row],[MARCA CHASIS]]," - ", inicioTerminales[[#This Row],[TIPO BUS]])</f>
        <v>FOTON - BE</v>
      </c>
      <c r="H410" s="27" t="s">
        <v>674</v>
      </c>
      <c r="I410" s="52">
        <v>45003</v>
      </c>
      <c r="J410" s="27" t="s">
        <v>1341</v>
      </c>
      <c r="K410" s="27" t="s">
        <v>840</v>
      </c>
      <c r="L410" s="27" t="s">
        <v>853</v>
      </c>
      <c r="M410" s="27" t="s">
        <v>674</v>
      </c>
      <c r="N410" s="27" t="str">
        <f>inicioTerminales[[#This Row],[TIPO BUS]]&amp;"-"&amp;inicioTerminales[[#This Row],[MARCA CHASIS]]</f>
        <v>BE-FOTON</v>
      </c>
    </row>
    <row r="411" spans="1:14">
      <c r="A411" s="27" t="s">
        <v>421</v>
      </c>
      <c r="B411" s="27" t="s">
        <v>647</v>
      </c>
      <c r="C411" s="27">
        <v>7109</v>
      </c>
      <c r="D411" s="27" t="s">
        <v>147</v>
      </c>
      <c r="E411" s="27" t="s">
        <v>13</v>
      </c>
      <c r="F411" s="27" t="s">
        <v>149</v>
      </c>
      <c r="G411" s="27" t="str">
        <f>_xlfn.CONCAT(inicioTerminales[[#This Row],[MARCA CHASIS]]," - ", inicioTerminales[[#This Row],[TIPO BUS]])</f>
        <v>FOTON - BE</v>
      </c>
      <c r="H411" s="27" t="s">
        <v>493</v>
      </c>
      <c r="I411" s="52">
        <v>45003</v>
      </c>
      <c r="J411" s="27" t="s">
        <v>1341</v>
      </c>
      <c r="K411" s="27" t="s">
        <v>841</v>
      </c>
      <c r="L411" s="27" t="s">
        <v>849</v>
      </c>
      <c r="M411" s="27" t="s">
        <v>493</v>
      </c>
      <c r="N411" s="27" t="str">
        <f>inicioTerminales[[#This Row],[TIPO BUS]]&amp;"-"&amp;inicioTerminales[[#This Row],[MARCA CHASIS]]</f>
        <v>BE-FOTON</v>
      </c>
    </row>
    <row r="412" spans="1:14">
      <c r="A412" s="27" t="s">
        <v>421</v>
      </c>
      <c r="B412" s="27" t="s">
        <v>648</v>
      </c>
      <c r="C412" s="27">
        <v>7110</v>
      </c>
      <c r="D412" s="27" t="s">
        <v>147</v>
      </c>
      <c r="E412" s="27" t="s">
        <v>13</v>
      </c>
      <c r="F412" s="27" t="s">
        <v>149</v>
      </c>
      <c r="G412" s="27" t="str">
        <f>_xlfn.CONCAT(inicioTerminales[[#This Row],[MARCA CHASIS]]," - ", inicioTerminales[[#This Row],[TIPO BUS]])</f>
        <v>FOTON - BE</v>
      </c>
      <c r="H412" s="27" t="s">
        <v>1371</v>
      </c>
      <c r="I412" s="52">
        <v>45003</v>
      </c>
      <c r="J412" s="27" t="s">
        <v>1341</v>
      </c>
      <c r="K412" s="27" t="s">
        <v>841</v>
      </c>
      <c r="L412" s="27" t="s">
        <v>849</v>
      </c>
      <c r="M412" s="27" t="s">
        <v>493</v>
      </c>
      <c r="N412" s="27" t="str">
        <f>inicioTerminales[[#This Row],[TIPO BUS]]&amp;"-"&amp;inicioTerminales[[#This Row],[MARCA CHASIS]]</f>
        <v>BE-FOTON</v>
      </c>
    </row>
    <row r="413" spans="1:14">
      <c r="A413" s="27" t="s">
        <v>421</v>
      </c>
      <c r="B413" s="27" t="s">
        <v>649</v>
      </c>
      <c r="C413" s="27">
        <v>7111</v>
      </c>
      <c r="D413" s="27" t="s">
        <v>147</v>
      </c>
      <c r="E413" s="27" t="s">
        <v>13</v>
      </c>
      <c r="F413" s="27" t="s">
        <v>149</v>
      </c>
      <c r="G413" s="27" t="str">
        <f>_xlfn.CONCAT(inicioTerminales[[#This Row],[MARCA CHASIS]]," - ", inicioTerminales[[#This Row],[TIPO BUS]])</f>
        <v>FOTON - BE</v>
      </c>
      <c r="H413" s="27" t="s">
        <v>493</v>
      </c>
      <c r="I413" s="52">
        <v>45003</v>
      </c>
      <c r="J413" s="27" t="s">
        <v>1341</v>
      </c>
      <c r="K413" s="27" t="s">
        <v>841</v>
      </c>
      <c r="L413" s="27" t="s">
        <v>849</v>
      </c>
      <c r="M413" s="27" t="s">
        <v>493</v>
      </c>
      <c r="N413" s="27" t="str">
        <f>inicioTerminales[[#This Row],[TIPO BUS]]&amp;"-"&amp;inicioTerminales[[#This Row],[MARCA CHASIS]]</f>
        <v>BE-FOTON</v>
      </c>
    </row>
    <row r="414" spans="1:14">
      <c r="A414" s="27" t="s">
        <v>421</v>
      </c>
      <c r="B414" s="27" t="s">
        <v>650</v>
      </c>
      <c r="C414" s="27">
        <v>7112</v>
      </c>
      <c r="D414" s="27" t="s">
        <v>147</v>
      </c>
      <c r="E414" s="27" t="s">
        <v>13</v>
      </c>
      <c r="F414" s="27" t="s">
        <v>149</v>
      </c>
      <c r="G414" s="27" t="str">
        <f>_xlfn.CONCAT(inicioTerminales[[#This Row],[MARCA CHASIS]]," - ", inicioTerminales[[#This Row],[TIPO BUS]])</f>
        <v>FOTON - BE</v>
      </c>
      <c r="H414" s="27" t="s">
        <v>493</v>
      </c>
      <c r="I414" s="52">
        <v>45003</v>
      </c>
      <c r="J414" s="27" t="s">
        <v>1341</v>
      </c>
      <c r="K414" s="27" t="s">
        <v>841</v>
      </c>
      <c r="L414" s="27" t="s">
        <v>849</v>
      </c>
      <c r="M414" s="27" t="s">
        <v>493</v>
      </c>
      <c r="N414" s="27" t="str">
        <f>inicioTerminales[[#This Row],[TIPO BUS]]&amp;"-"&amp;inicioTerminales[[#This Row],[MARCA CHASIS]]</f>
        <v>BE-FOTON</v>
      </c>
    </row>
    <row r="415" spans="1:14">
      <c r="A415" s="27" t="s">
        <v>421</v>
      </c>
      <c r="B415" s="27" t="s">
        <v>651</v>
      </c>
      <c r="C415" s="27">
        <v>7113</v>
      </c>
      <c r="D415" s="27" t="s">
        <v>147</v>
      </c>
      <c r="E415" s="27" t="s">
        <v>13</v>
      </c>
      <c r="F415" s="27" t="s">
        <v>149</v>
      </c>
      <c r="G415" s="27" t="str">
        <f>_xlfn.CONCAT(inicioTerminales[[#This Row],[MARCA CHASIS]]," - ", inicioTerminales[[#This Row],[TIPO BUS]])</f>
        <v>FOTON - BE</v>
      </c>
      <c r="H415" s="27" t="s">
        <v>493</v>
      </c>
      <c r="I415" s="52">
        <v>45003</v>
      </c>
      <c r="J415" s="27" t="s">
        <v>1341</v>
      </c>
      <c r="K415" s="27" t="s">
        <v>841</v>
      </c>
      <c r="L415" s="27" t="s">
        <v>849</v>
      </c>
      <c r="M415" s="27" t="s">
        <v>493</v>
      </c>
      <c r="N415" s="27" t="str">
        <f>inicioTerminales[[#This Row],[TIPO BUS]]&amp;"-"&amp;inicioTerminales[[#This Row],[MARCA CHASIS]]</f>
        <v>BE-FOTON</v>
      </c>
    </row>
    <row r="416" spans="1:14">
      <c r="A416" s="27" t="s">
        <v>421</v>
      </c>
      <c r="B416" s="27" t="s">
        <v>652</v>
      </c>
      <c r="C416" s="27">
        <v>7114</v>
      </c>
      <c r="D416" s="27" t="s">
        <v>147</v>
      </c>
      <c r="E416" s="27" t="s">
        <v>13</v>
      </c>
      <c r="F416" s="27" t="s">
        <v>149</v>
      </c>
      <c r="G416" s="27" t="str">
        <f>_xlfn.CONCAT(inicioTerminales[[#This Row],[MARCA CHASIS]]," - ", inicioTerminales[[#This Row],[TIPO BUS]])</f>
        <v>FOTON - BE</v>
      </c>
      <c r="H416" s="27" t="s">
        <v>493</v>
      </c>
      <c r="I416" s="52">
        <v>45003</v>
      </c>
      <c r="J416" s="27" t="s">
        <v>1341</v>
      </c>
      <c r="K416" s="27" t="s">
        <v>841</v>
      </c>
      <c r="L416" s="27" t="s">
        <v>849</v>
      </c>
      <c r="M416" s="27" t="s">
        <v>493</v>
      </c>
      <c r="N416" s="27" t="str">
        <f>inicioTerminales[[#This Row],[TIPO BUS]]&amp;"-"&amp;inicioTerminales[[#This Row],[MARCA CHASIS]]</f>
        <v>BE-FOTON</v>
      </c>
    </row>
    <row r="417" spans="1:14">
      <c r="A417" s="27" t="s">
        <v>421</v>
      </c>
      <c r="B417" s="27" t="s">
        <v>653</v>
      </c>
      <c r="C417" s="27">
        <v>7115</v>
      </c>
      <c r="D417" s="27" t="s">
        <v>147</v>
      </c>
      <c r="E417" s="27" t="s">
        <v>13</v>
      </c>
      <c r="F417" s="27" t="s">
        <v>149</v>
      </c>
      <c r="G417" s="27" t="str">
        <f>_xlfn.CONCAT(inicioTerminales[[#This Row],[MARCA CHASIS]]," - ", inicioTerminales[[#This Row],[TIPO BUS]])</f>
        <v>FOTON - BE</v>
      </c>
      <c r="H417" s="27" t="s">
        <v>493</v>
      </c>
      <c r="I417" s="52">
        <v>45003</v>
      </c>
      <c r="J417" s="27" t="s">
        <v>1341</v>
      </c>
      <c r="K417" s="27" t="s">
        <v>841</v>
      </c>
      <c r="L417" s="27" t="s">
        <v>849</v>
      </c>
      <c r="M417" s="27" t="s">
        <v>493</v>
      </c>
      <c r="N417" s="27" t="str">
        <f>inicioTerminales[[#This Row],[TIPO BUS]]&amp;"-"&amp;inicioTerminales[[#This Row],[MARCA CHASIS]]</f>
        <v>BE-FOTON</v>
      </c>
    </row>
    <row r="418" spans="1:14">
      <c r="A418" s="27" t="s">
        <v>421</v>
      </c>
      <c r="B418" s="27" t="s">
        <v>654</v>
      </c>
      <c r="C418" s="27">
        <v>7116</v>
      </c>
      <c r="D418" s="27" t="s">
        <v>147</v>
      </c>
      <c r="E418" s="27" t="s">
        <v>13</v>
      </c>
      <c r="F418" s="27" t="s">
        <v>149</v>
      </c>
      <c r="G418" s="27" t="str">
        <f>_xlfn.CONCAT(inicioTerminales[[#This Row],[MARCA CHASIS]]," - ", inicioTerminales[[#This Row],[TIPO BUS]])</f>
        <v>FOTON - BE</v>
      </c>
      <c r="H418" s="27" t="s">
        <v>493</v>
      </c>
      <c r="I418" s="52">
        <v>45003</v>
      </c>
      <c r="J418" s="27" t="s">
        <v>1341</v>
      </c>
      <c r="K418" s="27" t="s">
        <v>841</v>
      </c>
      <c r="L418" s="27" t="s">
        <v>849</v>
      </c>
      <c r="M418" s="27" t="s">
        <v>493</v>
      </c>
      <c r="N418" s="27" t="str">
        <f>inicioTerminales[[#This Row],[TIPO BUS]]&amp;"-"&amp;inicioTerminales[[#This Row],[MARCA CHASIS]]</f>
        <v>BE-FOTON</v>
      </c>
    </row>
    <row r="419" spans="1:14">
      <c r="A419" s="27" t="s">
        <v>421</v>
      </c>
      <c r="B419" s="27" t="s">
        <v>655</v>
      </c>
      <c r="C419" s="27">
        <v>7117</v>
      </c>
      <c r="D419" s="27" t="s">
        <v>147</v>
      </c>
      <c r="E419" s="27" t="s">
        <v>13</v>
      </c>
      <c r="F419" s="27" t="s">
        <v>149</v>
      </c>
      <c r="G419" s="27" t="str">
        <f>_xlfn.CONCAT(inicioTerminales[[#This Row],[MARCA CHASIS]]," - ", inicioTerminales[[#This Row],[TIPO BUS]])</f>
        <v>FOTON - BE</v>
      </c>
      <c r="H419" s="27" t="s">
        <v>493</v>
      </c>
      <c r="I419" s="52">
        <v>45003</v>
      </c>
      <c r="J419" s="27" t="s">
        <v>1341</v>
      </c>
      <c r="K419" s="27" t="s">
        <v>841</v>
      </c>
      <c r="L419" s="27" t="s">
        <v>849</v>
      </c>
      <c r="M419" s="27" t="s">
        <v>493</v>
      </c>
      <c r="N419" s="27" t="str">
        <f>inicioTerminales[[#This Row],[TIPO BUS]]&amp;"-"&amp;inicioTerminales[[#This Row],[MARCA CHASIS]]</f>
        <v>BE-FOTON</v>
      </c>
    </row>
    <row r="420" spans="1:14">
      <c r="A420" s="27" t="s">
        <v>421</v>
      </c>
      <c r="B420" s="27" t="s">
        <v>656</v>
      </c>
      <c r="C420" s="27">
        <v>7118</v>
      </c>
      <c r="D420" s="27" t="s">
        <v>147</v>
      </c>
      <c r="E420" s="27" t="s">
        <v>13</v>
      </c>
      <c r="F420" s="27" t="s">
        <v>149</v>
      </c>
      <c r="G420" s="27" t="str">
        <f>_xlfn.CONCAT(inicioTerminales[[#This Row],[MARCA CHASIS]]," - ", inicioTerminales[[#This Row],[TIPO BUS]])</f>
        <v>FOTON - BE</v>
      </c>
      <c r="H420" s="27" t="s">
        <v>493</v>
      </c>
      <c r="I420" s="52">
        <v>45003</v>
      </c>
      <c r="J420" s="27" t="s">
        <v>1341</v>
      </c>
      <c r="K420" s="27" t="s">
        <v>841</v>
      </c>
      <c r="L420" s="27" t="s">
        <v>849</v>
      </c>
      <c r="M420" s="27" t="s">
        <v>493</v>
      </c>
      <c r="N420" s="27" t="str">
        <f>inicioTerminales[[#This Row],[TIPO BUS]]&amp;"-"&amp;inicioTerminales[[#This Row],[MARCA CHASIS]]</f>
        <v>BE-FOTON</v>
      </c>
    </row>
    <row r="421" spans="1:14">
      <c r="A421" s="27" t="s">
        <v>421</v>
      </c>
      <c r="B421" s="27" t="s">
        <v>657</v>
      </c>
      <c r="C421" s="27">
        <v>7119</v>
      </c>
      <c r="D421" s="27" t="s">
        <v>147</v>
      </c>
      <c r="E421" s="27" t="s">
        <v>13</v>
      </c>
      <c r="F421" s="27" t="s">
        <v>149</v>
      </c>
      <c r="G421" s="27" t="str">
        <f>_xlfn.CONCAT(inicioTerminales[[#This Row],[MARCA CHASIS]]," - ", inicioTerminales[[#This Row],[TIPO BUS]])</f>
        <v>FOTON - BE</v>
      </c>
      <c r="H421" s="27" t="s">
        <v>493</v>
      </c>
      <c r="I421" s="52">
        <v>45003</v>
      </c>
      <c r="J421" s="27" t="s">
        <v>1341</v>
      </c>
      <c r="K421" s="27" t="s">
        <v>841</v>
      </c>
      <c r="L421" s="27" t="s">
        <v>849</v>
      </c>
      <c r="M421" s="27" t="s">
        <v>493</v>
      </c>
      <c r="N421" s="27" t="str">
        <f>inicioTerminales[[#This Row],[TIPO BUS]]&amp;"-"&amp;inicioTerminales[[#This Row],[MARCA CHASIS]]</f>
        <v>BE-FOTON</v>
      </c>
    </row>
    <row r="422" spans="1:14">
      <c r="A422" s="27" t="s">
        <v>421</v>
      </c>
      <c r="B422" s="27" t="s">
        <v>658</v>
      </c>
      <c r="C422" s="27">
        <v>7120</v>
      </c>
      <c r="D422" s="27" t="s">
        <v>147</v>
      </c>
      <c r="E422" s="27" t="s">
        <v>13</v>
      </c>
      <c r="F422" s="27" t="s">
        <v>149</v>
      </c>
      <c r="G422" s="27" t="str">
        <f>_xlfn.CONCAT(inicioTerminales[[#This Row],[MARCA CHASIS]]," - ", inicioTerminales[[#This Row],[TIPO BUS]])</f>
        <v>FOTON - BE</v>
      </c>
      <c r="H422" s="27" t="s">
        <v>493</v>
      </c>
      <c r="I422" s="52">
        <v>45003</v>
      </c>
      <c r="J422" s="27" t="s">
        <v>1341</v>
      </c>
      <c r="K422" s="27" t="s">
        <v>841</v>
      </c>
      <c r="L422" s="27" t="s">
        <v>849</v>
      </c>
      <c r="M422" s="27" t="s">
        <v>493</v>
      </c>
      <c r="N422" s="27" t="str">
        <f>inicioTerminales[[#This Row],[TIPO BUS]]&amp;"-"&amp;inicioTerminales[[#This Row],[MARCA CHASIS]]</f>
        <v>BE-FOTON</v>
      </c>
    </row>
    <row r="423" spans="1:14">
      <c r="A423" s="27" t="s">
        <v>421</v>
      </c>
      <c r="B423" s="27" t="s">
        <v>547</v>
      </c>
      <c r="C423" s="27">
        <v>6091</v>
      </c>
      <c r="D423" s="27" t="s">
        <v>34</v>
      </c>
      <c r="E423" s="27" t="s">
        <v>13</v>
      </c>
      <c r="F423" s="27" t="s">
        <v>14</v>
      </c>
      <c r="G423" s="27" t="str">
        <f>_xlfn.CONCAT(inicioTerminales[[#This Row],[MARCA CHASIS]]," - ", inicioTerminales[[#This Row],[TIPO BUS]])</f>
        <v>VOLVO - B2</v>
      </c>
      <c r="H423" s="27" t="s">
        <v>493</v>
      </c>
      <c r="I423" s="52">
        <v>45003</v>
      </c>
      <c r="J423" s="27" t="s">
        <v>1341</v>
      </c>
      <c r="K423" s="27" t="s">
        <v>841</v>
      </c>
      <c r="L423" s="27" t="s">
        <v>849</v>
      </c>
      <c r="M423" s="27" t="s">
        <v>493</v>
      </c>
      <c r="N423" s="27" t="str">
        <f>inicioTerminales[[#This Row],[TIPO BUS]]&amp;"-"&amp;inicioTerminales[[#This Row],[MARCA CHASIS]]</f>
        <v>B2-VOLVO</v>
      </c>
    </row>
    <row r="424" spans="1:14">
      <c r="A424" s="27" t="s">
        <v>421</v>
      </c>
      <c r="B424" s="27" t="s">
        <v>548</v>
      </c>
      <c r="C424" s="27">
        <v>6092</v>
      </c>
      <c r="D424" s="27" t="s">
        <v>34</v>
      </c>
      <c r="E424" s="27" t="s">
        <v>13</v>
      </c>
      <c r="F424" s="27" t="s">
        <v>14</v>
      </c>
      <c r="G424" s="27" t="str">
        <f>_xlfn.CONCAT(inicioTerminales[[#This Row],[MARCA CHASIS]]," - ", inicioTerminales[[#This Row],[TIPO BUS]])</f>
        <v>VOLVO - B2</v>
      </c>
      <c r="H424" s="27" t="s">
        <v>493</v>
      </c>
      <c r="I424" s="52">
        <v>45003</v>
      </c>
      <c r="J424" s="27" t="s">
        <v>1341</v>
      </c>
      <c r="K424" s="27" t="s">
        <v>841</v>
      </c>
      <c r="L424" s="27" t="s">
        <v>849</v>
      </c>
      <c r="M424" s="27" t="s">
        <v>493</v>
      </c>
      <c r="N424" s="27" t="str">
        <f>inicioTerminales[[#This Row],[TIPO BUS]]&amp;"-"&amp;inicioTerminales[[#This Row],[MARCA CHASIS]]</f>
        <v>B2-VOLVO</v>
      </c>
    </row>
    <row r="425" spans="1:14">
      <c r="A425" s="27" t="s">
        <v>421</v>
      </c>
      <c r="B425" s="27" t="s">
        <v>492</v>
      </c>
      <c r="C425" s="27">
        <v>5006</v>
      </c>
      <c r="D425" s="27" t="s">
        <v>12</v>
      </c>
      <c r="E425" s="27" t="s">
        <v>25</v>
      </c>
      <c r="F425" s="27" t="s">
        <v>14</v>
      </c>
      <c r="G425" s="27" t="str">
        <f>_xlfn.CONCAT(inicioTerminales[[#This Row],[MARCA CHASIS]]," - ", inicioTerminales[[#This Row],[TIPO BUS]])</f>
        <v>VOLVO - A2</v>
      </c>
      <c r="H425" s="27" t="s">
        <v>493</v>
      </c>
      <c r="I425" s="52">
        <v>45003</v>
      </c>
      <c r="J425" s="27" t="s">
        <v>1341</v>
      </c>
      <c r="K425" s="27" t="s">
        <v>841</v>
      </c>
      <c r="L425" s="27" t="s">
        <v>849</v>
      </c>
      <c r="M425" s="27" t="s">
        <v>493</v>
      </c>
      <c r="N425" s="27" t="str">
        <f>inicioTerminales[[#This Row],[TIPO BUS]]&amp;"-"&amp;inicioTerminales[[#This Row],[MARCA CHASIS]]</f>
        <v>A2-VOLVO</v>
      </c>
    </row>
    <row r="426" spans="1:14">
      <c r="A426" s="27" t="s">
        <v>421</v>
      </c>
      <c r="B426" s="27" t="s">
        <v>562</v>
      </c>
      <c r="C426" s="27">
        <v>6121</v>
      </c>
      <c r="D426" s="27" t="s">
        <v>34</v>
      </c>
      <c r="E426" s="27" t="s">
        <v>13</v>
      </c>
      <c r="F426" s="27" t="s">
        <v>14</v>
      </c>
      <c r="G426" s="27" t="str">
        <f>_xlfn.CONCAT(inicioTerminales[[#This Row],[MARCA CHASIS]]," - ", inicioTerminales[[#This Row],[TIPO BUS]])</f>
        <v>VOLVO - B2</v>
      </c>
      <c r="H426" s="27" t="s">
        <v>493</v>
      </c>
      <c r="I426" s="52">
        <v>45003</v>
      </c>
      <c r="J426" s="27" t="s">
        <v>1341</v>
      </c>
      <c r="K426" s="27" t="s">
        <v>841</v>
      </c>
      <c r="L426" s="27" t="s">
        <v>849</v>
      </c>
      <c r="M426" s="27" t="s">
        <v>493</v>
      </c>
      <c r="N426" s="27" t="str">
        <f>inicioTerminales[[#This Row],[TIPO BUS]]&amp;"-"&amp;inicioTerminales[[#This Row],[MARCA CHASIS]]</f>
        <v>B2-VOLVO</v>
      </c>
    </row>
    <row r="427" spans="1:14">
      <c r="A427" s="27" t="s">
        <v>421</v>
      </c>
      <c r="B427" s="27" t="s">
        <v>496</v>
      </c>
      <c r="C427" s="27">
        <v>5007</v>
      </c>
      <c r="D427" s="27" t="s">
        <v>12</v>
      </c>
      <c r="E427" s="27" t="s">
        <v>25</v>
      </c>
      <c r="F427" s="27" t="s">
        <v>14</v>
      </c>
      <c r="G427" s="27" t="str">
        <f>_xlfn.CONCAT(inicioTerminales[[#This Row],[MARCA CHASIS]]," - ", inicioTerminales[[#This Row],[TIPO BUS]])</f>
        <v>VOLVO - A2</v>
      </c>
      <c r="H427" s="27" t="s">
        <v>493</v>
      </c>
      <c r="I427" s="52">
        <v>45003</v>
      </c>
      <c r="J427" s="27" t="s">
        <v>1341</v>
      </c>
      <c r="K427" s="27" t="s">
        <v>841</v>
      </c>
      <c r="L427" s="27" t="s">
        <v>849</v>
      </c>
      <c r="M427" s="27" t="s">
        <v>493</v>
      </c>
      <c r="N427" s="27" t="str">
        <f>inicioTerminales[[#This Row],[TIPO BUS]]&amp;"-"&amp;inicioTerminales[[#This Row],[MARCA CHASIS]]</f>
        <v>A2-VOLVO</v>
      </c>
    </row>
    <row r="428" spans="1:14">
      <c r="A428" s="27" t="s">
        <v>421</v>
      </c>
      <c r="B428" s="27" t="s">
        <v>520</v>
      </c>
      <c r="C428" s="27">
        <v>5008</v>
      </c>
      <c r="D428" s="27" t="s">
        <v>12</v>
      </c>
      <c r="E428" s="27" t="s">
        <v>13</v>
      </c>
      <c r="F428" s="27" t="s">
        <v>14</v>
      </c>
      <c r="G428" s="27" t="str">
        <f>_xlfn.CONCAT(inicioTerminales[[#This Row],[MARCA CHASIS]]," - ", inicioTerminales[[#This Row],[TIPO BUS]])</f>
        <v>VOLVO - A2</v>
      </c>
      <c r="H428" s="27" t="s">
        <v>493</v>
      </c>
      <c r="I428" s="52">
        <v>45003</v>
      </c>
      <c r="J428" s="27" t="s">
        <v>1341</v>
      </c>
      <c r="K428" s="27" t="s">
        <v>841</v>
      </c>
      <c r="L428" s="27" t="s">
        <v>849</v>
      </c>
      <c r="M428" s="27" t="s">
        <v>493</v>
      </c>
      <c r="N428" s="27" t="str">
        <f>inicioTerminales[[#This Row],[TIPO BUS]]&amp;"-"&amp;inicioTerminales[[#This Row],[MARCA CHASIS]]</f>
        <v>A2-VOLVO</v>
      </c>
    </row>
    <row r="429" spans="1:14">
      <c r="A429" s="27" t="s">
        <v>421</v>
      </c>
      <c r="B429" s="27" t="s">
        <v>498</v>
      </c>
      <c r="C429" s="27">
        <v>5009</v>
      </c>
      <c r="D429" s="27" t="s">
        <v>12</v>
      </c>
      <c r="E429" s="27" t="s">
        <v>13</v>
      </c>
      <c r="F429" s="27" t="s">
        <v>14</v>
      </c>
      <c r="G429" s="27" t="str">
        <f>_xlfn.CONCAT(inicioTerminales[[#This Row],[MARCA CHASIS]]," - ", inicioTerminales[[#This Row],[TIPO BUS]])</f>
        <v>VOLVO - A2</v>
      </c>
      <c r="H429" s="27" t="s">
        <v>493</v>
      </c>
      <c r="I429" s="52">
        <v>45003</v>
      </c>
      <c r="J429" s="27" t="s">
        <v>1341</v>
      </c>
      <c r="K429" s="27" t="s">
        <v>841</v>
      </c>
      <c r="L429" s="27" t="s">
        <v>849</v>
      </c>
      <c r="M429" s="27" t="s">
        <v>493</v>
      </c>
      <c r="N429" s="27" t="str">
        <f>inicioTerminales[[#This Row],[TIPO BUS]]&amp;"-"&amp;inicioTerminales[[#This Row],[MARCA CHASIS]]</f>
        <v>A2-VOLVO</v>
      </c>
    </row>
    <row r="430" spans="1:14">
      <c r="A430" s="27" t="s">
        <v>421</v>
      </c>
      <c r="B430" s="27" t="s">
        <v>500</v>
      </c>
      <c r="C430" s="27">
        <v>5010</v>
      </c>
      <c r="D430" s="27" t="s">
        <v>12</v>
      </c>
      <c r="E430" s="27" t="s">
        <v>13</v>
      </c>
      <c r="F430" s="27" t="s">
        <v>14</v>
      </c>
      <c r="G430" s="27" t="str">
        <f>_xlfn.CONCAT(inicioTerminales[[#This Row],[MARCA CHASIS]]," - ", inicioTerminales[[#This Row],[TIPO BUS]])</f>
        <v>VOLVO - A2</v>
      </c>
      <c r="H430" s="27" t="s">
        <v>493</v>
      </c>
      <c r="I430" s="52">
        <v>45003</v>
      </c>
      <c r="J430" s="27" t="s">
        <v>1341</v>
      </c>
      <c r="K430" s="27" t="s">
        <v>841</v>
      </c>
      <c r="L430" s="27" t="s">
        <v>849</v>
      </c>
      <c r="M430" s="27" t="s">
        <v>493</v>
      </c>
      <c r="N430" s="27" t="str">
        <f>inicioTerminales[[#This Row],[TIPO BUS]]&amp;"-"&amp;inicioTerminales[[#This Row],[MARCA CHASIS]]</f>
        <v>A2-VOLVO</v>
      </c>
    </row>
    <row r="431" spans="1:14">
      <c r="A431" s="27" t="s">
        <v>421</v>
      </c>
      <c r="B431" s="27" t="s">
        <v>502</v>
      </c>
      <c r="C431" s="27">
        <v>5011</v>
      </c>
      <c r="D431" s="27" t="s">
        <v>12</v>
      </c>
      <c r="E431" s="27" t="s">
        <v>13</v>
      </c>
      <c r="F431" s="27" t="s">
        <v>14</v>
      </c>
      <c r="G431" s="27" t="str">
        <f>_xlfn.CONCAT(inicioTerminales[[#This Row],[MARCA CHASIS]]," - ", inicioTerminales[[#This Row],[TIPO BUS]])</f>
        <v>VOLVO - A2</v>
      </c>
      <c r="H431" s="27" t="s">
        <v>493</v>
      </c>
      <c r="I431" s="52">
        <v>45003</v>
      </c>
      <c r="J431" s="27" t="s">
        <v>1341</v>
      </c>
      <c r="K431" s="27" t="s">
        <v>841</v>
      </c>
      <c r="L431" s="27" t="s">
        <v>849</v>
      </c>
      <c r="M431" s="27" t="s">
        <v>493</v>
      </c>
      <c r="N431" s="27" t="str">
        <f>inicioTerminales[[#This Row],[TIPO BUS]]&amp;"-"&amp;inicioTerminales[[#This Row],[MARCA CHASIS]]</f>
        <v>A2-VOLVO</v>
      </c>
    </row>
    <row r="432" spans="1:14">
      <c r="A432" s="27" t="s">
        <v>421</v>
      </c>
      <c r="B432" s="27" t="s">
        <v>503</v>
      </c>
      <c r="C432" s="27">
        <v>5012</v>
      </c>
      <c r="D432" s="27" t="s">
        <v>12</v>
      </c>
      <c r="E432" s="27" t="s">
        <v>13</v>
      </c>
      <c r="F432" s="27" t="s">
        <v>14</v>
      </c>
      <c r="G432" s="27" t="str">
        <f>_xlfn.CONCAT(inicioTerminales[[#This Row],[MARCA CHASIS]]," - ", inicioTerminales[[#This Row],[TIPO BUS]])</f>
        <v>VOLVO - A2</v>
      </c>
      <c r="H432" s="27" t="s">
        <v>493</v>
      </c>
      <c r="I432" s="52">
        <v>45003</v>
      </c>
      <c r="J432" s="27" t="s">
        <v>1341</v>
      </c>
      <c r="K432" s="27" t="s">
        <v>841</v>
      </c>
      <c r="L432" s="27" t="s">
        <v>849</v>
      </c>
      <c r="M432" s="27" t="s">
        <v>493</v>
      </c>
      <c r="N432" s="27" t="str">
        <f>inicioTerminales[[#This Row],[TIPO BUS]]&amp;"-"&amp;inicioTerminales[[#This Row],[MARCA CHASIS]]</f>
        <v>A2-VOLVO</v>
      </c>
    </row>
    <row r="433" spans="1:14">
      <c r="A433" s="27" t="s">
        <v>421</v>
      </c>
      <c r="B433" s="27" t="s">
        <v>504</v>
      </c>
      <c r="C433" s="27">
        <v>5013</v>
      </c>
      <c r="D433" s="27" t="s">
        <v>12</v>
      </c>
      <c r="E433" s="27" t="s">
        <v>13</v>
      </c>
      <c r="F433" s="27" t="s">
        <v>14</v>
      </c>
      <c r="G433" s="27" t="str">
        <f>_xlfn.CONCAT(inicioTerminales[[#This Row],[MARCA CHASIS]]," - ", inicioTerminales[[#This Row],[TIPO BUS]])</f>
        <v>VOLVO - A2</v>
      </c>
      <c r="H433" s="27" t="s">
        <v>493</v>
      </c>
      <c r="I433" s="52">
        <v>45003</v>
      </c>
      <c r="J433" s="27" t="s">
        <v>1341</v>
      </c>
      <c r="K433" s="27" t="s">
        <v>841</v>
      </c>
      <c r="L433" s="27" t="s">
        <v>849</v>
      </c>
      <c r="M433" s="27" t="s">
        <v>493</v>
      </c>
      <c r="N433" s="27" t="str">
        <f>inicioTerminales[[#This Row],[TIPO BUS]]&amp;"-"&amp;inicioTerminales[[#This Row],[MARCA CHASIS]]</f>
        <v>A2-VOLVO</v>
      </c>
    </row>
    <row r="434" spans="1:14">
      <c r="A434" s="27" t="s">
        <v>421</v>
      </c>
      <c r="B434" s="27" t="s">
        <v>505</v>
      </c>
      <c r="C434" s="27">
        <v>5014</v>
      </c>
      <c r="D434" s="27" t="s">
        <v>12</v>
      </c>
      <c r="E434" s="27" t="s">
        <v>13</v>
      </c>
      <c r="F434" s="27" t="s">
        <v>14</v>
      </c>
      <c r="G434" s="27" t="str">
        <f>_xlfn.CONCAT(inicioTerminales[[#This Row],[MARCA CHASIS]]," - ", inicioTerminales[[#This Row],[TIPO BUS]])</f>
        <v>VOLVO - A2</v>
      </c>
      <c r="H434" s="27" t="s">
        <v>493</v>
      </c>
      <c r="I434" s="52">
        <v>45003</v>
      </c>
      <c r="J434" s="27" t="s">
        <v>1341</v>
      </c>
      <c r="K434" s="27" t="s">
        <v>841</v>
      </c>
      <c r="L434" s="27" t="s">
        <v>849</v>
      </c>
      <c r="M434" s="27" t="s">
        <v>493</v>
      </c>
      <c r="N434" s="27" t="str">
        <f>inicioTerminales[[#This Row],[TIPO BUS]]&amp;"-"&amp;inicioTerminales[[#This Row],[MARCA CHASIS]]</f>
        <v>A2-VOLVO</v>
      </c>
    </row>
    <row r="435" spans="1:14">
      <c r="A435" s="27" t="s">
        <v>421</v>
      </c>
      <c r="B435" s="27" t="s">
        <v>507</v>
      </c>
      <c r="C435" s="27">
        <v>5015</v>
      </c>
      <c r="D435" s="27" t="s">
        <v>12</v>
      </c>
      <c r="E435" s="27" t="s">
        <v>13</v>
      </c>
      <c r="F435" s="27" t="s">
        <v>14</v>
      </c>
      <c r="G435" s="27" t="str">
        <f>_xlfn.CONCAT(inicioTerminales[[#This Row],[MARCA CHASIS]]," - ", inicioTerminales[[#This Row],[TIPO BUS]])</f>
        <v>VOLVO - A2</v>
      </c>
      <c r="H435" s="27" t="s">
        <v>493</v>
      </c>
      <c r="I435" s="52">
        <v>45003</v>
      </c>
      <c r="J435" s="27" t="s">
        <v>1341</v>
      </c>
      <c r="K435" s="27" t="s">
        <v>841</v>
      </c>
      <c r="L435" s="27" t="s">
        <v>849</v>
      </c>
      <c r="M435" s="27" t="s">
        <v>493</v>
      </c>
      <c r="N435" s="27" t="str">
        <f>inicioTerminales[[#This Row],[TIPO BUS]]&amp;"-"&amp;inicioTerminales[[#This Row],[MARCA CHASIS]]</f>
        <v>A2-VOLVO</v>
      </c>
    </row>
    <row r="436" spans="1:14">
      <c r="A436" s="27" t="s">
        <v>421</v>
      </c>
      <c r="B436" s="27" t="s">
        <v>508</v>
      </c>
      <c r="C436" s="27">
        <v>5016</v>
      </c>
      <c r="D436" s="27" t="s">
        <v>12</v>
      </c>
      <c r="E436" s="27" t="s">
        <v>13</v>
      </c>
      <c r="F436" s="27" t="s">
        <v>14</v>
      </c>
      <c r="G436" s="27" t="str">
        <f>_xlfn.CONCAT(inicioTerminales[[#This Row],[MARCA CHASIS]]," - ", inicioTerminales[[#This Row],[TIPO BUS]])</f>
        <v>VOLVO - A2</v>
      </c>
      <c r="H436" s="27" t="s">
        <v>493</v>
      </c>
      <c r="I436" s="52">
        <v>45003</v>
      </c>
      <c r="J436" s="27" t="s">
        <v>1341</v>
      </c>
      <c r="K436" s="27" t="s">
        <v>841</v>
      </c>
      <c r="L436" s="27" t="s">
        <v>849</v>
      </c>
      <c r="M436" s="27" t="s">
        <v>493</v>
      </c>
      <c r="N436" s="27" t="str">
        <f>inicioTerminales[[#This Row],[TIPO BUS]]&amp;"-"&amp;inicioTerminales[[#This Row],[MARCA CHASIS]]</f>
        <v>A2-VOLVO</v>
      </c>
    </row>
    <row r="437" spans="1:14">
      <c r="A437" s="27" t="s">
        <v>421</v>
      </c>
      <c r="B437" s="27" t="s">
        <v>509</v>
      </c>
      <c r="C437" s="27">
        <v>5017</v>
      </c>
      <c r="D437" s="27" t="s">
        <v>12</v>
      </c>
      <c r="E437" s="27" t="s">
        <v>13</v>
      </c>
      <c r="F437" s="27" t="s">
        <v>14</v>
      </c>
      <c r="G437" s="27" t="str">
        <f>_xlfn.CONCAT(inicioTerminales[[#This Row],[MARCA CHASIS]]," - ", inicioTerminales[[#This Row],[TIPO BUS]])</f>
        <v>VOLVO - A2</v>
      </c>
      <c r="H437" s="27" t="s">
        <v>493</v>
      </c>
      <c r="I437" s="52">
        <v>45003</v>
      </c>
      <c r="J437" s="27" t="s">
        <v>1341</v>
      </c>
      <c r="K437" s="27" t="s">
        <v>841</v>
      </c>
      <c r="L437" s="27" t="s">
        <v>849</v>
      </c>
      <c r="M437" s="27" t="s">
        <v>493</v>
      </c>
      <c r="N437" s="27" t="str">
        <f>inicioTerminales[[#This Row],[TIPO BUS]]&amp;"-"&amp;inicioTerminales[[#This Row],[MARCA CHASIS]]</f>
        <v>A2-VOLVO</v>
      </c>
    </row>
    <row r="438" spans="1:14">
      <c r="A438" s="27" t="s">
        <v>421</v>
      </c>
      <c r="B438" s="27" t="s">
        <v>510</v>
      </c>
      <c r="C438" s="27">
        <v>5018</v>
      </c>
      <c r="D438" s="27" t="s">
        <v>12</v>
      </c>
      <c r="E438" s="27" t="s">
        <v>13</v>
      </c>
      <c r="F438" s="27" t="s">
        <v>14</v>
      </c>
      <c r="G438" s="27" t="str">
        <f>_xlfn.CONCAT(inicioTerminales[[#This Row],[MARCA CHASIS]]," - ", inicioTerminales[[#This Row],[TIPO BUS]])</f>
        <v>VOLVO - A2</v>
      </c>
      <c r="H438" s="27" t="s">
        <v>493</v>
      </c>
      <c r="I438" s="52">
        <v>45003</v>
      </c>
      <c r="J438" s="27" t="s">
        <v>1341</v>
      </c>
      <c r="K438" s="27" t="s">
        <v>841</v>
      </c>
      <c r="L438" s="27" t="s">
        <v>849</v>
      </c>
      <c r="M438" s="27" t="s">
        <v>493</v>
      </c>
      <c r="N438" s="27" t="str">
        <f>inicioTerminales[[#This Row],[TIPO BUS]]&amp;"-"&amp;inicioTerminales[[#This Row],[MARCA CHASIS]]</f>
        <v>A2-VOLVO</v>
      </c>
    </row>
    <row r="439" spans="1:14">
      <c r="A439" s="27" t="s">
        <v>421</v>
      </c>
      <c r="B439" s="27" t="s">
        <v>511</v>
      </c>
      <c r="C439" s="27">
        <v>5019</v>
      </c>
      <c r="D439" s="27" t="s">
        <v>12</v>
      </c>
      <c r="E439" s="27" t="s">
        <v>13</v>
      </c>
      <c r="F439" s="27" t="s">
        <v>14</v>
      </c>
      <c r="G439" s="27" t="str">
        <f>_xlfn.CONCAT(inicioTerminales[[#This Row],[MARCA CHASIS]]," - ", inicioTerminales[[#This Row],[TIPO BUS]])</f>
        <v>VOLVO - A2</v>
      </c>
      <c r="H439" s="27" t="s">
        <v>493</v>
      </c>
      <c r="I439" s="52">
        <v>45003</v>
      </c>
      <c r="J439" s="27" t="s">
        <v>1341</v>
      </c>
      <c r="K439" s="27" t="s">
        <v>841</v>
      </c>
      <c r="L439" s="27" t="s">
        <v>849</v>
      </c>
      <c r="M439" s="27" t="s">
        <v>493</v>
      </c>
      <c r="N439" s="27" t="str">
        <f>inicioTerminales[[#This Row],[TIPO BUS]]&amp;"-"&amp;inicioTerminales[[#This Row],[MARCA CHASIS]]</f>
        <v>A2-VOLVO</v>
      </c>
    </row>
    <row r="440" spans="1:14">
      <c r="A440" s="27" t="s">
        <v>421</v>
      </c>
      <c r="B440" s="27" t="s">
        <v>512</v>
      </c>
      <c r="C440" s="27">
        <v>5020</v>
      </c>
      <c r="D440" s="27" t="s">
        <v>12</v>
      </c>
      <c r="E440" s="27" t="s">
        <v>13</v>
      </c>
      <c r="F440" s="27" t="s">
        <v>14</v>
      </c>
      <c r="G440" s="27" t="str">
        <f>_xlfn.CONCAT(inicioTerminales[[#This Row],[MARCA CHASIS]]," - ", inicioTerminales[[#This Row],[TIPO BUS]])</f>
        <v>VOLVO - A2</v>
      </c>
      <c r="H440" s="27" t="s">
        <v>493</v>
      </c>
      <c r="I440" s="52">
        <v>45003</v>
      </c>
      <c r="J440" s="27" t="s">
        <v>1341</v>
      </c>
      <c r="K440" s="27" t="s">
        <v>841</v>
      </c>
      <c r="L440" s="27" t="s">
        <v>849</v>
      </c>
      <c r="M440" s="27" t="s">
        <v>493</v>
      </c>
      <c r="N440" s="27" t="str">
        <f>inicioTerminales[[#This Row],[TIPO BUS]]&amp;"-"&amp;inicioTerminales[[#This Row],[MARCA CHASIS]]</f>
        <v>A2-VOLVO</v>
      </c>
    </row>
    <row r="441" spans="1:14">
      <c r="A441" s="27" t="s">
        <v>421</v>
      </c>
      <c r="B441" s="27" t="s">
        <v>524</v>
      </c>
      <c r="C441" s="27">
        <v>5021</v>
      </c>
      <c r="D441" s="27" t="s">
        <v>12</v>
      </c>
      <c r="E441" s="27" t="s">
        <v>13</v>
      </c>
      <c r="F441" s="27" t="s">
        <v>14</v>
      </c>
      <c r="G441" s="27" t="str">
        <f>_xlfn.CONCAT(inicioTerminales[[#This Row],[MARCA CHASIS]]," - ", inicioTerminales[[#This Row],[TIPO BUS]])</f>
        <v>VOLVO - A2</v>
      </c>
      <c r="H441" s="27" t="s">
        <v>493</v>
      </c>
      <c r="I441" s="52">
        <v>45003</v>
      </c>
      <c r="J441" s="27" t="s">
        <v>1341</v>
      </c>
      <c r="K441" s="27" t="s">
        <v>841</v>
      </c>
      <c r="L441" s="27" t="s">
        <v>849</v>
      </c>
      <c r="M441" s="27" t="s">
        <v>493</v>
      </c>
      <c r="N441" s="27" t="str">
        <f>inicioTerminales[[#This Row],[TIPO BUS]]&amp;"-"&amp;inicioTerminales[[#This Row],[MARCA CHASIS]]</f>
        <v>A2-VOLVO</v>
      </c>
    </row>
    <row r="442" spans="1:14">
      <c r="A442" s="27" t="s">
        <v>421</v>
      </c>
      <c r="B442" s="27" t="s">
        <v>513</v>
      </c>
      <c r="C442" s="27">
        <v>5022</v>
      </c>
      <c r="D442" s="27" t="s">
        <v>12</v>
      </c>
      <c r="E442" s="27" t="s">
        <v>13</v>
      </c>
      <c r="F442" s="27" t="s">
        <v>14</v>
      </c>
      <c r="G442" s="27" t="str">
        <f>_xlfn.CONCAT(inicioTerminales[[#This Row],[MARCA CHASIS]]," - ", inicioTerminales[[#This Row],[TIPO BUS]])</f>
        <v>VOLVO - A2</v>
      </c>
      <c r="H442" s="27" t="s">
        <v>493</v>
      </c>
      <c r="I442" s="52">
        <v>45003</v>
      </c>
      <c r="J442" s="27" t="s">
        <v>1341</v>
      </c>
      <c r="K442" s="27" t="s">
        <v>841</v>
      </c>
      <c r="L442" s="27" t="s">
        <v>849</v>
      </c>
      <c r="M442" s="27" t="s">
        <v>493</v>
      </c>
      <c r="N442" s="27" t="str">
        <f>inicioTerminales[[#This Row],[TIPO BUS]]&amp;"-"&amp;inicioTerminales[[#This Row],[MARCA CHASIS]]</f>
        <v>A2-VOLVO</v>
      </c>
    </row>
    <row r="443" spans="1:14">
      <c r="A443" s="27" t="s">
        <v>421</v>
      </c>
      <c r="B443" s="27" t="s">
        <v>429</v>
      </c>
      <c r="C443" s="27">
        <v>5023</v>
      </c>
      <c r="D443" s="27" t="s">
        <v>12</v>
      </c>
      <c r="E443" s="27" t="s">
        <v>13</v>
      </c>
      <c r="F443" s="27" t="s">
        <v>14</v>
      </c>
      <c r="G443" s="27" t="str">
        <f>_xlfn.CONCAT(inicioTerminales[[#This Row],[MARCA CHASIS]]," - ", inicioTerminales[[#This Row],[TIPO BUS]])</f>
        <v>VOLVO - A2</v>
      </c>
      <c r="H443" s="27" t="s">
        <v>423</v>
      </c>
      <c r="I443" s="52">
        <v>45537</v>
      </c>
      <c r="J443" s="27" t="s">
        <v>1341</v>
      </c>
      <c r="K443" s="27" t="s">
        <v>839</v>
      </c>
      <c r="L443" s="27" t="s">
        <v>1367</v>
      </c>
      <c r="M443" s="27" t="s">
        <v>423</v>
      </c>
      <c r="N443" s="27" t="str">
        <f>inicioTerminales[[#This Row],[TIPO BUS]]&amp;"-"&amp;inicioTerminales[[#This Row],[MARCA CHASIS]]</f>
        <v>A2-VOLVO</v>
      </c>
    </row>
    <row r="444" spans="1:14">
      <c r="A444" s="27" t="s">
        <v>421</v>
      </c>
      <c r="B444" s="27" t="s">
        <v>736</v>
      </c>
      <c r="C444" s="27">
        <v>7121</v>
      </c>
      <c r="D444" s="27" t="s">
        <v>147</v>
      </c>
      <c r="E444" s="27" t="s">
        <v>25</v>
      </c>
      <c r="F444" s="27" t="s">
        <v>149</v>
      </c>
      <c r="G444" s="27" t="str">
        <f>_xlfn.CONCAT(inicioTerminales[[#This Row],[MARCA CHASIS]]," - ", inicioTerminales[[#This Row],[TIPO BUS]])</f>
        <v>FOTON - BE</v>
      </c>
      <c r="H444" s="27" t="s">
        <v>674</v>
      </c>
      <c r="I444" s="52">
        <v>45024</v>
      </c>
      <c r="J444" s="27" t="s">
        <v>1341</v>
      </c>
      <c r="K444" s="27" t="s">
        <v>840</v>
      </c>
      <c r="L444" s="27" t="s">
        <v>853</v>
      </c>
      <c r="M444" s="27" t="s">
        <v>674</v>
      </c>
      <c r="N444" s="27" t="str">
        <f>inicioTerminales[[#This Row],[TIPO BUS]]&amp;"-"&amp;inicioTerminales[[#This Row],[MARCA CHASIS]]</f>
        <v>BE-FOTON</v>
      </c>
    </row>
    <row r="445" spans="1:14">
      <c r="A445" s="27" t="s">
        <v>421</v>
      </c>
      <c r="B445" s="27" t="s">
        <v>737</v>
      </c>
      <c r="C445" s="27">
        <v>7122</v>
      </c>
      <c r="D445" s="27" t="s">
        <v>147</v>
      </c>
      <c r="E445" s="27" t="s">
        <v>25</v>
      </c>
      <c r="F445" s="27" t="s">
        <v>149</v>
      </c>
      <c r="G445" s="27" t="str">
        <f>_xlfn.CONCAT(inicioTerminales[[#This Row],[MARCA CHASIS]]," - ", inicioTerminales[[#This Row],[TIPO BUS]])</f>
        <v>FOTON - BE</v>
      </c>
      <c r="H445" s="27" t="s">
        <v>674</v>
      </c>
      <c r="I445" s="52">
        <v>45024</v>
      </c>
      <c r="J445" s="27" t="s">
        <v>1341</v>
      </c>
      <c r="K445" s="27" t="s">
        <v>840</v>
      </c>
      <c r="L445" s="27" t="s">
        <v>853</v>
      </c>
      <c r="M445" s="27" t="s">
        <v>674</v>
      </c>
      <c r="N445" s="27" t="str">
        <f>inicioTerminales[[#This Row],[TIPO BUS]]&amp;"-"&amp;inicioTerminales[[#This Row],[MARCA CHASIS]]</f>
        <v>BE-FOTON</v>
      </c>
    </row>
    <row r="446" spans="1:14">
      <c r="A446" s="27" t="s">
        <v>421</v>
      </c>
      <c r="B446" s="27" t="s">
        <v>738</v>
      </c>
      <c r="C446" s="27">
        <v>7123</v>
      </c>
      <c r="D446" s="27" t="s">
        <v>147</v>
      </c>
      <c r="E446" s="27" t="s">
        <v>25</v>
      </c>
      <c r="F446" s="27" t="s">
        <v>149</v>
      </c>
      <c r="G446" s="27" t="str">
        <f>_xlfn.CONCAT(inicioTerminales[[#This Row],[MARCA CHASIS]]," - ", inicioTerminales[[#This Row],[TIPO BUS]])</f>
        <v>FOTON - BE</v>
      </c>
      <c r="H446" s="27" t="s">
        <v>674</v>
      </c>
      <c r="I446" s="52">
        <v>45024</v>
      </c>
      <c r="J446" s="27" t="s">
        <v>1341</v>
      </c>
      <c r="K446" s="27" t="s">
        <v>840</v>
      </c>
      <c r="L446" s="27" t="s">
        <v>853</v>
      </c>
      <c r="M446" s="27" t="s">
        <v>674</v>
      </c>
      <c r="N446" s="27" t="str">
        <f>inicioTerminales[[#This Row],[TIPO BUS]]&amp;"-"&amp;inicioTerminales[[#This Row],[MARCA CHASIS]]</f>
        <v>BE-FOTON</v>
      </c>
    </row>
    <row r="447" spans="1:14">
      <c r="A447" s="27" t="s">
        <v>421</v>
      </c>
      <c r="B447" s="27" t="s">
        <v>739</v>
      </c>
      <c r="C447" s="27">
        <v>7124</v>
      </c>
      <c r="D447" s="27" t="s">
        <v>147</v>
      </c>
      <c r="E447" s="27" t="s">
        <v>25</v>
      </c>
      <c r="F447" s="27" t="s">
        <v>149</v>
      </c>
      <c r="G447" s="27" t="str">
        <f>_xlfn.CONCAT(inicioTerminales[[#This Row],[MARCA CHASIS]]," - ", inicioTerminales[[#This Row],[TIPO BUS]])</f>
        <v>FOTON - BE</v>
      </c>
      <c r="H447" s="27" t="s">
        <v>674</v>
      </c>
      <c r="I447" s="52">
        <v>45024</v>
      </c>
      <c r="J447" s="27" t="s">
        <v>1341</v>
      </c>
      <c r="K447" s="27" t="s">
        <v>840</v>
      </c>
      <c r="L447" s="27" t="s">
        <v>853</v>
      </c>
      <c r="M447" s="27" t="s">
        <v>674</v>
      </c>
      <c r="N447" s="27" t="str">
        <f>inicioTerminales[[#This Row],[TIPO BUS]]&amp;"-"&amp;inicioTerminales[[#This Row],[MARCA CHASIS]]</f>
        <v>BE-FOTON</v>
      </c>
    </row>
    <row r="448" spans="1:14">
      <c r="A448" s="27" t="s">
        <v>421</v>
      </c>
      <c r="B448" s="27" t="s">
        <v>740</v>
      </c>
      <c r="C448" s="27">
        <v>7125</v>
      </c>
      <c r="D448" s="27" t="s">
        <v>147</v>
      </c>
      <c r="E448" s="27" t="s">
        <v>25</v>
      </c>
      <c r="F448" s="27" t="s">
        <v>149</v>
      </c>
      <c r="G448" s="27" t="str">
        <f>_xlfn.CONCAT(inicioTerminales[[#This Row],[MARCA CHASIS]]," - ", inicioTerminales[[#This Row],[TIPO BUS]])</f>
        <v>FOTON - BE</v>
      </c>
      <c r="H448" s="27" t="s">
        <v>674</v>
      </c>
      <c r="I448" s="52">
        <v>45024</v>
      </c>
      <c r="J448" s="27" t="s">
        <v>1341</v>
      </c>
      <c r="K448" s="27" t="s">
        <v>840</v>
      </c>
      <c r="L448" s="27" t="s">
        <v>853</v>
      </c>
      <c r="M448" s="27" t="s">
        <v>674</v>
      </c>
      <c r="N448" s="27" t="str">
        <f>inicioTerminales[[#This Row],[TIPO BUS]]&amp;"-"&amp;inicioTerminales[[#This Row],[MARCA CHASIS]]</f>
        <v>BE-FOTON</v>
      </c>
    </row>
    <row r="449" spans="1:14">
      <c r="A449" s="27" t="s">
        <v>421</v>
      </c>
      <c r="B449" s="27" t="s">
        <v>741</v>
      </c>
      <c r="C449" s="27">
        <v>7126</v>
      </c>
      <c r="D449" s="27" t="s">
        <v>147</v>
      </c>
      <c r="E449" s="27" t="s">
        <v>13</v>
      </c>
      <c r="F449" s="27" t="s">
        <v>149</v>
      </c>
      <c r="G449" s="27" t="str">
        <f>_xlfn.CONCAT(inicioTerminales[[#This Row],[MARCA CHASIS]]," - ", inicioTerminales[[#This Row],[TIPO BUS]])</f>
        <v>FOTON - BE</v>
      </c>
      <c r="H449" s="27" t="s">
        <v>674</v>
      </c>
      <c r="I449" s="52">
        <v>45024</v>
      </c>
      <c r="J449" s="27" t="s">
        <v>1341</v>
      </c>
      <c r="K449" s="27" t="s">
        <v>840</v>
      </c>
      <c r="L449" s="27" t="s">
        <v>853</v>
      </c>
      <c r="M449" s="27" t="s">
        <v>674</v>
      </c>
      <c r="N449" s="27" t="str">
        <f>inicioTerminales[[#This Row],[TIPO BUS]]&amp;"-"&amp;inicioTerminales[[#This Row],[MARCA CHASIS]]</f>
        <v>BE-FOTON</v>
      </c>
    </row>
    <row r="450" spans="1:14">
      <c r="A450" s="27" t="s">
        <v>421</v>
      </c>
      <c r="B450" s="27" t="s">
        <v>742</v>
      </c>
      <c r="C450" s="27">
        <v>7127</v>
      </c>
      <c r="D450" s="27" t="s">
        <v>147</v>
      </c>
      <c r="E450" s="27" t="s">
        <v>13</v>
      </c>
      <c r="F450" s="27" t="s">
        <v>149</v>
      </c>
      <c r="G450" s="27" t="str">
        <f>_xlfn.CONCAT(inicioTerminales[[#This Row],[MARCA CHASIS]]," - ", inicioTerminales[[#This Row],[TIPO BUS]])</f>
        <v>FOTON - BE</v>
      </c>
      <c r="H450" s="27" t="s">
        <v>674</v>
      </c>
      <c r="I450" s="52">
        <v>45024</v>
      </c>
      <c r="J450" s="27" t="s">
        <v>1341</v>
      </c>
      <c r="K450" s="27" t="s">
        <v>840</v>
      </c>
      <c r="L450" s="27" t="s">
        <v>853</v>
      </c>
      <c r="M450" s="27" t="s">
        <v>674</v>
      </c>
      <c r="N450" s="27" t="str">
        <f>inicioTerminales[[#This Row],[TIPO BUS]]&amp;"-"&amp;inicioTerminales[[#This Row],[MARCA CHASIS]]</f>
        <v>BE-FOTON</v>
      </c>
    </row>
    <row r="451" spans="1:14">
      <c r="A451" s="27" t="s">
        <v>421</v>
      </c>
      <c r="B451" s="27" t="s">
        <v>743</v>
      </c>
      <c r="C451" s="27">
        <v>7128</v>
      </c>
      <c r="D451" s="27" t="s">
        <v>147</v>
      </c>
      <c r="E451" s="27" t="s">
        <v>13</v>
      </c>
      <c r="F451" s="27" t="s">
        <v>149</v>
      </c>
      <c r="G451" s="27" t="str">
        <f>_xlfn.CONCAT(inicioTerminales[[#This Row],[MARCA CHASIS]]," - ", inicioTerminales[[#This Row],[TIPO BUS]])</f>
        <v>FOTON - BE</v>
      </c>
      <c r="H451" s="27" t="s">
        <v>674</v>
      </c>
      <c r="I451" s="52">
        <v>45024</v>
      </c>
      <c r="J451" s="27" t="s">
        <v>1341</v>
      </c>
      <c r="K451" s="27" t="s">
        <v>840</v>
      </c>
      <c r="L451" s="27" t="s">
        <v>853</v>
      </c>
      <c r="M451" s="27" t="s">
        <v>674</v>
      </c>
      <c r="N451" s="27" t="str">
        <f>inicioTerminales[[#This Row],[TIPO BUS]]&amp;"-"&amp;inicioTerminales[[#This Row],[MARCA CHASIS]]</f>
        <v>BE-FOTON</v>
      </c>
    </row>
    <row r="452" spans="1:14">
      <c r="A452" s="27" t="s">
        <v>421</v>
      </c>
      <c r="B452" s="27" t="s">
        <v>744</v>
      </c>
      <c r="C452" s="27">
        <v>7129</v>
      </c>
      <c r="D452" s="27" t="s">
        <v>147</v>
      </c>
      <c r="E452" s="27" t="s">
        <v>13</v>
      </c>
      <c r="F452" s="27" t="s">
        <v>149</v>
      </c>
      <c r="G452" s="27" t="str">
        <f>_xlfn.CONCAT(inicioTerminales[[#This Row],[MARCA CHASIS]]," - ", inicioTerminales[[#This Row],[TIPO BUS]])</f>
        <v>FOTON - BE</v>
      </c>
      <c r="H452" s="27" t="s">
        <v>674</v>
      </c>
      <c r="I452" s="52">
        <v>45024</v>
      </c>
      <c r="J452" s="27" t="s">
        <v>1341</v>
      </c>
      <c r="K452" s="27" t="s">
        <v>840</v>
      </c>
      <c r="L452" s="27" t="s">
        <v>853</v>
      </c>
      <c r="M452" s="27" t="s">
        <v>674</v>
      </c>
      <c r="N452" s="27" t="str">
        <f>inicioTerminales[[#This Row],[TIPO BUS]]&amp;"-"&amp;inicioTerminales[[#This Row],[MARCA CHASIS]]</f>
        <v>BE-FOTON</v>
      </c>
    </row>
    <row r="453" spans="1:14">
      <c r="A453" s="27" t="s">
        <v>421</v>
      </c>
      <c r="B453" s="27" t="s">
        <v>745</v>
      </c>
      <c r="C453" s="27">
        <v>7130</v>
      </c>
      <c r="D453" s="27" t="s">
        <v>147</v>
      </c>
      <c r="E453" s="27" t="s">
        <v>13</v>
      </c>
      <c r="F453" s="27" t="s">
        <v>149</v>
      </c>
      <c r="G453" s="27" t="str">
        <f>_xlfn.CONCAT(inicioTerminales[[#This Row],[MARCA CHASIS]]," - ", inicioTerminales[[#This Row],[TIPO BUS]])</f>
        <v>FOTON - BE</v>
      </c>
      <c r="H453" s="27" t="s">
        <v>674</v>
      </c>
      <c r="I453" s="52">
        <v>45024</v>
      </c>
      <c r="J453" s="27" t="s">
        <v>1341</v>
      </c>
      <c r="K453" s="27" t="s">
        <v>840</v>
      </c>
      <c r="L453" s="27" t="s">
        <v>853</v>
      </c>
      <c r="M453" s="27" t="s">
        <v>674</v>
      </c>
      <c r="N453" s="27" t="str">
        <f>inicioTerminales[[#This Row],[TIPO BUS]]&amp;"-"&amp;inicioTerminales[[#This Row],[MARCA CHASIS]]</f>
        <v>BE-FOTON</v>
      </c>
    </row>
    <row r="454" spans="1:14">
      <c r="A454" s="27" t="s">
        <v>421</v>
      </c>
      <c r="B454" s="27" t="s">
        <v>746</v>
      </c>
      <c r="C454" s="27">
        <v>7131</v>
      </c>
      <c r="D454" s="27" t="s">
        <v>147</v>
      </c>
      <c r="E454" s="27" t="s">
        <v>13</v>
      </c>
      <c r="F454" s="27" t="s">
        <v>149</v>
      </c>
      <c r="G454" s="27" t="str">
        <f>_xlfn.CONCAT(inicioTerminales[[#This Row],[MARCA CHASIS]]," - ", inicioTerminales[[#This Row],[TIPO BUS]])</f>
        <v>FOTON - BE</v>
      </c>
      <c r="H454" s="27" t="s">
        <v>674</v>
      </c>
      <c r="I454" s="52">
        <v>45024</v>
      </c>
      <c r="J454" s="27" t="s">
        <v>1341</v>
      </c>
      <c r="K454" s="27" t="s">
        <v>840</v>
      </c>
      <c r="L454" s="27" t="s">
        <v>853</v>
      </c>
      <c r="M454" s="27" t="s">
        <v>674</v>
      </c>
      <c r="N454" s="27" t="str">
        <f>inicioTerminales[[#This Row],[TIPO BUS]]&amp;"-"&amp;inicioTerminales[[#This Row],[MARCA CHASIS]]</f>
        <v>BE-FOTON</v>
      </c>
    </row>
    <row r="455" spans="1:14">
      <c r="A455" s="27" t="s">
        <v>421</v>
      </c>
      <c r="B455" s="27" t="s">
        <v>747</v>
      </c>
      <c r="C455" s="27">
        <v>7132</v>
      </c>
      <c r="D455" s="27" t="s">
        <v>147</v>
      </c>
      <c r="E455" s="27" t="s">
        <v>13</v>
      </c>
      <c r="F455" s="27" t="s">
        <v>149</v>
      </c>
      <c r="G455" s="27" t="str">
        <f>_xlfn.CONCAT(inicioTerminales[[#This Row],[MARCA CHASIS]]," - ", inicioTerminales[[#This Row],[TIPO BUS]])</f>
        <v>FOTON - BE</v>
      </c>
      <c r="H455" s="27" t="s">
        <v>674</v>
      </c>
      <c r="I455" s="52">
        <v>45024</v>
      </c>
      <c r="J455" s="27" t="s">
        <v>1341</v>
      </c>
      <c r="K455" s="27" t="s">
        <v>840</v>
      </c>
      <c r="L455" s="27" t="s">
        <v>853</v>
      </c>
      <c r="M455" s="27" t="s">
        <v>674</v>
      </c>
      <c r="N455" s="27" t="str">
        <f>inicioTerminales[[#This Row],[TIPO BUS]]&amp;"-"&amp;inicioTerminales[[#This Row],[MARCA CHASIS]]</f>
        <v>BE-FOTON</v>
      </c>
    </row>
    <row r="456" spans="1:14">
      <c r="A456" s="27" t="s">
        <v>421</v>
      </c>
      <c r="B456" s="27" t="s">
        <v>748</v>
      </c>
      <c r="C456" s="27">
        <v>7133</v>
      </c>
      <c r="D456" s="27" t="s">
        <v>147</v>
      </c>
      <c r="E456" s="27" t="s">
        <v>13</v>
      </c>
      <c r="F456" s="27" t="s">
        <v>149</v>
      </c>
      <c r="G456" s="27" t="str">
        <f>_xlfn.CONCAT(inicioTerminales[[#This Row],[MARCA CHASIS]]," - ", inicioTerminales[[#This Row],[TIPO BUS]])</f>
        <v>FOTON - BE</v>
      </c>
      <c r="H456" s="27" t="s">
        <v>674</v>
      </c>
      <c r="I456" s="52">
        <v>45024</v>
      </c>
      <c r="J456" s="27" t="s">
        <v>1341</v>
      </c>
      <c r="K456" s="27" t="s">
        <v>840</v>
      </c>
      <c r="L456" s="27" t="s">
        <v>853</v>
      </c>
      <c r="M456" s="27" t="s">
        <v>674</v>
      </c>
      <c r="N456" s="27" t="str">
        <f>inicioTerminales[[#This Row],[TIPO BUS]]&amp;"-"&amp;inicioTerminales[[#This Row],[MARCA CHASIS]]</f>
        <v>BE-FOTON</v>
      </c>
    </row>
    <row r="457" spans="1:14">
      <c r="A457" s="27" t="s">
        <v>421</v>
      </c>
      <c r="B457" s="27" t="s">
        <v>749</v>
      </c>
      <c r="C457" s="27">
        <v>7134</v>
      </c>
      <c r="D457" s="27" t="s">
        <v>147</v>
      </c>
      <c r="E457" s="27" t="s">
        <v>13</v>
      </c>
      <c r="F457" s="27" t="s">
        <v>149</v>
      </c>
      <c r="G457" s="27" t="str">
        <f>_xlfn.CONCAT(inicioTerminales[[#This Row],[MARCA CHASIS]]," - ", inicioTerminales[[#This Row],[TIPO BUS]])</f>
        <v>FOTON - BE</v>
      </c>
      <c r="H457" s="27" t="s">
        <v>674</v>
      </c>
      <c r="I457" s="52">
        <v>45024</v>
      </c>
      <c r="J457" s="27" t="s">
        <v>1341</v>
      </c>
      <c r="K457" s="27" t="s">
        <v>840</v>
      </c>
      <c r="L457" s="27" t="s">
        <v>853</v>
      </c>
      <c r="M457" s="27" t="s">
        <v>674</v>
      </c>
      <c r="N457" s="27" t="str">
        <f>inicioTerminales[[#This Row],[TIPO BUS]]&amp;"-"&amp;inicioTerminales[[#This Row],[MARCA CHASIS]]</f>
        <v>BE-FOTON</v>
      </c>
    </row>
    <row r="458" spans="1:14">
      <c r="A458" s="27" t="s">
        <v>421</v>
      </c>
      <c r="B458" s="27" t="s">
        <v>750</v>
      </c>
      <c r="C458" s="27">
        <v>7135</v>
      </c>
      <c r="D458" s="27" t="s">
        <v>147</v>
      </c>
      <c r="E458" s="27" t="s">
        <v>13</v>
      </c>
      <c r="F458" s="27" t="s">
        <v>149</v>
      </c>
      <c r="G458" s="27" t="str">
        <f>_xlfn.CONCAT(inicioTerminales[[#This Row],[MARCA CHASIS]]," - ", inicioTerminales[[#This Row],[TIPO BUS]])</f>
        <v>FOTON - BE</v>
      </c>
      <c r="H458" s="27" t="s">
        <v>674</v>
      </c>
      <c r="I458" s="52">
        <v>45024</v>
      </c>
      <c r="J458" s="27" t="s">
        <v>1341</v>
      </c>
      <c r="K458" s="27" t="s">
        <v>840</v>
      </c>
      <c r="L458" s="27" t="s">
        <v>853</v>
      </c>
      <c r="M458" s="27" t="s">
        <v>674</v>
      </c>
      <c r="N458" s="27" t="str">
        <f>inicioTerminales[[#This Row],[TIPO BUS]]&amp;"-"&amp;inicioTerminales[[#This Row],[MARCA CHASIS]]</f>
        <v>BE-FOTON</v>
      </c>
    </row>
    <row r="459" spans="1:14">
      <c r="A459" s="27" t="s">
        <v>421</v>
      </c>
      <c r="B459" s="27" t="s">
        <v>751</v>
      </c>
      <c r="C459" s="27">
        <v>7136</v>
      </c>
      <c r="D459" s="27" t="s">
        <v>147</v>
      </c>
      <c r="E459" s="27" t="s">
        <v>13</v>
      </c>
      <c r="F459" s="27" t="s">
        <v>149</v>
      </c>
      <c r="G459" s="27" t="str">
        <f>_xlfn.CONCAT(inicioTerminales[[#This Row],[MARCA CHASIS]]," - ", inicioTerminales[[#This Row],[TIPO BUS]])</f>
        <v>FOTON - BE</v>
      </c>
      <c r="H459" s="27" t="s">
        <v>674</v>
      </c>
      <c r="I459" s="52">
        <v>45024</v>
      </c>
      <c r="J459" s="27" t="s">
        <v>1341</v>
      </c>
      <c r="K459" s="27" t="s">
        <v>840</v>
      </c>
      <c r="L459" s="27" t="s">
        <v>853</v>
      </c>
      <c r="M459" s="27" t="s">
        <v>674</v>
      </c>
      <c r="N459" s="27" t="str">
        <f>inicioTerminales[[#This Row],[TIPO BUS]]&amp;"-"&amp;inicioTerminales[[#This Row],[MARCA CHASIS]]</f>
        <v>BE-FOTON</v>
      </c>
    </row>
    <row r="460" spans="1:14">
      <c r="A460" s="27" t="s">
        <v>421</v>
      </c>
      <c r="B460" s="27" t="s">
        <v>752</v>
      </c>
      <c r="C460" s="27">
        <v>7137</v>
      </c>
      <c r="D460" s="27" t="s">
        <v>147</v>
      </c>
      <c r="E460" s="27" t="s">
        <v>13</v>
      </c>
      <c r="F460" s="27" t="s">
        <v>149</v>
      </c>
      <c r="G460" s="27" t="str">
        <f>_xlfn.CONCAT(inicioTerminales[[#This Row],[MARCA CHASIS]]," - ", inicioTerminales[[#This Row],[TIPO BUS]])</f>
        <v>FOTON - BE</v>
      </c>
      <c r="H460" s="27" t="s">
        <v>674</v>
      </c>
      <c r="I460" s="52">
        <v>45024</v>
      </c>
      <c r="J460" s="27" t="s">
        <v>1341</v>
      </c>
      <c r="K460" s="27" t="s">
        <v>840</v>
      </c>
      <c r="L460" s="27" t="s">
        <v>853</v>
      </c>
      <c r="M460" s="27" t="s">
        <v>674</v>
      </c>
      <c r="N460" s="27" t="str">
        <f>inicioTerminales[[#This Row],[TIPO BUS]]&amp;"-"&amp;inicioTerminales[[#This Row],[MARCA CHASIS]]</f>
        <v>BE-FOTON</v>
      </c>
    </row>
    <row r="461" spans="1:14">
      <c r="A461" s="27" t="s">
        <v>421</v>
      </c>
      <c r="B461" s="27" t="s">
        <v>753</v>
      </c>
      <c r="C461" s="27">
        <v>7138</v>
      </c>
      <c r="D461" s="27" t="s">
        <v>147</v>
      </c>
      <c r="E461" s="27" t="s">
        <v>13</v>
      </c>
      <c r="F461" s="27" t="s">
        <v>149</v>
      </c>
      <c r="G461" s="27" t="str">
        <f>_xlfn.CONCAT(inicioTerminales[[#This Row],[MARCA CHASIS]]," - ", inicioTerminales[[#This Row],[TIPO BUS]])</f>
        <v>FOTON - BE</v>
      </c>
      <c r="H461" s="27" t="s">
        <v>674</v>
      </c>
      <c r="I461" s="52">
        <v>45024</v>
      </c>
      <c r="J461" s="27" t="s">
        <v>1341</v>
      </c>
      <c r="K461" s="27" t="s">
        <v>840</v>
      </c>
      <c r="L461" s="27" t="s">
        <v>853</v>
      </c>
      <c r="M461" s="27" t="s">
        <v>674</v>
      </c>
      <c r="N461" s="27" t="str">
        <f>inicioTerminales[[#This Row],[TIPO BUS]]&amp;"-"&amp;inicioTerminales[[#This Row],[MARCA CHASIS]]</f>
        <v>BE-FOTON</v>
      </c>
    </row>
    <row r="462" spans="1:14">
      <c r="A462" s="27" t="s">
        <v>421</v>
      </c>
      <c r="B462" s="27" t="s">
        <v>754</v>
      </c>
      <c r="C462" s="27">
        <v>7139</v>
      </c>
      <c r="D462" s="27" t="s">
        <v>147</v>
      </c>
      <c r="E462" s="27" t="s">
        <v>13</v>
      </c>
      <c r="F462" s="27" t="s">
        <v>149</v>
      </c>
      <c r="G462" s="27" t="str">
        <f>_xlfn.CONCAT(inicioTerminales[[#This Row],[MARCA CHASIS]]," - ", inicioTerminales[[#This Row],[TIPO BUS]])</f>
        <v>FOTON - BE</v>
      </c>
      <c r="H462" s="27" t="s">
        <v>674</v>
      </c>
      <c r="I462" s="52">
        <v>45024</v>
      </c>
      <c r="J462" s="27" t="s">
        <v>1341</v>
      </c>
      <c r="K462" s="27" t="s">
        <v>840</v>
      </c>
      <c r="L462" s="27" t="s">
        <v>853</v>
      </c>
      <c r="M462" s="27" t="s">
        <v>674</v>
      </c>
      <c r="N462" s="27" t="str">
        <f>inicioTerminales[[#This Row],[TIPO BUS]]&amp;"-"&amp;inicioTerminales[[#This Row],[MARCA CHASIS]]</f>
        <v>BE-FOTON</v>
      </c>
    </row>
    <row r="463" spans="1:14">
      <c r="A463" s="27" t="s">
        <v>421</v>
      </c>
      <c r="B463" s="27" t="s">
        <v>755</v>
      </c>
      <c r="C463" s="27">
        <v>7140</v>
      </c>
      <c r="D463" s="27" t="s">
        <v>147</v>
      </c>
      <c r="E463" s="27" t="s">
        <v>13</v>
      </c>
      <c r="F463" s="27" t="s">
        <v>149</v>
      </c>
      <c r="G463" s="27" t="str">
        <f>_xlfn.CONCAT(inicioTerminales[[#This Row],[MARCA CHASIS]]," - ", inicioTerminales[[#This Row],[TIPO BUS]])</f>
        <v>FOTON - BE</v>
      </c>
      <c r="H463" s="27" t="s">
        <v>674</v>
      </c>
      <c r="I463" s="52">
        <v>45024</v>
      </c>
      <c r="J463" s="27" t="s">
        <v>1341</v>
      </c>
      <c r="K463" s="27" t="s">
        <v>840</v>
      </c>
      <c r="L463" s="27" t="s">
        <v>853</v>
      </c>
      <c r="M463" s="27" t="s">
        <v>674</v>
      </c>
      <c r="N463" s="27" t="str">
        <f>inicioTerminales[[#This Row],[TIPO BUS]]&amp;"-"&amp;inicioTerminales[[#This Row],[MARCA CHASIS]]</f>
        <v>BE-FOTON</v>
      </c>
    </row>
    <row r="464" spans="1:14">
      <c r="A464" s="27" t="s">
        <v>421</v>
      </c>
      <c r="B464" s="27" t="s">
        <v>756</v>
      </c>
      <c r="C464" s="27">
        <v>7141</v>
      </c>
      <c r="D464" s="27" t="s">
        <v>147</v>
      </c>
      <c r="E464" s="27" t="s">
        <v>13</v>
      </c>
      <c r="F464" s="27" t="s">
        <v>149</v>
      </c>
      <c r="G464" s="27" t="str">
        <f>_xlfn.CONCAT(inicioTerminales[[#This Row],[MARCA CHASIS]]," - ", inicioTerminales[[#This Row],[TIPO BUS]])</f>
        <v>FOTON - BE</v>
      </c>
      <c r="H464" s="27" t="s">
        <v>674</v>
      </c>
      <c r="I464" s="52">
        <v>45024</v>
      </c>
      <c r="J464" s="27" t="s">
        <v>1341</v>
      </c>
      <c r="K464" s="27" t="s">
        <v>840</v>
      </c>
      <c r="L464" s="27" t="s">
        <v>853</v>
      </c>
      <c r="M464" s="27" t="s">
        <v>674</v>
      </c>
      <c r="N464" s="27" t="str">
        <f>inicioTerminales[[#This Row],[TIPO BUS]]&amp;"-"&amp;inicioTerminales[[#This Row],[MARCA CHASIS]]</f>
        <v>BE-FOTON</v>
      </c>
    </row>
    <row r="465" spans="1:14">
      <c r="A465" s="27" t="s">
        <v>421</v>
      </c>
      <c r="B465" s="27" t="s">
        <v>430</v>
      </c>
      <c r="C465" s="27">
        <v>6000</v>
      </c>
      <c r="D465" s="27" t="s">
        <v>285</v>
      </c>
      <c r="E465" s="27" t="s">
        <v>13</v>
      </c>
      <c r="F465" s="27" t="s">
        <v>145</v>
      </c>
      <c r="G465" s="27" t="str">
        <f>_xlfn.CONCAT(inicioTerminales[[#This Row],[MARCA CHASIS]]," - ", inicioTerminales[[#This Row],[TIPO BUS]])</f>
        <v>MERCEDES BENZ - BPAL</v>
      </c>
      <c r="H465" s="27" t="s">
        <v>493</v>
      </c>
      <c r="I465" s="52">
        <v>45003</v>
      </c>
      <c r="J465" s="27" t="s">
        <v>830</v>
      </c>
      <c r="K465" s="27" t="s">
        <v>841</v>
      </c>
      <c r="L465" s="27" t="s">
        <v>849</v>
      </c>
      <c r="M465" s="27" t="s">
        <v>493</v>
      </c>
      <c r="N465" s="27" t="str">
        <f>inicioTerminales[[#This Row],[TIPO BUS]]&amp;"-"&amp;inicioTerminales[[#This Row],[MARCA CHASIS]]</f>
        <v>BPAL-MERCEDES BENZ</v>
      </c>
    </row>
    <row r="466" spans="1:14">
      <c r="A466" s="27" t="s">
        <v>421</v>
      </c>
      <c r="B466" s="27" t="s">
        <v>431</v>
      </c>
      <c r="C466" s="27">
        <v>6001</v>
      </c>
      <c r="D466" s="27" t="s">
        <v>285</v>
      </c>
      <c r="E466" s="27" t="s">
        <v>13</v>
      </c>
      <c r="F466" s="27" t="s">
        <v>145</v>
      </c>
      <c r="G466" s="27" t="str">
        <f>_xlfn.CONCAT(inicioTerminales[[#This Row],[MARCA CHASIS]]," - ", inicioTerminales[[#This Row],[TIPO BUS]])</f>
        <v>MERCEDES BENZ - BPAL</v>
      </c>
      <c r="H466" s="27" t="s">
        <v>493</v>
      </c>
      <c r="I466" s="52">
        <v>45003</v>
      </c>
      <c r="J466" s="27" t="s">
        <v>830</v>
      </c>
      <c r="K466" s="27" t="s">
        <v>841</v>
      </c>
      <c r="L466" s="27" t="s">
        <v>849</v>
      </c>
      <c r="M466" s="27" t="s">
        <v>493</v>
      </c>
      <c r="N466" s="27" t="str">
        <f>inicioTerminales[[#This Row],[TIPO BUS]]&amp;"-"&amp;inicioTerminales[[#This Row],[MARCA CHASIS]]</f>
        <v>BPAL-MERCEDES BENZ</v>
      </c>
    </row>
    <row r="467" spans="1:14">
      <c r="A467" s="27" t="s">
        <v>421</v>
      </c>
      <c r="B467" s="27" t="s">
        <v>432</v>
      </c>
      <c r="C467" s="27">
        <v>6002</v>
      </c>
      <c r="D467" s="27" t="s">
        <v>285</v>
      </c>
      <c r="E467" s="27" t="s">
        <v>13</v>
      </c>
      <c r="F467" s="27" t="s">
        <v>145</v>
      </c>
      <c r="G467" s="27" t="str">
        <f>_xlfn.CONCAT(inicioTerminales[[#This Row],[MARCA CHASIS]]," - ", inicioTerminales[[#This Row],[TIPO BUS]])</f>
        <v>MERCEDES BENZ - BPAL</v>
      </c>
      <c r="H467" s="27" t="s">
        <v>493</v>
      </c>
      <c r="I467" s="52">
        <v>45003</v>
      </c>
      <c r="J467" s="27" t="s">
        <v>830</v>
      </c>
      <c r="K467" s="27" t="s">
        <v>841</v>
      </c>
      <c r="L467" s="27" t="s">
        <v>849</v>
      </c>
      <c r="M467" s="27" t="s">
        <v>493</v>
      </c>
      <c r="N467" s="27" t="str">
        <f>inicioTerminales[[#This Row],[TIPO BUS]]&amp;"-"&amp;inicioTerminales[[#This Row],[MARCA CHASIS]]</f>
        <v>BPAL-MERCEDES BENZ</v>
      </c>
    </row>
    <row r="468" spans="1:14">
      <c r="A468" s="27" t="s">
        <v>421</v>
      </c>
      <c r="B468" s="27" t="s">
        <v>433</v>
      </c>
      <c r="C468" s="27">
        <v>6003</v>
      </c>
      <c r="D468" s="27" t="s">
        <v>285</v>
      </c>
      <c r="E468" s="27" t="s">
        <v>13</v>
      </c>
      <c r="F468" s="27" t="s">
        <v>145</v>
      </c>
      <c r="G468" s="27" t="str">
        <f>_xlfn.CONCAT(inicioTerminales[[#This Row],[MARCA CHASIS]]," - ", inicioTerminales[[#This Row],[TIPO BUS]])</f>
        <v>MERCEDES BENZ - BPAL</v>
      </c>
      <c r="H468" s="27" t="s">
        <v>493</v>
      </c>
      <c r="I468" s="52">
        <v>45003</v>
      </c>
      <c r="J468" s="27" t="s">
        <v>830</v>
      </c>
      <c r="K468" s="27" t="s">
        <v>841</v>
      </c>
      <c r="L468" s="27" t="s">
        <v>849</v>
      </c>
      <c r="M468" s="27" t="s">
        <v>493</v>
      </c>
      <c r="N468" s="27" t="str">
        <f>inicioTerminales[[#This Row],[TIPO BUS]]&amp;"-"&amp;inicioTerminales[[#This Row],[MARCA CHASIS]]</f>
        <v>BPAL-MERCEDES BENZ</v>
      </c>
    </row>
    <row r="469" spans="1:14">
      <c r="A469" s="27" t="s">
        <v>421</v>
      </c>
      <c r="B469" s="27" t="s">
        <v>434</v>
      </c>
      <c r="C469" s="27">
        <v>6004</v>
      </c>
      <c r="D469" s="27" t="s">
        <v>285</v>
      </c>
      <c r="E469" s="27" t="s">
        <v>13</v>
      </c>
      <c r="F469" s="27" t="s">
        <v>145</v>
      </c>
      <c r="G469" s="27" t="str">
        <f>_xlfn.CONCAT(inicioTerminales[[#This Row],[MARCA CHASIS]]," - ", inicioTerminales[[#This Row],[TIPO BUS]])</f>
        <v>MERCEDES BENZ - BPAL</v>
      </c>
      <c r="H469" s="27" t="s">
        <v>493</v>
      </c>
      <c r="I469" s="52">
        <v>45003</v>
      </c>
      <c r="J469" s="27" t="s">
        <v>830</v>
      </c>
      <c r="K469" s="27" t="s">
        <v>841</v>
      </c>
      <c r="L469" s="27" t="s">
        <v>849</v>
      </c>
      <c r="M469" s="27" t="s">
        <v>493</v>
      </c>
      <c r="N469" s="27" t="str">
        <f>inicioTerminales[[#This Row],[TIPO BUS]]&amp;"-"&amp;inicioTerminales[[#This Row],[MARCA CHASIS]]</f>
        <v>BPAL-MERCEDES BENZ</v>
      </c>
    </row>
    <row r="470" spans="1:14">
      <c r="A470" s="27" t="s">
        <v>421</v>
      </c>
      <c r="B470" s="27" t="s">
        <v>435</v>
      </c>
      <c r="C470" s="27">
        <v>6005</v>
      </c>
      <c r="D470" s="27" t="s">
        <v>285</v>
      </c>
      <c r="E470" s="27" t="s">
        <v>13</v>
      </c>
      <c r="F470" s="27" t="s">
        <v>145</v>
      </c>
      <c r="G470" s="27" t="str">
        <f>_xlfn.CONCAT(inicioTerminales[[#This Row],[MARCA CHASIS]]," - ", inicioTerminales[[#This Row],[TIPO BUS]])</f>
        <v>MERCEDES BENZ - BPAL</v>
      </c>
      <c r="H470" s="27" t="s">
        <v>493</v>
      </c>
      <c r="I470" s="52">
        <v>45003</v>
      </c>
      <c r="J470" s="27" t="s">
        <v>830</v>
      </c>
      <c r="K470" s="27" t="s">
        <v>841</v>
      </c>
      <c r="L470" s="27" t="s">
        <v>849</v>
      </c>
      <c r="M470" s="27" t="s">
        <v>493</v>
      </c>
      <c r="N470" s="27" t="str">
        <f>inicioTerminales[[#This Row],[TIPO BUS]]&amp;"-"&amp;inicioTerminales[[#This Row],[MARCA CHASIS]]</f>
        <v>BPAL-MERCEDES BENZ</v>
      </c>
    </row>
    <row r="471" spans="1:14">
      <c r="A471" s="27" t="s">
        <v>421</v>
      </c>
      <c r="B471" s="27" t="s">
        <v>442</v>
      </c>
      <c r="C471" s="27">
        <v>6006</v>
      </c>
      <c r="D471" s="27" t="s">
        <v>285</v>
      </c>
      <c r="E471" s="27" t="s">
        <v>13</v>
      </c>
      <c r="F471" s="27" t="s">
        <v>145</v>
      </c>
      <c r="G471" s="27" t="str">
        <f>_xlfn.CONCAT(inicioTerminales[[#This Row],[MARCA CHASIS]]," - ", inicioTerminales[[#This Row],[TIPO BUS]])</f>
        <v>MERCEDES BENZ - BPAL</v>
      </c>
      <c r="H471" s="27" t="s">
        <v>493</v>
      </c>
      <c r="I471" s="52">
        <v>45003</v>
      </c>
      <c r="J471" s="27" t="s">
        <v>830</v>
      </c>
      <c r="K471" s="27" t="s">
        <v>841</v>
      </c>
      <c r="L471" s="27" t="s">
        <v>849</v>
      </c>
      <c r="M471" s="27" t="s">
        <v>493</v>
      </c>
      <c r="N471" s="27" t="str">
        <f>inicioTerminales[[#This Row],[TIPO BUS]]&amp;"-"&amp;inicioTerminales[[#This Row],[MARCA CHASIS]]</f>
        <v>BPAL-MERCEDES BENZ</v>
      </c>
    </row>
    <row r="472" spans="1:14">
      <c r="A472" s="27" t="s">
        <v>421</v>
      </c>
      <c r="B472" s="27" t="s">
        <v>436</v>
      </c>
      <c r="C472" s="27">
        <v>6007</v>
      </c>
      <c r="D472" s="27" t="s">
        <v>285</v>
      </c>
      <c r="E472" s="27" t="s">
        <v>13</v>
      </c>
      <c r="F472" s="27" t="s">
        <v>145</v>
      </c>
      <c r="G472" s="27" t="str">
        <f>_xlfn.CONCAT(inicioTerminales[[#This Row],[MARCA CHASIS]]," - ", inicioTerminales[[#This Row],[TIPO BUS]])</f>
        <v>MERCEDES BENZ - BPAL</v>
      </c>
      <c r="H472" s="27" t="s">
        <v>493</v>
      </c>
      <c r="I472" s="52">
        <v>45003</v>
      </c>
      <c r="J472" s="27" t="s">
        <v>830</v>
      </c>
      <c r="K472" s="27" t="s">
        <v>841</v>
      </c>
      <c r="L472" s="27" t="s">
        <v>849</v>
      </c>
      <c r="M472" s="27" t="s">
        <v>493</v>
      </c>
      <c r="N472" s="27" t="str">
        <f>inicioTerminales[[#This Row],[TIPO BUS]]&amp;"-"&amp;inicioTerminales[[#This Row],[MARCA CHASIS]]</f>
        <v>BPAL-MERCEDES BENZ</v>
      </c>
    </row>
    <row r="473" spans="1:14">
      <c r="A473" s="27" t="s">
        <v>421</v>
      </c>
      <c r="B473" s="27" t="s">
        <v>437</v>
      </c>
      <c r="C473" s="27">
        <v>6008</v>
      </c>
      <c r="D473" s="27" t="s">
        <v>285</v>
      </c>
      <c r="E473" s="27" t="s">
        <v>13</v>
      </c>
      <c r="F473" s="27" t="s">
        <v>145</v>
      </c>
      <c r="G473" s="27" t="str">
        <f>_xlfn.CONCAT(inicioTerminales[[#This Row],[MARCA CHASIS]]," - ", inicioTerminales[[#This Row],[TIPO BUS]])</f>
        <v>MERCEDES BENZ - BPAL</v>
      </c>
      <c r="H473" s="27" t="s">
        <v>493</v>
      </c>
      <c r="I473" s="52">
        <v>45003</v>
      </c>
      <c r="J473" s="27" t="s">
        <v>830</v>
      </c>
      <c r="K473" s="27" t="s">
        <v>841</v>
      </c>
      <c r="L473" s="27" t="s">
        <v>849</v>
      </c>
      <c r="M473" s="27" t="s">
        <v>493</v>
      </c>
      <c r="N473" s="27" t="str">
        <f>inicioTerminales[[#This Row],[TIPO BUS]]&amp;"-"&amp;inicioTerminales[[#This Row],[MARCA CHASIS]]</f>
        <v>BPAL-MERCEDES BENZ</v>
      </c>
    </row>
    <row r="474" spans="1:14">
      <c r="A474" s="27" t="s">
        <v>421</v>
      </c>
      <c r="B474" s="27" t="s">
        <v>439</v>
      </c>
      <c r="C474" s="27">
        <v>6009</v>
      </c>
      <c r="D474" s="27" t="s">
        <v>285</v>
      </c>
      <c r="E474" s="27" t="s">
        <v>13</v>
      </c>
      <c r="F474" s="27" t="s">
        <v>145</v>
      </c>
      <c r="G474" s="27" t="str">
        <f>_xlfn.CONCAT(inicioTerminales[[#This Row],[MARCA CHASIS]]," - ", inicioTerminales[[#This Row],[TIPO BUS]])</f>
        <v>MERCEDES BENZ - BPAL</v>
      </c>
      <c r="H474" s="27" t="s">
        <v>493</v>
      </c>
      <c r="I474" s="52">
        <v>45003</v>
      </c>
      <c r="J474" s="27" t="s">
        <v>830</v>
      </c>
      <c r="K474" s="27" t="s">
        <v>841</v>
      </c>
      <c r="L474" s="27" t="s">
        <v>849</v>
      </c>
      <c r="M474" s="27" t="s">
        <v>493</v>
      </c>
      <c r="N474" s="27" t="str">
        <f>inicioTerminales[[#This Row],[TIPO BUS]]&amp;"-"&amp;inicioTerminales[[#This Row],[MARCA CHASIS]]</f>
        <v>BPAL-MERCEDES BENZ</v>
      </c>
    </row>
    <row r="475" spans="1:14">
      <c r="A475" s="27" t="s">
        <v>421</v>
      </c>
      <c r="B475" s="27" t="s">
        <v>444</v>
      </c>
      <c r="C475" s="27">
        <v>6010</v>
      </c>
      <c r="D475" s="27" t="s">
        <v>285</v>
      </c>
      <c r="E475" s="27" t="s">
        <v>13</v>
      </c>
      <c r="F475" s="27" t="s">
        <v>145</v>
      </c>
      <c r="G475" s="27" t="str">
        <f>_xlfn.CONCAT(inicioTerminales[[#This Row],[MARCA CHASIS]]," - ", inicioTerminales[[#This Row],[TIPO BUS]])</f>
        <v>MERCEDES BENZ - BPAL</v>
      </c>
      <c r="H475" s="27" t="s">
        <v>493</v>
      </c>
      <c r="I475" s="52">
        <v>45003</v>
      </c>
      <c r="J475" s="27" t="s">
        <v>830</v>
      </c>
      <c r="K475" s="27" t="s">
        <v>841</v>
      </c>
      <c r="L475" s="27" t="s">
        <v>849</v>
      </c>
      <c r="M475" s="27" t="s">
        <v>493</v>
      </c>
      <c r="N475" s="27" t="str">
        <f>inicioTerminales[[#This Row],[TIPO BUS]]&amp;"-"&amp;inicioTerminales[[#This Row],[MARCA CHASIS]]</f>
        <v>BPAL-MERCEDES BENZ</v>
      </c>
    </row>
    <row r="476" spans="1:14">
      <c r="A476" s="27" t="s">
        <v>421</v>
      </c>
      <c r="B476" s="27" t="s">
        <v>441</v>
      </c>
      <c r="C476" s="27">
        <v>6011</v>
      </c>
      <c r="D476" s="27" t="s">
        <v>285</v>
      </c>
      <c r="E476" s="27" t="s">
        <v>25</v>
      </c>
      <c r="F476" s="27" t="s">
        <v>145</v>
      </c>
      <c r="G476" s="27" t="str">
        <f>_xlfn.CONCAT(inicioTerminales[[#This Row],[MARCA CHASIS]]," - ", inicioTerminales[[#This Row],[TIPO BUS]])</f>
        <v>MERCEDES BENZ - BPAL</v>
      </c>
      <c r="H476" s="27" t="s">
        <v>493</v>
      </c>
      <c r="I476" s="52">
        <v>45003</v>
      </c>
      <c r="J476" s="27" t="s">
        <v>830</v>
      </c>
      <c r="K476" s="27" t="s">
        <v>841</v>
      </c>
      <c r="L476" s="27" t="s">
        <v>849</v>
      </c>
      <c r="M476" s="27" t="s">
        <v>493</v>
      </c>
      <c r="N476" s="27" t="str">
        <f>inicioTerminales[[#This Row],[TIPO BUS]]&amp;"-"&amp;inicioTerminales[[#This Row],[MARCA CHASIS]]</f>
        <v>BPAL-MERCEDES BENZ</v>
      </c>
    </row>
    <row r="477" spans="1:14">
      <c r="A477" s="27" t="s">
        <v>421</v>
      </c>
      <c r="B477" s="27" t="s">
        <v>443</v>
      </c>
      <c r="C477" s="27">
        <v>6012</v>
      </c>
      <c r="D477" s="27" t="s">
        <v>285</v>
      </c>
      <c r="E477" s="27" t="s">
        <v>25</v>
      </c>
      <c r="F477" s="27" t="s">
        <v>145</v>
      </c>
      <c r="G477" s="27" t="str">
        <f>_xlfn.CONCAT(inicioTerminales[[#This Row],[MARCA CHASIS]]," - ", inicioTerminales[[#This Row],[TIPO BUS]])</f>
        <v>MERCEDES BENZ - BPAL</v>
      </c>
      <c r="H477" s="27" t="s">
        <v>493</v>
      </c>
      <c r="I477" s="52">
        <v>45003</v>
      </c>
      <c r="J477" s="27" t="s">
        <v>830</v>
      </c>
      <c r="K477" s="27" t="s">
        <v>841</v>
      </c>
      <c r="L477" s="27" t="s">
        <v>849</v>
      </c>
      <c r="M477" s="27" t="s">
        <v>493</v>
      </c>
      <c r="N477" s="27" t="str">
        <f>inicioTerminales[[#This Row],[TIPO BUS]]&amp;"-"&amp;inicioTerminales[[#This Row],[MARCA CHASIS]]</f>
        <v>BPAL-MERCEDES BENZ</v>
      </c>
    </row>
    <row r="478" spans="1:14">
      <c r="A478" s="27" t="s">
        <v>421</v>
      </c>
      <c r="B478" s="27" t="s">
        <v>445</v>
      </c>
      <c r="C478" s="27">
        <v>6013</v>
      </c>
      <c r="D478" s="27" t="s">
        <v>285</v>
      </c>
      <c r="E478" s="27" t="s">
        <v>13</v>
      </c>
      <c r="F478" s="27" t="s">
        <v>145</v>
      </c>
      <c r="G478" s="27" t="str">
        <f>_xlfn.CONCAT(inicioTerminales[[#This Row],[MARCA CHASIS]]," - ", inicioTerminales[[#This Row],[TIPO BUS]])</f>
        <v>MERCEDES BENZ - BPAL</v>
      </c>
      <c r="H478" s="27" t="s">
        <v>493</v>
      </c>
      <c r="I478" s="52">
        <v>45003</v>
      </c>
      <c r="J478" s="27" t="s">
        <v>830</v>
      </c>
      <c r="K478" s="27" t="s">
        <v>841</v>
      </c>
      <c r="L478" s="27" t="s">
        <v>849</v>
      </c>
      <c r="M478" s="27" t="s">
        <v>493</v>
      </c>
      <c r="N478" s="27" t="str">
        <f>inicioTerminales[[#This Row],[TIPO BUS]]&amp;"-"&amp;inicioTerminales[[#This Row],[MARCA CHASIS]]</f>
        <v>BPAL-MERCEDES BENZ</v>
      </c>
    </row>
    <row r="479" spans="1:14">
      <c r="A479" s="27" t="s">
        <v>421</v>
      </c>
      <c r="B479" s="27" t="s">
        <v>446</v>
      </c>
      <c r="C479" s="27">
        <v>6014</v>
      </c>
      <c r="D479" s="27" t="s">
        <v>285</v>
      </c>
      <c r="E479" s="27" t="s">
        <v>13</v>
      </c>
      <c r="F479" s="27" t="s">
        <v>145</v>
      </c>
      <c r="G479" s="27" t="str">
        <f>_xlfn.CONCAT(inicioTerminales[[#This Row],[MARCA CHASIS]]," - ", inicioTerminales[[#This Row],[TIPO BUS]])</f>
        <v>MERCEDES BENZ - BPAL</v>
      </c>
      <c r="H479" s="27" t="s">
        <v>493</v>
      </c>
      <c r="I479" s="52">
        <v>45003</v>
      </c>
      <c r="J479" s="27" t="s">
        <v>830</v>
      </c>
      <c r="K479" s="27" t="s">
        <v>841</v>
      </c>
      <c r="L479" s="27" t="s">
        <v>849</v>
      </c>
      <c r="M479" s="27" t="s">
        <v>493</v>
      </c>
      <c r="N479" s="27" t="str">
        <f>inicioTerminales[[#This Row],[TIPO BUS]]&amp;"-"&amp;inicioTerminales[[#This Row],[MARCA CHASIS]]</f>
        <v>BPAL-MERCEDES BENZ</v>
      </c>
    </row>
    <row r="480" spans="1:14">
      <c r="A480" s="27" t="s">
        <v>421</v>
      </c>
      <c r="B480" s="27" t="s">
        <v>447</v>
      </c>
      <c r="C480" s="27">
        <v>6015</v>
      </c>
      <c r="D480" s="27" t="s">
        <v>285</v>
      </c>
      <c r="E480" s="27" t="s">
        <v>13</v>
      </c>
      <c r="F480" s="27" t="s">
        <v>145</v>
      </c>
      <c r="G480" s="27" t="str">
        <f>_xlfn.CONCAT(inicioTerminales[[#This Row],[MARCA CHASIS]]," - ", inicioTerminales[[#This Row],[TIPO BUS]])</f>
        <v>MERCEDES BENZ - BPAL</v>
      </c>
      <c r="H480" s="27" t="s">
        <v>493</v>
      </c>
      <c r="I480" s="52">
        <v>45003</v>
      </c>
      <c r="J480" s="27" t="s">
        <v>830</v>
      </c>
      <c r="K480" s="27" t="s">
        <v>841</v>
      </c>
      <c r="L480" s="27" t="s">
        <v>849</v>
      </c>
      <c r="M480" s="27" t="s">
        <v>493</v>
      </c>
      <c r="N480" s="27" t="str">
        <f>inicioTerminales[[#This Row],[TIPO BUS]]&amp;"-"&amp;inicioTerminales[[#This Row],[MARCA CHASIS]]</f>
        <v>BPAL-MERCEDES BENZ</v>
      </c>
    </row>
    <row r="481" spans="1:14">
      <c r="A481" s="27" t="s">
        <v>421</v>
      </c>
      <c r="B481" s="27" t="s">
        <v>514</v>
      </c>
      <c r="C481" s="27">
        <v>6027</v>
      </c>
      <c r="D481" s="27" t="s">
        <v>34</v>
      </c>
      <c r="E481" s="27" t="s">
        <v>25</v>
      </c>
      <c r="F481" s="27" t="s">
        <v>145</v>
      </c>
      <c r="G481" s="27" t="str">
        <f>_xlfn.CONCAT(inicioTerminales[[#This Row],[MARCA CHASIS]]," - ", inicioTerminales[[#This Row],[TIPO BUS]])</f>
        <v>MERCEDES BENZ - B2</v>
      </c>
      <c r="H481" s="27" t="s">
        <v>493</v>
      </c>
      <c r="I481" s="52">
        <v>45003</v>
      </c>
      <c r="J481" s="27" t="s">
        <v>830</v>
      </c>
      <c r="K481" s="27" t="s">
        <v>841</v>
      </c>
      <c r="L481" s="27" t="s">
        <v>849</v>
      </c>
      <c r="M481" s="27" t="s">
        <v>493</v>
      </c>
      <c r="N481" s="27" t="str">
        <f>inicioTerminales[[#This Row],[TIPO BUS]]&amp;"-"&amp;inicioTerminales[[#This Row],[MARCA CHASIS]]</f>
        <v>B2-MERCEDES BENZ</v>
      </c>
    </row>
    <row r="482" spans="1:14">
      <c r="A482" s="27" t="s">
        <v>421</v>
      </c>
      <c r="B482" s="27" t="s">
        <v>515</v>
      </c>
      <c r="C482" s="27">
        <v>6028</v>
      </c>
      <c r="D482" s="27" t="s">
        <v>34</v>
      </c>
      <c r="E482" s="27" t="s">
        <v>25</v>
      </c>
      <c r="F482" s="27" t="s">
        <v>145</v>
      </c>
      <c r="G482" s="27" t="str">
        <f>_xlfn.CONCAT(inicioTerminales[[#This Row],[MARCA CHASIS]]," - ", inicioTerminales[[#This Row],[TIPO BUS]])</f>
        <v>MERCEDES BENZ - B2</v>
      </c>
      <c r="H482" s="27" t="s">
        <v>493</v>
      </c>
      <c r="I482" s="52">
        <v>45003</v>
      </c>
      <c r="J482" s="27" t="s">
        <v>830</v>
      </c>
      <c r="K482" s="27" t="s">
        <v>841</v>
      </c>
      <c r="L482" s="27" t="s">
        <v>849</v>
      </c>
      <c r="M482" s="27" t="s">
        <v>493</v>
      </c>
      <c r="N482" s="27" t="str">
        <f>inicioTerminales[[#This Row],[TIPO BUS]]&amp;"-"&amp;inicioTerminales[[#This Row],[MARCA CHASIS]]</f>
        <v>B2-MERCEDES BENZ</v>
      </c>
    </row>
    <row r="483" spans="1:14">
      <c r="A483" s="27" t="s">
        <v>421</v>
      </c>
      <c r="B483" s="27" t="s">
        <v>516</v>
      </c>
      <c r="C483" s="27">
        <v>6029</v>
      </c>
      <c r="D483" s="27" t="s">
        <v>34</v>
      </c>
      <c r="E483" s="27" t="s">
        <v>25</v>
      </c>
      <c r="F483" s="27" t="s">
        <v>145</v>
      </c>
      <c r="G483" s="27" t="str">
        <f>_xlfn.CONCAT(inicioTerminales[[#This Row],[MARCA CHASIS]]," - ", inicioTerminales[[#This Row],[TIPO BUS]])</f>
        <v>MERCEDES BENZ - B2</v>
      </c>
      <c r="H483" s="27" t="s">
        <v>493</v>
      </c>
      <c r="I483" s="52">
        <v>45003</v>
      </c>
      <c r="J483" s="27" t="s">
        <v>830</v>
      </c>
      <c r="K483" s="27" t="s">
        <v>841</v>
      </c>
      <c r="L483" s="27" t="s">
        <v>849</v>
      </c>
      <c r="M483" s="27" t="s">
        <v>493</v>
      </c>
      <c r="N483" s="27" t="str">
        <f>inicioTerminales[[#This Row],[TIPO BUS]]&amp;"-"&amp;inicioTerminales[[#This Row],[MARCA CHASIS]]</f>
        <v>B2-MERCEDES BENZ</v>
      </c>
    </row>
    <row r="484" spans="1:14">
      <c r="A484" s="27" t="s">
        <v>421</v>
      </c>
      <c r="B484" s="27" t="s">
        <v>517</v>
      </c>
      <c r="C484" s="27">
        <v>6030</v>
      </c>
      <c r="D484" s="27" t="s">
        <v>34</v>
      </c>
      <c r="E484" s="27" t="s">
        <v>25</v>
      </c>
      <c r="F484" s="27" t="s">
        <v>145</v>
      </c>
      <c r="G484" s="27" t="str">
        <f>_xlfn.CONCAT(inicioTerminales[[#This Row],[MARCA CHASIS]]," - ", inicioTerminales[[#This Row],[TIPO BUS]])</f>
        <v>MERCEDES BENZ - B2</v>
      </c>
      <c r="H484" s="27" t="s">
        <v>493</v>
      </c>
      <c r="I484" s="52">
        <v>45003</v>
      </c>
      <c r="J484" s="27" t="s">
        <v>830</v>
      </c>
      <c r="K484" s="27" t="s">
        <v>841</v>
      </c>
      <c r="L484" s="27" t="s">
        <v>849</v>
      </c>
      <c r="M484" s="27" t="s">
        <v>493</v>
      </c>
      <c r="N484" s="27" t="str">
        <f>inicioTerminales[[#This Row],[TIPO BUS]]&amp;"-"&amp;inicioTerminales[[#This Row],[MARCA CHASIS]]</f>
        <v>B2-MERCEDES BENZ</v>
      </c>
    </row>
    <row r="485" spans="1:14">
      <c r="A485" s="27" t="s">
        <v>421</v>
      </c>
      <c r="B485" s="27" t="s">
        <v>518</v>
      </c>
      <c r="C485" s="27">
        <v>6037</v>
      </c>
      <c r="D485" s="27" t="s">
        <v>34</v>
      </c>
      <c r="E485" s="27" t="s">
        <v>13</v>
      </c>
      <c r="F485" s="27" t="s">
        <v>145</v>
      </c>
      <c r="G485" s="27" t="str">
        <f>_xlfn.CONCAT(inicioTerminales[[#This Row],[MARCA CHASIS]]," - ", inicioTerminales[[#This Row],[TIPO BUS]])</f>
        <v>MERCEDES BENZ - B2</v>
      </c>
      <c r="H485" s="27" t="s">
        <v>493</v>
      </c>
      <c r="I485" s="52">
        <v>45003</v>
      </c>
      <c r="J485" s="27" t="s">
        <v>830</v>
      </c>
      <c r="K485" s="27" t="s">
        <v>841</v>
      </c>
      <c r="L485" s="27" t="s">
        <v>849</v>
      </c>
      <c r="M485" s="27" t="s">
        <v>493</v>
      </c>
      <c r="N485" s="27" t="str">
        <f>inicioTerminales[[#This Row],[TIPO BUS]]&amp;"-"&amp;inicioTerminales[[#This Row],[MARCA CHASIS]]</f>
        <v>B2-MERCEDES BENZ</v>
      </c>
    </row>
    <row r="486" spans="1:14">
      <c r="A486" s="27" t="s">
        <v>421</v>
      </c>
      <c r="B486" s="27" t="s">
        <v>519</v>
      </c>
      <c r="C486" s="27">
        <v>6039</v>
      </c>
      <c r="D486" s="27" t="s">
        <v>34</v>
      </c>
      <c r="E486" s="27" t="s">
        <v>13</v>
      </c>
      <c r="F486" s="27" t="s">
        <v>145</v>
      </c>
      <c r="G486" s="27" t="str">
        <f>_xlfn.CONCAT(inicioTerminales[[#This Row],[MARCA CHASIS]]," - ", inicioTerminales[[#This Row],[TIPO BUS]])</f>
        <v>MERCEDES BENZ - B2</v>
      </c>
      <c r="H486" s="27" t="s">
        <v>493</v>
      </c>
      <c r="I486" s="52">
        <v>45003</v>
      </c>
      <c r="J486" s="27" t="s">
        <v>830</v>
      </c>
      <c r="K486" s="27" t="s">
        <v>841</v>
      </c>
      <c r="L486" s="27" t="s">
        <v>849</v>
      </c>
      <c r="M486" s="27" t="s">
        <v>493</v>
      </c>
      <c r="N486" s="27" t="str">
        <f>inicioTerminales[[#This Row],[TIPO BUS]]&amp;"-"&amp;inicioTerminales[[#This Row],[MARCA CHASIS]]</f>
        <v>B2-MERCEDES BENZ</v>
      </c>
    </row>
    <row r="487" spans="1:14">
      <c r="A487" s="27" t="s">
        <v>421</v>
      </c>
      <c r="B487" s="27" t="s">
        <v>522</v>
      </c>
      <c r="C487" s="27">
        <v>6044</v>
      </c>
      <c r="D487" s="27" t="s">
        <v>34</v>
      </c>
      <c r="E487" s="27" t="s">
        <v>13</v>
      </c>
      <c r="F487" s="27" t="s">
        <v>145</v>
      </c>
      <c r="G487" s="27" t="str">
        <f>_xlfn.CONCAT(inicioTerminales[[#This Row],[MARCA CHASIS]]," - ", inicioTerminales[[#This Row],[TIPO BUS]])</f>
        <v>MERCEDES BENZ - B2</v>
      </c>
      <c r="H487" s="27" t="s">
        <v>493</v>
      </c>
      <c r="I487" s="52">
        <v>45003</v>
      </c>
      <c r="J487" s="27" t="s">
        <v>830</v>
      </c>
      <c r="K487" s="27" t="s">
        <v>841</v>
      </c>
      <c r="L487" s="27" t="s">
        <v>849</v>
      </c>
      <c r="M487" s="27" t="s">
        <v>493</v>
      </c>
      <c r="N487" s="27" t="str">
        <f>inicioTerminales[[#This Row],[TIPO BUS]]&amp;"-"&amp;inicioTerminales[[#This Row],[MARCA CHASIS]]</f>
        <v>B2-MERCEDES BENZ</v>
      </c>
    </row>
    <row r="488" spans="1:14">
      <c r="A488" s="27" t="s">
        <v>421</v>
      </c>
      <c r="B488" s="27" t="s">
        <v>521</v>
      </c>
      <c r="C488" s="27">
        <v>6048</v>
      </c>
      <c r="D488" s="27" t="s">
        <v>34</v>
      </c>
      <c r="E488" s="27" t="s">
        <v>13</v>
      </c>
      <c r="F488" s="27" t="s">
        <v>145</v>
      </c>
      <c r="G488" s="27" t="str">
        <f>_xlfn.CONCAT(inicioTerminales[[#This Row],[MARCA CHASIS]]," - ", inicioTerminales[[#This Row],[TIPO BUS]])</f>
        <v>MERCEDES BENZ - B2</v>
      </c>
      <c r="H488" s="27" t="s">
        <v>493</v>
      </c>
      <c r="I488" s="52">
        <v>45003</v>
      </c>
      <c r="J488" s="27" t="s">
        <v>830</v>
      </c>
      <c r="K488" s="27" t="s">
        <v>841</v>
      </c>
      <c r="L488" s="27" t="s">
        <v>849</v>
      </c>
      <c r="M488" s="27" t="s">
        <v>493</v>
      </c>
      <c r="N488" s="27" t="str">
        <f>inicioTerminales[[#This Row],[TIPO BUS]]&amp;"-"&amp;inicioTerminales[[#This Row],[MARCA CHASIS]]</f>
        <v>B2-MERCEDES BENZ</v>
      </c>
    </row>
    <row r="489" spans="1:14">
      <c r="A489" s="27" t="s">
        <v>421</v>
      </c>
      <c r="B489" s="27" t="s">
        <v>523</v>
      </c>
      <c r="C489" s="27">
        <v>6049</v>
      </c>
      <c r="D489" s="27" t="s">
        <v>34</v>
      </c>
      <c r="E489" s="27" t="s">
        <v>13</v>
      </c>
      <c r="F489" s="27" t="s">
        <v>145</v>
      </c>
      <c r="G489" s="27" t="str">
        <f>_xlfn.CONCAT(inicioTerminales[[#This Row],[MARCA CHASIS]]," - ", inicioTerminales[[#This Row],[TIPO BUS]])</f>
        <v>MERCEDES BENZ - B2</v>
      </c>
      <c r="H489" s="27" t="s">
        <v>493</v>
      </c>
      <c r="I489" s="52">
        <v>45003</v>
      </c>
      <c r="J489" s="27" t="s">
        <v>830</v>
      </c>
      <c r="K489" s="27" t="s">
        <v>841</v>
      </c>
      <c r="L489" s="27" t="s">
        <v>849</v>
      </c>
      <c r="M489" s="27" t="s">
        <v>493</v>
      </c>
      <c r="N489" s="27" t="str">
        <f>inicioTerminales[[#This Row],[TIPO BUS]]&amp;"-"&amp;inicioTerminales[[#This Row],[MARCA CHASIS]]</f>
        <v>B2-MERCEDES BENZ</v>
      </c>
    </row>
    <row r="490" spans="1:14">
      <c r="A490" s="27" t="s">
        <v>421</v>
      </c>
      <c r="B490" s="27" t="s">
        <v>525</v>
      </c>
      <c r="C490" s="27">
        <v>6050</v>
      </c>
      <c r="D490" s="27" t="s">
        <v>34</v>
      </c>
      <c r="E490" s="27" t="s">
        <v>13</v>
      </c>
      <c r="F490" s="27" t="s">
        <v>145</v>
      </c>
      <c r="G490" s="27" t="str">
        <f>_xlfn.CONCAT(inicioTerminales[[#This Row],[MARCA CHASIS]]," - ", inicioTerminales[[#This Row],[TIPO BUS]])</f>
        <v>MERCEDES BENZ - B2</v>
      </c>
      <c r="H490" s="27" t="s">
        <v>493</v>
      </c>
      <c r="I490" s="52">
        <v>45003</v>
      </c>
      <c r="J490" s="27" t="s">
        <v>830</v>
      </c>
      <c r="K490" s="27" t="s">
        <v>841</v>
      </c>
      <c r="L490" s="27" t="s">
        <v>849</v>
      </c>
      <c r="M490" s="27" t="s">
        <v>493</v>
      </c>
      <c r="N490" s="27" t="str">
        <f>inicioTerminales[[#This Row],[TIPO BUS]]&amp;"-"&amp;inicioTerminales[[#This Row],[MARCA CHASIS]]</f>
        <v>B2-MERCEDES BENZ</v>
      </c>
    </row>
    <row r="491" spans="1:14">
      <c r="A491" s="27" t="s">
        <v>421</v>
      </c>
      <c r="B491" s="27" t="s">
        <v>527</v>
      </c>
      <c r="C491" s="27">
        <v>6051</v>
      </c>
      <c r="D491" s="27" t="s">
        <v>34</v>
      </c>
      <c r="E491" s="27" t="s">
        <v>13</v>
      </c>
      <c r="F491" s="27" t="s">
        <v>145</v>
      </c>
      <c r="G491" s="27" t="str">
        <f>_xlfn.CONCAT(inicioTerminales[[#This Row],[MARCA CHASIS]]," - ", inicioTerminales[[#This Row],[TIPO BUS]])</f>
        <v>MERCEDES BENZ - B2</v>
      </c>
      <c r="H491" s="27" t="s">
        <v>493</v>
      </c>
      <c r="I491" s="52">
        <v>45003</v>
      </c>
      <c r="J491" s="27" t="s">
        <v>830</v>
      </c>
      <c r="K491" s="27" t="s">
        <v>841</v>
      </c>
      <c r="L491" s="27" t="s">
        <v>849</v>
      </c>
      <c r="M491" s="27" t="s">
        <v>493</v>
      </c>
      <c r="N491" s="27" t="str">
        <f>inicioTerminales[[#This Row],[TIPO BUS]]&amp;"-"&amp;inicioTerminales[[#This Row],[MARCA CHASIS]]</f>
        <v>B2-MERCEDES BENZ</v>
      </c>
    </row>
    <row r="492" spans="1:14">
      <c r="A492" s="27" t="s">
        <v>421</v>
      </c>
      <c r="B492" s="27" t="s">
        <v>528</v>
      </c>
      <c r="C492" s="27">
        <v>6052</v>
      </c>
      <c r="D492" s="27" t="s">
        <v>34</v>
      </c>
      <c r="E492" s="27" t="s">
        <v>13</v>
      </c>
      <c r="F492" s="27" t="s">
        <v>145</v>
      </c>
      <c r="G492" s="27" t="str">
        <f>_xlfn.CONCAT(inicioTerminales[[#This Row],[MARCA CHASIS]]," - ", inicioTerminales[[#This Row],[TIPO BUS]])</f>
        <v>MERCEDES BENZ - B2</v>
      </c>
      <c r="H492" s="27" t="s">
        <v>493</v>
      </c>
      <c r="I492" s="52">
        <v>45003</v>
      </c>
      <c r="J492" s="27" t="s">
        <v>830</v>
      </c>
      <c r="K492" s="27" t="s">
        <v>841</v>
      </c>
      <c r="L492" s="27" t="s">
        <v>849</v>
      </c>
      <c r="M492" s="27" t="s">
        <v>493</v>
      </c>
      <c r="N492" s="27" t="str">
        <f>inicioTerminales[[#This Row],[TIPO BUS]]&amp;"-"&amp;inicioTerminales[[#This Row],[MARCA CHASIS]]</f>
        <v>B2-MERCEDES BENZ</v>
      </c>
    </row>
    <row r="493" spans="1:14">
      <c r="A493" s="27" t="s">
        <v>421</v>
      </c>
      <c r="B493" s="27" t="s">
        <v>529</v>
      </c>
      <c r="C493" s="27">
        <v>6053</v>
      </c>
      <c r="D493" s="27" t="s">
        <v>34</v>
      </c>
      <c r="E493" s="27" t="s">
        <v>13</v>
      </c>
      <c r="F493" s="27" t="s">
        <v>145</v>
      </c>
      <c r="G493" s="27" t="str">
        <f>_xlfn.CONCAT(inicioTerminales[[#This Row],[MARCA CHASIS]]," - ", inicioTerminales[[#This Row],[TIPO BUS]])</f>
        <v>MERCEDES BENZ - B2</v>
      </c>
      <c r="H493" s="27" t="s">
        <v>493</v>
      </c>
      <c r="I493" s="52">
        <v>45003</v>
      </c>
      <c r="J493" s="27" t="s">
        <v>830</v>
      </c>
      <c r="K493" s="27" t="s">
        <v>841</v>
      </c>
      <c r="L493" s="27" t="s">
        <v>849</v>
      </c>
      <c r="M493" s="27" t="s">
        <v>493</v>
      </c>
      <c r="N493" s="27" t="str">
        <f>inicioTerminales[[#This Row],[TIPO BUS]]&amp;"-"&amp;inicioTerminales[[#This Row],[MARCA CHASIS]]</f>
        <v>B2-MERCEDES BENZ</v>
      </c>
    </row>
    <row r="494" spans="1:14">
      <c r="A494" s="27" t="s">
        <v>421</v>
      </c>
      <c r="B494" s="27" t="s">
        <v>530</v>
      </c>
      <c r="C494" s="27">
        <v>6054</v>
      </c>
      <c r="D494" s="27" t="s">
        <v>34</v>
      </c>
      <c r="E494" s="27" t="s">
        <v>13</v>
      </c>
      <c r="F494" s="27" t="s">
        <v>145</v>
      </c>
      <c r="G494" s="27" t="str">
        <f>_xlfn.CONCAT(inicioTerminales[[#This Row],[MARCA CHASIS]]," - ", inicioTerminales[[#This Row],[TIPO BUS]])</f>
        <v>MERCEDES BENZ - B2</v>
      </c>
      <c r="H494" s="27" t="s">
        <v>493</v>
      </c>
      <c r="I494" s="52">
        <v>45003</v>
      </c>
      <c r="J494" s="27" t="s">
        <v>830</v>
      </c>
      <c r="K494" s="27" t="s">
        <v>841</v>
      </c>
      <c r="L494" s="27" t="s">
        <v>849</v>
      </c>
      <c r="M494" s="27" t="s">
        <v>493</v>
      </c>
      <c r="N494" s="27" t="str">
        <f>inicioTerminales[[#This Row],[TIPO BUS]]&amp;"-"&amp;inicioTerminales[[#This Row],[MARCA CHASIS]]</f>
        <v>B2-MERCEDES BENZ</v>
      </c>
    </row>
    <row r="495" spans="1:14">
      <c r="A495" s="27" t="s">
        <v>421</v>
      </c>
      <c r="B495" s="27" t="s">
        <v>532</v>
      </c>
      <c r="C495" s="27">
        <v>6060</v>
      </c>
      <c r="D495" s="27" t="s">
        <v>34</v>
      </c>
      <c r="E495" s="27" t="s">
        <v>13</v>
      </c>
      <c r="F495" s="27" t="s">
        <v>145</v>
      </c>
      <c r="G495" s="27" t="str">
        <f>_xlfn.CONCAT(inicioTerminales[[#This Row],[MARCA CHASIS]]," - ", inicioTerminales[[#This Row],[TIPO BUS]])</f>
        <v>MERCEDES BENZ - B2</v>
      </c>
      <c r="H495" s="27" t="s">
        <v>493</v>
      </c>
      <c r="I495" s="52">
        <v>45003</v>
      </c>
      <c r="J495" s="27" t="s">
        <v>830</v>
      </c>
      <c r="K495" s="27" t="s">
        <v>841</v>
      </c>
      <c r="L495" s="27" t="s">
        <v>849</v>
      </c>
      <c r="M495" s="27" t="s">
        <v>493</v>
      </c>
      <c r="N495" s="27" t="str">
        <f>inicioTerminales[[#This Row],[TIPO BUS]]&amp;"-"&amp;inicioTerminales[[#This Row],[MARCA CHASIS]]</f>
        <v>B2-MERCEDES BENZ</v>
      </c>
    </row>
    <row r="496" spans="1:14">
      <c r="A496" s="27" t="s">
        <v>421</v>
      </c>
      <c r="B496" s="27" t="s">
        <v>663</v>
      </c>
      <c r="C496" s="27">
        <v>6031</v>
      </c>
      <c r="D496" s="27" t="s">
        <v>34</v>
      </c>
      <c r="E496" s="27" t="s">
        <v>13</v>
      </c>
      <c r="F496" s="27" t="s">
        <v>145</v>
      </c>
      <c r="G496" s="27" t="str">
        <f>_xlfn.CONCAT(inicioTerminales[[#This Row],[MARCA CHASIS]]," - ", inicioTerminales[[#This Row],[TIPO BUS]])</f>
        <v>MERCEDES BENZ - B2</v>
      </c>
      <c r="H496" s="27" t="s">
        <v>1372</v>
      </c>
      <c r="I496" s="52">
        <v>45003</v>
      </c>
      <c r="J496" s="27" t="s">
        <v>830</v>
      </c>
      <c r="K496" s="27" t="s">
        <v>840</v>
      </c>
      <c r="L496" s="27" t="s">
        <v>853</v>
      </c>
      <c r="M496" s="27" t="s">
        <v>674</v>
      </c>
      <c r="N496" s="27" t="str">
        <f>inicioTerminales[[#This Row],[TIPO BUS]]&amp;"-"&amp;inicioTerminales[[#This Row],[MARCA CHASIS]]</f>
        <v>B2-MERCEDES BENZ</v>
      </c>
    </row>
    <row r="497" spans="1:14">
      <c r="A497" s="27" t="s">
        <v>421</v>
      </c>
      <c r="B497" s="27" t="s">
        <v>664</v>
      </c>
      <c r="C497" s="27">
        <v>6033</v>
      </c>
      <c r="D497" s="27" t="s">
        <v>34</v>
      </c>
      <c r="E497" s="27" t="s">
        <v>13</v>
      </c>
      <c r="F497" s="27" t="s">
        <v>145</v>
      </c>
      <c r="G497" s="27" t="str">
        <f>_xlfn.CONCAT(inicioTerminales[[#This Row],[MARCA CHASIS]]," - ", inicioTerminales[[#This Row],[TIPO BUS]])</f>
        <v>MERCEDES BENZ - B2</v>
      </c>
      <c r="H497" s="27" t="s">
        <v>1372</v>
      </c>
      <c r="I497" s="52">
        <v>45003</v>
      </c>
      <c r="J497" s="27" t="s">
        <v>830</v>
      </c>
      <c r="K497" s="27" t="s">
        <v>840</v>
      </c>
      <c r="L497" s="27" t="s">
        <v>853</v>
      </c>
      <c r="M497" s="27" t="s">
        <v>674</v>
      </c>
      <c r="N497" s="27" t="str">
        <f>inicioTerminales[[#This Row],[TIPO BUS]]&amp;"-"&amp;inicioTerminales[[#This Row],[MARCA CHASIS]]</f>
        <v>B2-MERCEDES BENZ</v>
      </c>
    </row>
    <row r="498" spans="1:14">
      <c r="A498" s="27" t="s">
        <v>421</v>
      </c>
      <c r="B498" s="27" t="s">
        <v>676</v>
      </c>
      <c r="C498" s="27">
        <v>6034</v>
      </c>
      <c r="D498" s="27" t="s">
        <v>34</v>
      </c>
      <c r="E498" s="27" t="s">
        <v>13</v>
      </c>
      <c r="F498" s="27" t="s">
        <v>145</v>
      </c>
      <c r="G498" s="27" t="str">
        <f>_xlfn.CONCAT(inicioTerminales[[#This Row],[MARCA CHASIS]]," - ", inicioTerminales[[#This Row],[TIPO BUS]])</f>
        <v>MERCEDES BENZ - B2</v>
      </c>
      <c r="H498" s="27" t="s">
        <v>1372</v>
      </c>
      <c r="I498" s="52">
        <v>45003</v>
      </c>
      <c r="J498" s="27" t="s">
        <v>830</v>
      </c>
      <c r="K498" s="27" t="s">
        <v>840</v>
      </c>
      <c r="L498" s="27" t="s">
        <v>853</v>
      </c>
      <c r="M498" s="27" t="s">
        <v>674</v>
      </c>
      <c r="N498" s="27" t="str">
        <f>inicioTerminales[[#This Row],[TIPO BUS]]&amp;"-"&amp;inicioTerminales[[#This Row],[MARCA CHASIS]]</f>
        <v>B2-MERCEDES BENZ</v>
      </c>
    </row>
    <row r="499" spans="1:14">
      <c r="A499" s="27" t="s">
        <v>421</v>
      </c>
      <c r="B499" s="27" t="s">
        <v>678</v>
      </c>
      <c r="C499" s="27">
        <v>6035</v>
      </c>
      <c r="D499" s="27" t="s">
        <v>34</v>
      </c>
      <c r="E499" s="27" t="s">
        <v>13</v>
      </c>
      <c r="F499" s="27" t="s">
        <v>145</v>
      </c>
      <c r="G499" s="27" t="str">
        <f>_xlfn.CONCAT(inicioTerminales[[#This Row],[MARCA CHASIS]]," - ", inicioTerminales[[#This Row],[TIPO BUS]])</f>
        <v>MERCEDES BENZ - B2</v>
      </c>
      <c r="H499" s="27" t="s">
        <v>1372</v>
      </c>
      <c r="I499" s="52">
        <v>45003</v>
      </c>
      <c r="J499" s="27" t="s">
        <v>830</v>
      </c>
      <c r="K499" s="27" t="s">
        <v>840</v>
      </c>
      <c r="L499" s="27" t="s">
        <v>853</v>
      </c>
      <c r="M499" s="27" t="s">
        <v>674</v>
      </c>
      <c r="N499" s="27" t="str">
        <f>inicioTerminales[[#This Row],[TIPO BUS]]&amp;"-"&amp;inicioTerminales[[#This Row],[MARCA CHASIS]]</f>
        <v>B2-MERCEDES BENZ</v>
      </c>
    </row>
    <row r="500" spans="1:14">
      <c r="A500" s="27" t="s">
        <v>421</v>
      </c>
      <c r="B500" s="27" t="s">
        <v>680</v>
      </c>
      <c r="C500" s="27">
        <v>6036</v>
      </c>
      <c r="D500" s="27" t="s">
        <v>34</v>
      </c>
      <c r="E500" s="27" t="s">
        <v>13</v>
      </c>
      <c r="F500" s="27" t="s">
        <v>145</v>
      </c>
      <c r="G500" s="27" t="str">
        <f>_xlfn.CONCAT(inicioTerminales[[#This Row],[MARCA CHASIS]]," - ", inicioTerminales[[#This Row],[TIPO BUS]])</f>
        <v>MERCEDES BENZ - B2</v>
      </c>
      <c r="H500" s="27" t="s">
        <v>1372</v>
      </c>
      <c r="I500" s="52">
        <v>45003</v>
      </c>
      <c r="J500" s="27" t="s">
        <v>830</v>
      </c>
      <c r="K500" s="27" t="s">
        <v>840</v>
      </c>
      <c r="L500" s="27" t="s">
        <v>853</v>
      </c>
      <c r="M500" s="27" t="s">
        <v>674</v>
      </c>
      <c r="N500" s="27" t="str">
        <f>inicioTerminales[[#This Row],[TIPO BUS]]&amp;"-"&amp;inicioTerminales[[#This Row],[MARCA CHASIS]]</f>
        <v>B2-MERCEDES BENZ</v>
      </c>
    </row>
    <row r="501" spans="1:14">
      <c r="A501" s="27" t="s">
        <v>421</v>
      </c>
      <c r="B501" s="27" t="s">
        <v>682</v>
      </c>
      <c r="C501" s="27">
        <v>6038</v>
      </c>
      <c r="D501" s="27" t="s">
        <v>34</v>
      </c>
      <c r="E501" s="27" t="s">
        <v>13</v>
      </c>
      <c r="F501" s="27" t="s">
        <v>145</v>
      </c>
      <c r="G501" s="27" t="str">
        <f>_xlfn.CONCAT(inicioTerminales[[#This Row],[MARCA CHASIS]]," - ", inicioTerminales[[#This Row],[TIPO BUS]])</f>
        <v>MERCEDES BENZ - B2</v>
      </c>
      <c r="H501" s="27" t="s">
        <v>1372</v>
      </c>
      <c r="I501" s="52">
        <v>45003</v>
      </c>
      <c r="J501" s="27" t="s">
        <v>830</v>
      </c>
      <c r="K501" s="27" t="s">
        <v>840</v>
      </c>
      <c r="L501" s="27" t="s">
        <v>853</v>
      </c>
      <c r="M501" s="27" t="s">
        <v>674</v>
      </c>
      <c r="N501" s="27" t="str">
        <f>inicioTerminales[[#This Row],[TIPO BUS]]&amp;"-"&amp;inicioTerminales[[#This Row],[MARCA CHASIS]]</f>
        <v>B2-MERCEDES BENZ</v>
      </c>
    </row>
    <row r="502" spans="1:14">
      <c r="A502" s="27" t="s">
        <v>421</v>
      </c>
      <c r="B502" s="27" t="s">
        <v>683</v>
      </c>
      <c r="C502" s="27">
        <v>6040</v>
      </c>
      <c r="D502" s="27" t="s">
        <v>34</v>
      </c>
      <c r="E502" s="27" t="s">
        <v>13</v>
      </c>
      <c r="F502" s="27" t="s">
        <v>145</v>
      </c>
      <c r="G502" s="27" t="str">
        <f>_xlfn.CONCAT(inicioTerminales[[#This Row],[MARCA CHASIS]]," - ", inicioTerminales[[#This Row],[TIPO BUS]])</f>
        <v>MERCEDES BENZ - B2</v>
      </c>
      <c r="H502" s="27" t="s">
        <v>1372</v>
      </c>
      <c r="I502" s="52">
        <v>45003</v>
      </c>
      <c r="J502" s="27" t="s">
        <v>830</v>
      </c>
      <c r="K502" s="27" t="s">
        <v>840</v>
      </c>
      <c r="L502" s="27" t="s">
        <v>853</v>
      </c>
      <c r="M502" s="27" t="s">
        <v>674</v>
      </c>
      <c r="N502" s="27" t="str">
        <f>inicioTerminales[[#This Row],[TIPO BUS]]&amp;"-"&amp;inicioTerminales[[#This Row],[MARCA CHASIS]]</f>
        <v>B2-MERCEDES BENZ</v>
      </c>
    </row>
    <row r="503" spans="1:14">
      <c r="A503" s="27" t="s">
        <v>421</v>
      </c>
      <c r="B503" s="27" t="s">
        <v>684</v>
      </c>
      <c r="C503" s="27">
        <v>6041</v>
      </c>
      <c r="D503" s="27" t="s">
        <v>34</v>
      </c>
      <c r="E503" s="27" t="s">
        <v>13</v>
      </c>
      <c r="F503" s="27" t="s">
        <v>145</v>
      </c>
      <c r="G503" s="27" t="str">
        <f>_xlfn.CONCAT(inicioTerminales[[#This Row],[MARCA CHASIS]]," - ", inicioTerminales[[#This Row],[TIPO BUS]])</f>
        <v>MERCEDES BENZ - B2</v>
      </c>
      <c r="H503" s="27" t="s">
        <v>1372</v>
      </c>
      <c r="I503" s="52">
        <v>45003</v>
      </c>
      <c r="J503" s="27" t="s">
        <v>830</v>
      </c>
      <c r="K503" s="27" t="s">
        <v>840</v>
      </c>
      <c r="L503" s="27" t="s">
        <v>853</v>
      </c>
      <c r="M503" s="27" t="s">
        <v>674</v>
      </c>
      <c r="N503" s="27" t="str">
        <f>inicioTerminales[[#This Row],[TIPO BUS]]&amp;"-"&amp;inicioTerminales[[#This Row],[MARCA CHASIS]]</f>
        <v>B2-MERCEDES BENZ</v>
      </c>
    </row>
    <row r="504" spans="1:14">
      <c r="A504" s="27" t="s">
        <v>421</v>
      </c>
      <c r="B504" s="27" t="s">
        <v>665</v>
      </c>
      <c r="C504" s="27">
        <v>6042</v>
      </c>
      <c r="D504" s="27" t="s">
        <v>34</v>
      </c>
      <c r="E504" s="27" t="s">
        <v>13</v>
      </c>
      <c r="F504" s="27" t="s">
        <v>145</v>
      </c>
      <c r="G504" s="27" t="str">
        <f>_xlfn.CONCAT(inicioTerminales[[#This Row],[MARCA CHASIS]]," - ", inicioTerminales[[#This Row],[TIPO BUS]])</f>
        <v>MERCEDES BENZ - B2</v>
      </c>
      <c r="H504" s="27" t="s">
        <v>1372</v>
      </c>
      <c r="I504" s="52">
        <v>45003</v>
      </c>
      <c r="J504" s="27" t="s">
        <v>830</v>
      </c>
      <c r="K504" s="27" t="s">
        <v>840</v>
      </c>
      <c r="L504" s="27" t="s">
        <v>853</v>
      </c>
      <c r="M504" s="27" t="s">
        <v>674</v>
      </c>
      <c r="N504" s="27" t="str">
        <f>inicioTerminales[[#This Row],[TIPO BUS]]&amp;"-"&amp;inicioTerminales[[#This Row],[MARCA CHASIS]]</f>
        <v>B2-MERCEDES BENZ</v>
      </c>
    </row>
    <row r="505" spans="1:14">
      <c r="A505" s="27" t="s">
        <v>421</v>
      </c>
      <c r="B505" s="27" t="s">
        <v>685</v>
      </c>
      <c r="C505" s="27">
        <v>6043</v>
      </c>
      <c r="D505" s="27" t="s">
        <v>34</v>
      </c>
      <c r="E505" s="27" t="s">
        <v>13</v>
      </c>
      <c r="F505" s="27" t="s">
        <v>145</v>
      </c>
      <c r="G505" s="27" t="str">
        <f>_xlfn.CONCAT(inicioTerminales[[#This Row],[MARCA CHASIS]]," - ", inicioTerminales[[#This Row],[TIPO BUS]])</f>
        <v>MERCEDES BENZ - B2</v>
      </c>
      <c r="H505" s="27" t="s">
        <v>1372</v>
      </c>
      <c r="I505" s="52">
        <v>45003</v>
      </c>
      <c r="J505" s="27" t="s">
        <v>830</v>
      </c>
      <c r="K505" s="27" t="s">
        <v>840</v>
      </c>
      <c r="L505" s="27" t="s">
        <v>853</v>
      </c>
      <c r="M505" s="27" t="s">
        <v>674</v>
      </c>
      <c r="N505" s="27" t="str">
        <f>inicioTerminales[[#This Row],[TIPO BUS]]&amp;"-"&amp;inicioTerminales[[#This Row],[MARCA CHASIS]]</f>
        <v>B2-MERCEDES BENZ</v>
      </c>
    </row>
    <row r="506" spans="1:14">
      <c r="A506" s="27" t="s">
        <v>421</v>
      </c>
      <c r="B506" s="27" t="s">
        <v>686</v>
      </c>
      <c r="C506" s="27">
        <v>6045</v>
      </c>
      <c r="D506" s="27" t="s">
        <v>34</v>
      </c>
      <c r="E506" s="27" t="s">
        <v>13</v>
      </c>
      <c r="F506" s="27" t="s">
        <v>145</v>
      </c>
      <c r="G506" s="27" t="str">
        <f>_xlfn.CONCAT(inicioTerminales[[#This Row],[MARCA CHASIS]]," - ", inicioTerminales[[#This Row],[TIPO BUS]])</f>
        <v>MERCEDES BENZ - B2</v>
      </c>
      <c r="H506" s="27" t="s">
        <v>1372</v>
      </c>
      <c r="I506" s="52">
        <v>45003</v>
      </c>
      <c r="J506" s="27" t="s">
        <v>830</v>
      </c>
      <c r="K506" s="27" t="s">
        <v>840</v>
      </c>
      <c r="L506" s="27" t="s">
        <v>853</v>
      </c>
      <c r="M506" s="27" t="s">
        <v>674</v>
      </c>
      <c r="N506" s="27" t="str">
        <f>inicioTerminales[[#This Row],[TIPO BUS]]&amp;"-"&amp;inicioTerminales[[#This Row],[MARCA CHASIS]]</f>
        <v>B2-MERCEDES BENZ</v>
      </c>
    </row>
    <row r="507" spans="1:14">
      <c r="A507" s="27" t="s">
        <v>421</v>
      </c>
      <c r="B507" s="27" t="s">
        <v>687</v>
      </c>
      <c r="C507" s="27">
        <v>6046</v>
      </c>
      <c r="D507" s="27" t="s">
        <v>34</v>
      </c>
      <c r="E507" s="27" t="s">
        <v>13</v>
      </c>
      <c r="F507" s="27" t="s">
        <v>145</v>
      </c>
      <c r="G507" s="27" t="str">
        <f>_xlfn.CONCAT(inicioTerminales[[#This Row],[MARCA CHASIS]]," - ", inicioTerminales[[#This Row],[TIPO BUS]])</f>
        <v>MERCEDES BENZ - B2</v>
      </c>
      <c r="H507" s="27" t="s">
        <v>1372</v>
      </c>
      <c r="I507" s="52">
        <v>45003</v>
      </c>
      <c r="J507" s="27" t="s">
        <v>830</v>
      </c>
      <c r="K507" s="27" t="s">
        <v>840</v>
      </c>
      <c r="L507" s="27" t="s">
        <v>853</v>
      </c>
      <c r="M507" s="27" t="s">
        <v>674</v>
      </c>
      <c r="N507" s="27" t="str">
        <f>inicioTerminales[[#This Row],[TIPO BUS]]&amp;"-"&amp;inicioTerminales[[#This Row],[MARCA CHASIS]]</f>
        <v>B2-MERCEDES BENZ</v>
      </c>
    </row>
    <row r="508" spans="1:14">
      <c r="A508" s="27" t="s">
        <v>421</v>
      </c>
      <c r="B508" s="27" t="s">
        <v>688</v>
      </c>
      <c r="C508" s="27">
        <v>6047</v>
      </c>
      <c r="D508" s="27" t="s">
        <v>34</v>
      </c>
      <c r="E508" s="27" t="s">
        <v>13</v>
      </c>
      <c r="F508" s="27" t="s">
        <v>145</v>
      </c>
      <c r="G508" s="27" t="str">
        <f>_xlfn.CONCAT(inicioTerminales[[#This Row],[MARCA CHASIS]]," - ", inicioTerminales[[#This Row],[TIPO BUS]])</f>
        <v>MERCEDES BENZ - B2</v>
      </c>
      <c r="H508" s="27" t="s">
        <v>1372</v>
      </c>
      <c r="I508" s="52">
        <v>45003</v>
      </c>
      <c r="J508" s="27" t="s">
        <v>830</v>
      </c>
      <c r="K508" s="27" t="s">
        <v>840</v>
      </c>
      <c r="L508" s="27" t="s">
        <v>853</v>
      </c>
      <c r="M508" s="27" t="s">
        <v>674</v>
      </c>
      <c r="N508" s="27" t="str">
        <f>inicioTerminales[[#This Row],[TIPO BUS]]&amp;"-"&amp;inicioTerminales[[#This Row],[MARCA CHASIS]]</f>
        <v>B2-MERCEDES BENZ</v>
      </c>
    </row>
    <row r="509" spans="1:14">
      <c r="A509" s="27" t="s">
        <v>421</v>
      </c>
      <c r="B509" s="27" t="s">
        <v>757</v>
      </c>
      <c r="C509" s="27">
        <v>7142</v>
      </c>
      <c r="D509" s="27" t="s">
        <v>147</v>
      </c>
      <c r="E509" s="27" t="s">
        <v>13</v>
      </c>
      <c r="F509" s="27" t="s">
        <v>149</v>
      </c>
      <c r="G509" s="27" t="str">
        <f>_xlfn.CONCAT(inicioTerminales[[#This Row],[MARCA CHASIS]]," - ", inicioTerminales[[#This Row],[TIPO BUS]])</f>
        <v>FOTON - BE</v>
      </c>
      <c r="H509" s="27" t="s">
        <v>674</v>
      </c>
      <c r="I509" s="52">
        <v>45024</v>
      </c>
      <c r="J509" s="27" t="s">
        <v>1341</v>
      </c>
      <c r="K509" s="27" t="s">
        <v>840</v>
      </c>
      <c r="L509" s="27" t="s">
        <v>853</v>
      </c>
      <c r="M509" s="27" t="s">
        <v>674</v>
      </c>
      <c r="N509" s="27" t="str">
        <f>inicioTerminales[[#This Row],[TIPO BUS]]&amp;"-"&amp;inicioTerminales[[#This Row],[MARCA CHASIS]]</f>
        <v>BE-FOTON</v>
      </c>
    </row>
    <row r="510" spans="1:14">
      <c r="A510" s="27" t="s">
        <v>421</v>
      </c>
      <c r="B510" s="27" t="s">
        <v>758</v>
      </c>
      <c r="C510" s="27">
        <v>7143</v>
      </c>
      <c r="D510" s="27" t="s">
        <v>147</v>
      </c>
      <c r="E510" s="27" t="s">
        <v>13</v>
      </c>
      <c r="F510" s="27" t="s">
        <v>149</v>
      </c>
      <c r="G510" s="27" t="str">
        <f>_xlfn.CONCAT(inicioTerminales[[#This Row],[MARCA CHASIS]]," - ", inicioTerminales[[#This Row],[TIPO BUS]])</f>
        <v>FOTON - BE</v>
      </c>
      <c r="H510" s="27" t="s">
        <v>674</v>
      </c>
      <c r="I510" s="52">
        <v>45024</v>
      </c>
      <c r="J510" s="27" t="s">
        <v>1341</v>
      </c>
      <c r="K510" s="27" t="s">
        <v>840</v>
      </c>
      <c r="L510" s="27" t="s">
        <v>853</v>
      </c>
      <c r="M510" s="27" t="s">
        <v>674</v>
      </c>
      <c r="N510" s="27" t="str">
        <f>inicioTerminales[[#This Row],[TIPO BUS]]&amp;"-"&amp;inicioTerminales[[#This Row],[MARCA CHASIS]]</f>
        <v>BE-FOTON</v>
      </c>
    </row>
    <row r="511" spans="1:14">
      <c r="A511" s="27" t="s">
        <v>421</v>
      </c>
      <c r="B511" s="27" t="s">
        <v>673</v>
      </c>
      <c r="C511" s="27">
        <v>6032</v>
      </c>
      <c r="D511" s="27" t="s">
        <v>34</v>
      </c>
      <c r="E511" s="27" t="s">
        <v>13</v>
      </c>
      <c r="F511" s="27" t="s">
        <v>145</v>
      </c>
      <c r="G511" s="27" t="str">
        <f>_xlfn.CONCAT(inicioTerminales[[#This Row],[MARCA CHASIS]]," - ", inicioTerminales[[#This Row],[TIPO BUS]])</f>
        <v>MERCEDES BENZ - B2</v>
      </c>
      <c r="H511" s="27" t="s">
        <v>1372</v>
      </c>
      <c r="I511" s="52">
        <v>45024</v>
      </c>
      <c r="J511" s="27" t="s">
        <v>830</v>
      </c>
      <c r="K511" s="27" t="s">
        <v>840</v>
      </c>
      <c r="L511" s="27" t="s">
        <v>853</v>
      </c>
      <c r="M511" s="27" t="s">
        <v>674</v>
      </c>
      <c r="N511" s="27" t="str">
        <f>inicioTerminales[[#This Row],[TIPO BUS]]&amp;"-"&amp;inicioTerminales[[#This Row],[MARCA CHASIS]]</f>
        <v>B2-MERCEDES BENZ</v>
      </c>
    </row>
    <row r="512" spans="1:14">
      <c r="A512" s="27" t="s">
        <v>421</v>
      </c>
      <c r="B512" s="27" t="s">
        <v>759</v>
      </c>
      <c r="C512" s="27">
        <v>7144</v>
      </c>
      <c r="D512" s="27" t="s">
        <v>147</v>
      </c>
      <c r="E512" s="27" t="s">
        <v>13</v>
      </c>
      <c r="F512" s="27" t="s">
        <v>149</v>
      </c>
      <c r="G512" s="27" t="str">
        <f>_xlfn.CONCAT(inicioTerminales[[#This Row],[MARCA CHASIS]]," - ", inicioTerminales[[#This Row],[TIPO BUS]])</f>
        <v>FOTON - BE</v>
      </c>
      <c r="H512" s="27" t="s">
        <v>674</v>
      </c>
      <c r="I512" s="52">
        <v>45024</v>
      </c>
      <c r="J512" s="27" t="s">
        <v>1341</v>
      </c>
      <c r="K512" s="27" t="s">
        <v>840</v>
      </c>
      <c r="L512" s="27" t="s">
        <v>853</v>
      </c>
      <c r="M512" s="27" t="s">
        <v>674</v>
      </c>
      <c r="N512" s="27" t="str">
        <f>inicioTerminales[[#This Row],[TIPO BUS]]&amp;"-"&amp;inicioTerminales[[#This Row],[MARCA CHASIS]]</f>
        <v>BE-FOTON</v>
      </c>
    </row>
    <row r="513" spans="1:14">
      <c r="A513" s="27" t="s">
        <v>421</v>
      </c>
      <c r="B513" s="27" t="s">
        <v>760</v>
      </c>
      <c r="C513" s="27">
        <v>7145</v>
      </c>
      <c r="D513" s="27" t="s">
        <v>147</v>
      </c>
      <c r="E513" s="27" t="s">
        <v>13</v>
      </c>
      <c r="F513" s="27" t="s">
        <v>149</v>
      </c>
      <c r="G513" s="27" t="str">
        <f>_xlfn.CONCAT(inicioTerminales[[#This Row],[MARCA CHASIS]]," - ", inicioTerminales[[#This Row],[TIPO BUS]])</f>
        <v>FOTON - BE</v>
      </c>
      <c r="H513" s="27" t="s">
        <v>674</v>
      </c>
      <c r="I513" s="52">
        <v>45024</v>
      </c>
      <c r="J513" s="27" t="s">
        <v>1341</v>
      </c>
      <c r="K513" s="27" t="s">
        <v>840</v>
      </c>
      <c r="L513" s="27" t="s">
        <v>853</v>
      </c>
      <c r="M513" s="27" t="s">
        <v>674</v>
      </c>
      <c r="N513" s="27" t="str">
        <f>inicioTerminales[[#This Row],[TIPO BUS]]&amp;"-"&amp;inicioTerminales[[#This Row],[MARCA CHASIS]]</f>
        <v>BE-FOTON</v>
      </c>
    </row>
    <row r="514" spans="1:14">
      <c r="A514" s="27" t="s">
        <v>421</v>
      </c>
      <c r="B514" s="27" t="s">
        <v>761</v>
      </c>
      <c r="C514" s="27">
        <v>7146</v>
      </c>
      <c r="D514" s="27" t="s">
        <v>147</v>
      </c>
      <c r="E514" s="27" t="s">
        <v>13</v>
      </c>
      <c r="F514" s="27" t="s">
        <v>149</v>
      </c>
      <c r="G514" s="27" t="str">
        <f>_xlfn.CONCAT(inicioTerminales[[#This Row],[MARCA CHASIS]]," - ", inicioTerminales[[#This Row],[TIPO BUS]])</f>
        <v>FOTON - BE</v>
      </c>
      <c r="H514" s="27" t="s">
        <v>674</v>
      </c>
      <c r="I514" s="52">
        <v>45024</v>
      </c>
      <c r="J514" s="27" t="s">
        <v>1341</v>
      </c>
      <c r="K514" s="27" t="s">
        <v>840</v>
      </c>
      <c r="L514" s="27" t="s">
        <v>853</v>
      </c>
      <c r="M514" s="27" t="s">
        <v>674</v>
      </c>
      <c r="N514" s="27" t="str">
        <f>inicioTerminales[[#This Row],[TIPO BUS]]&amp;"-"&amp;inicioTerminales[[#This Row],[MARCA CHASIS]]</f>
        <v>BE-FOTON</v>
      </c>
    </row>
    <row r="515" spans="1:14">
      <c r="A515" s="27" t="s">
        <v>421</v>
      </c>
      <c r="B515" s="27" t="s">
        <v>762</v>
      </c>
      <c r="C515" s="27">
        <v>7147</v>
      </c>
      <c r="D515" s="27" t="s">
        <v>147</v>
      </c>
      <c r="E515" s="27" t="s">
        <v>13</v>
      </c>
      <c r="F515" s="27" t="s">
        <v>149</v>
      </c>
      <c r="G515" s="27" t="str">
        <f>_xlfn.CONCAT(inicioTerminales[[#This Row],[MARCA CHASIS]]," - ", inicioTerminales[[#This Row],[TIPO BUS]])</f>
        <v>FOTON - BE</v>
      </c>
      <c r="H515" s="27" t="s">
        <v>674</v>
      </c>
      <c r="I515" s="52">
        <v>45024</v>
      </c>
      <c r="J515" s="27" t="s">
        <v>1341</v>
      </c>
      <c r="K515" s="27" t="s">
        <v>840</v>
      </c>
      <c r="L515" s="27" t="s">
        <v>853</v>
      </c>
      <c r="M515" s="27" t="s">
        <v>674</v>
      </c>
      <c r="N515" s="27" t="str">
        <f>inicioTerminales[[#This Row],[TIPO BUS]]&amp;"-"&amp;inicioTerminales[[#This Row],[MARCA CHASIS]]</f>
        <v>BE-FOTON</v>
      </c>
    </row>
    <row r="516" spans="1:14">
      <c r="A516" s="27" t="s">
        <v>421</v>
      </c>
      <c r="B516" s="27" t="s">
        <v>763</v>
      </c>
      <c r="C516" s="27">
        <v>7148</v>
      </c>
      <c r="D516" s="27" t="s">
        <v>147</v>
      </c>
      <c r="E516" s="27" t="s">
        <v>13</v>
      </c>
      <c r="F516" s="27" t="s">
        <v>149</v>
      </c>
      <c r="G516" s="27" t="str">
        <f>_xlfn.CONCAT(inicioTerminales[[#This Row],[MARCA CHASIS]]," - ", inicioTerminales[[#This Row],[TIPO BUS]])</f>
        <v>FOTON - BE</v>
      </c>
      <c r="H516" s="27" t="s">
        <v>674</v>
      </c>
      <c r="I516" s="52">
        <v>45024</v>
      </c>
      <c r="J516" s="27" t="s">
        <v>1341</v>
      </c>
      <c r="K516" s="27" t="s">
        <v>840</v>
      </c>
      <c r="L516" s="27" t="s">
        <v>853</v>
      </c>
      <c r="M516" s="27" t="s">
        <v>674</v>
      </c>
      <c r="N516" s="27" t="str">
        <f>inicioTerminales[[#This Row],[TIPO BUS]]&amp;"-"&amp;inicioTerminales[[#This Row],[MARCA CHASIS]]</f>
        <v>BE-FOTON</v>
      </c>
    </row>
    <row r="517" spans="1:14">
      <c r="A517" s="27" t="s">
        <v>421</v>
      </c>
      <c r="B517" s="27" t="s">
        <v>764</v>
      </c>
      <c r="C517" s="27">
        <v>7149</v>
      </c>
      <c r="D517" s="27" t="s">
        <v>147</v>
      </c>
      <c r="E517" s="27" t="s">
        <v>13</v>
      </c>
      <c r="F517" s="27" t="s">
        <v>149</v>
      </c>
      <c r="G517" s="27" t="str">
        <f>_xlfn.CONCAT(inicioTerminales[[#This Row],[MARCA CHASIS]]," - ", inicioTerminales[[#This Row],[TIPO BUS]])</f>
        <v>FOTON - BE</v>
      </c>
      <c r="H517" s="27" t="s">
        <v>674</v>
      </c>
      <c r="I517" s="52">
        <v>45024</v>
      </c>
      <c r="J517" s="27" t="s">
        <v>1341</v>
      </c>
      <c r="K517" s="27" t="s">
        <v>840</v>
      </c>
      <c r="L517" s="27" t="s">
        <v>853</v>
      </c>
      <c r="M517" s="27" t="s">
        <v>674</v>
      </c>
      <c r="N517" s="27" t="str">
        <f>inicioTerminales[[#This Row],[TIPO BUS]]&amp;"-"&amp;inicioTerminales[[#This Row],[MARCA CHASIS]]</f>
        <v>BE-FOTON</v>
      </c>
    </row>
    <row r="518" spans="1:14">
      <c r="A518" s="27" t="s">
        <v>421</v>
      </c>
      <c r="B518" s="27" t="s">
        <v>765</v>
      </c>
      <c r="C518" s="27">
        <v>7150</v>
      </c>
      <c r="D518" s="27" t="s">
        <v>147</v>
      </c>
      <c r="E518" s="27" t="s">
        <v>13</v>
      </c>
      <c r="F518" s="27" t="s">
        <v>149</v>
      </c>
      <c r="G518" s="27" t="str">
        <f>_xlfn.CONCAT(inicioTerminales[[#This Row],[MARCA CHASIS]]," - ", inicioTerminales[[#This Row],[TIPO BUS]])</f>
        <v>FOTON - BE</v>
      </c>
      <c r="H518" s="27" t="s">
        <v>674</v>
      </c>
      <c r="I518" s="52">
        <v>45024</v>
      </c>
      <c r="J518" s="27" t="s">
        <v>1341</v>
      </c>
      <c r="K518" s="27" t="s">
        <v>840</v>
      </c>
      <c r="L518" s="27" t="s">
        <v>853</v>
      </c>
      <c r="M518" s="27" t="s">
        <v>674</v>
      </c>
      <c r="N518" s="27" t="str">
        <f>inicioTerminales[[#This Row],[TIPO BUS]]&amp;"-"&amp;inicioTerminales[[#This Row],[MARCA CHASIS]]</f>
        <v>BE-FOTON</v>
      </c>
    </row>
    <row r="519" spans="1:14">
      <c r="A519" s="27" t="s">
        <v>421</v>
      </c>
      <c r="B519" s="27" t="s">
        <v>766</v>
      </c>
      <c r="C519" s="27">
        <v>7151</v>
      </c>
      <c r="D519" s="27" t="s">
        <v>147</v>
      </c>
      <c r="E519" s="27" t="s">
        <v>13</v>
      </c>
      <c r="F519" s="27" t="s">
        <v>149</v>
      </c>
      <c r="G519" s="27" t="str">
        <f>_xlfn.CONCAT(inicioTerminales[[#This Row],[MARCA CHASIS]]," - ", inicioTerminales[[#This Row],[TIPO BUS]])</f>
        <v>FOTON - BE</v>
      </c>
      <c r="H519" s="27" t="s">
        <v>674</v>
      </c>
      <c r="I519" s="52">
        <v>45024</v>
      </c>
      <c r="J519" s="27" t="s">
        <v>1341</v>
      </c>
      <c r="K519" s="27" t="s">
        <v>840</v>
      </c>
      <c r="L519" s="27" t="s">
        <v>853</v>
      </c>
      <c r="M519" s="27" t="s">
        <v>674</v>
      </c>
      <c r="N519" s="27" t="str">
        <f>inicioTerminales[[#This Row],[TIPO BUS]]&amp;"-"&amp;inicioTerminales[[#This Row],[MARCA CHASIS]]</f>
        <v>BE-FOTON</v>
      </c>
    </row>
    <row r="520" spans="1:14">
      <c r="A520" s="27" t="s">
        <v>421</v>
      </c>
      <c r="B520" s="27" t="s">
        <v>767</v>
      </c>
      <c r="C520" s="27">
        <v>7152</v>
      </c>
      <c r="D520" s="27" t="s">
        <v>147</v>
      </c>
      <c r="E520" s="27" t="s">
        <v>13</v>
      </c>
      <c r="F520" s="27" t="s">
        <v>149</v>
      </c>
      <c r="G520" s="27" t="str">
        <f>_xlfn.CONCAT(inicioTerminales[[#This Row],[MARCA CHASIS]]," - ", inicioTerminales[[#This Row],[TIPO BUS]])</f>
        <v>FOTON - BE</v>
      </c>
      <c r="H520" s="27" t="s">
        <v>674</v>
      </c>
      <c r="I520" s="52">
        <v>45024</v>
      </c>
      <c r="J520" s="27" t="s">
        <v>1341</v>
      </c>
      <c r="K520" s="27" t="s">
        <v>840</v>
      </c>
      <c r="L520" s="27" t="s">
        <v>853</v>
      </c>
      <c r="M520" s="27" t="s">
        <v>674</v>
      </c>
      <c r="N520" s="27" t="str">
        <f>inicioTerminales[[#This Row],[TIPO BUS]]&amp;"-"&amp;inicioTerminales[[#This Row],[MARCA CHASIS]]</f>
        <v>BE-FOTON</v>
      </c>
    </row>
    <row r="521" spans="1:14">
      <c r="A521" s="27" t="s">
        <v>421</v>
      </c>
      <c r="B521" s="27" t="s">
        <v>768</v>
      </c>
      <c r="C521" s="27">
        <v>7153</v>
      </c>
      <c r="D521" s="27" t="s">
        <v>147</v>
      </c>
      <c r="E521" s="27" t="s">
        <v>13</v>
      </c>
      <c r="F521" s="27" t="s">
        <v>149</v>
      </c>
      <c r="G521" s="27" t="str">
        <f>_xlfn.CONCAT(inicioTerminales[[#This Row],[MARCA CHASIS]]," - ", inicioTerminales[[#This Row],[TIPO BUS]])</f>
        <v>FOTON - BE</v>
      </c>
      <c r="H521" s="27" t="s">
        <v>674</v>
      </c>
      <c r="I521" s="52">
        <v>45024</v>
      </c>
      <c r="J521" s="27" t="s">
        <v>1341</v>
      </c>
      <c r="K521" s="27" t="s">
        <v>840</v>
      </c>
      <c r="L521" s="27" t="s">
        <v>853</v>
      </c>
      <c r="M521" s="27" t="s">
        <v>674</v>
      </c>
      <c r="N521" s="27" t="str">
        <f>inicioTerminales[[#This Row],[TIPO BUS]]&amp;"-"&amp;inicioTerminales[[#This Row],[MARCA CHASIS]]</f>
        <v>BE-FOTON</v>
      </c>
    </row>
    <row r="522" spans="1:14">
      <c r="A522" s="27" t="s">
        <v>421</v>
      </c>
      <c r="B522" s="27" t="s">
        <v>769</v>
      </c>
      <c r="C522" s="27">
        <v>7154</v>
      </c>
      <c r="D522" s="27" t="s">
        <v>147</v>
      </c>
      <c r="E522" s="27" t="s">
        <v>13</v>
      </c>
      <c r="F522" s="27" t="s">
        <v>149</v>
      </c>
      <c r="G522" s="27" t="str">
        <f>_xlfn.CONCAT(inicioTerminales[[#This Row],[MARCA CHASIS]]," - ", inicioTerminales[[#This Row],[TIPO BUS]])</f>
        <v>FOTON - BE</v>
      </c>
      <c r="H522" s="27" t="s">
        <v>674</v>
      </c>
      <c r="I522" s="52">
        <v>45024</v>
      </c>
      <c r="J522" s="27" t="s">
        <v>1341</v>
      </c>
      <c r="K522" s="27" t="s">
        <v>840</v>
      </c>
      <c r="L522" s="27" t="s">
        <v>853</v>
      </c>
      <c r="M522" s="27" t="s">
        <v>674</v>
      </c>
      <c r="N522" s="27" t="str">
        <f>inicioTerminales[[#This Row],[TIPO BUS]]&amp;"-"&amp;inicioTerminales[[#This Row],[MARCA CHASIS]]</f>
        <v>BE-FOTON</v>
      </c>
    </row>
    <row r="523" spans="1:14">
      <c r="A523" s="27" t="s">
        <v>421</v>
      </c>
      <c r="B523" s="27" t="s">
        <v>770</v>
      </c>
      <c r="C523" s="27">
        <v>7155</v>
      </c>
      <c r="D523" s="27" t="s">
        <v>147</v>
      </c>
      <c r="E523" s="27" t="s">
        <v>13</v>
      </c>
      <c r="F523" s="27" t="s">
        <v>149</v>
      </c>
      <c r="G523" s="27" t="str">
        <f>_xlfn.CONCAT(inicioTerminales[[#This Row],[MARCA CHASIS]]," - ", inicioTerminales[[#This Row],[TIPO BUS]])</f>
        <v>FOTON - BE</v>
      </c>
      <c r="H523" s="27" t="s">
        <v>674</v>
      </c>
      <c r="I523" s="52">
        <v>45024</v>
      </c>
      <c r="J523" s="27" t="s">
        <v>1341</v>
      </c>
      <c r="K523" s="27" t="s">
        <v>840</v>
      </c>
      <c r="L523" s="27" t="s">
        <v>853</v>
      </c>
      <c r="M523" s="27" t="s">
        <v>674</v>
      </c>
      <c r="N523" s="27" t="str">
        <f>inicioTerminales[[#This Row],[TIPO BUS]]&amp;"-"&amp;inicioTerminales[[#This Row],[MARCA CHASIS]]</f>
        <v>BE-FOTON</v>
      </c>
    </row>
    <row r="524" spans="1:14">
      <c r="A524" s="27" t="s">
        <v>421</v>
      </c>
      <c r="B524" s="27" t="s">
        <v>689</v>
      </c>
      <c r="C524" s="27">
        <v>6056</v>
      </c>
      <c r="D524" s="27" t="s">
        <v>34</v>
      </c>
      <c r="E524" s="27" t="s">
        <v>25</v>
      </c>
      <c r="F524" s="27" t="s">
        <v>145</v>
      </c>
      <c r="G524" s="27" t="str">
        <f>_xlfn.CONCAT(inicioTerminales[[#This Row],[MARCA CHASIS]]," - ", inicioTerminales[[#This Row],[TIPO BUS]])</f>
        <v>MERCEDES BENZ - B2</v>
      </c>
      <c r="H524" s="27" t="s">
        <v>674</v>
      </c>
      <c r="I524" s="52">
        <v>45024</v>
      </c>
      <c r="J524" s="27" t="s">
        <v>830</v>
      </c>
      <c r="K524" s="27" t="s">
        <v>840</v>
      </c>
      <c r="L524" s="27" t="s">
        <v>853</v>
      </c>
      <c r="M524" s="27" t="s">
        <v>674</v>
      </c>
      <c r="N524" s="27" t="str">
        <f>inicioTerminales[[#This Row],[TIPO BUS]]&amp;"-"&amp;inicioTerminales[[#This Row],[MARCA CHASIS]]</f>
        <v>B2-MERCEDES BENZ</v>
      </c>
    </row>
    <row r="525" spans="1:14">
      <c r="A525" s="27" t="s">
        <v>421</v>
      </c>
      <c r="B525" s="27" t="s">
        <v>666</v>
      </c>
      <c r="C525" s="27">
        <v>6057</v>
      </c>
      <c r="D525" s="27" t="s">
        <v>34</v>
      </c>
      <c r="E525" s="27" t="s">
        <v>13</v>
      </c>
      <c r="F525" s="27" t="s">
        <v>145</v>
      </c>
      <c r="G525" s="27" t="str">
        <f>_xlfn.CONCAT(inicioTerminales[[#This Row],[MARCA CHASIS]]," - ", inicioTerminales[[#This Row],[TIPO BUS]])</f>
        <v>MERCEDES BENZ - B2</v>
      </c>
      <c r="H525" s="27" t="s">
        <v>674</v>
      </c>
      <c r="I525" s="52">
        <v>45024</v>
      </c>
      <c r="J525" s="27" t="s">
        <v>830</v>
      </c>
      <c r="K525" s="27" t="s">
        <v>840</v>
      </c>
      <c r="L525" s="27" t="s">
        <v>853</v>
      </c>
      <c r="M525" s="27" t="s">
        <v>674</v>
      </c>
      <c r="N525" s="27" t="str">
        <f>inicioTerminales[[#This Row],[TIPO BUS]]&amp;"-"&amp;inicioTerminales[[#This Row],[MARCA CHASIS]]</f>
        <v>B2-MERCEDES BENZ</v>
      </c>
    </row>
    <row r="526" spans="1:14">
      <c r="A526" s="27" t="s">
        <v>421</v>
      </c>
      <c r="B526" s="27" t="s">
        <v>691</v>
      </c>
      <c r="C526" s="27">
        <v>6058</v>
      </c>
      <c r="D526" s="27" t="s">
        <v>34</v>
      </c>
      <c r="E526" s="27" t="s">
        <v>13</v>
      </c>
      <c r="F526" s="27" t="s">
        <v>145</v>
      </c>
      <c r="G526" s="27" t="str">
        <f>_xlfn.CONCAT(inicioTerminales[[#This Row],[MARCA CHASIS]]," - ", inicioTerminales[[#This Row],[TIPO BUS]])</f>
        <v>MERCEDES BENZ - B2</v>
      </c>
      <c r="H526" s="27" t="s">
        <v>674</v>
      </c>
      <c r="I526" s="52">
        <v>45024</v>
      </c>
      <c r="J526" s="27" t="s">
        <v>830</v>
      </c>
      <c r="K526" s="27" t="s">
        <v>840</v>
      </c>
      <c r="L526" s="27" t="s">
        <v>853</v>
      </c>
      <c r="M526" s="27" t="s">
        <v>674</v>
      </c>
      <c r="N526" s="27" t="str">
        <f>inicioTerminales[[#This Row],[TIPO BUS]]&amp;"-"&amp;inicioTerminales[[#This Row],[MARCA CHASIS]]</f>
        <v>B2-MERCEDES BENZ</v>
      </c>
    </row>
    <row r="527" spans="1:14">
      <c r="A527" s="27" t="s">
        <v>421</v>
      </c>
      <c r="B527" s="27" t="s">
        <v>667</v>
      </c>
      <c r="C527" s="27">
        <v>6059</v>
      </c>
      <c r="D527" s="27" t="s">
        <v>34</v>
      </c>
      <c r="E527" s="27" t="s">
        <v>13</v>
      </c>
      <c r="F527" s="27" t="s">
        <v>145</v>
      </c>
      <c r="G527" s="27" t="str">
        <f>_xlfn.CONCAT(inicioTerminales[[#This Row],[MARCA CHASIS]]," - ", inicioTerminales[[#This Row],[TIPO BUS]])</f>
        <v>MERCEDES BENZ - B2</v>
      </c>
      <c r="H527" s="27" t="s">
        <v>674</v>
      </c>
      <c r="I527" s="52">
        <v>45024</v>
      </c>
      <c r="J527" s="27" t="s">
        <v>830</v>
      </c>
      <c r="K527" s="27" t="s">
        <v>840</v>
      </c>
      <c r="L527" s="27" t="s">
        <v>853</v>
      </c>
      <c r="M527" s="27" t="s">
        <v>674</v>
      </c>
      <c r="N527" s="27" t="str">
        <f>inicioTerminales[[#This Row],[TIPO BUS]]&amp;"-"&amp;inicioTerminales[[#This Row],[MARCA CHASIS]]</f>
        <v>B2-MERCEDES BENZ</v>
      </c>
    </row>
    <row r="528" spans="1:14">
      <c r="A528" s="27" t="s">
        <v>421</v>
      </c>
      <c r="B528" s="27" t="s">
        <v>692</v>
      </c>
      <c r="C528" s="27">
        <v>6062</v>
      </c>
      <c r="D528" s="27" t="s">
        <v>34</v>
      </c>
      <c r="E528" s="27" t="s">
        <v>13</v>
      </c>
      <c r="F528" s="27" t="s">
        <v>145</v>
      </c>
      <c r="G528" s="27" t="str">
        <f>_xlfn.CONCAT(inicioTerminales[[#This Row],[MARCA CHASIS]]," - ", inicioTerminales[[#This Row],[TIPO BUS]])</f>
        <v>MERCEDES BENZ - B2</v>
      </c>
      <c r="H528" s="27" t="s">
        <v>674</v>
      </c>
      <c r="I528" s="52">
        <v>45024</v>
      </c>
      <c r="J528" s="27" t="s">
        <v>830</v>
      </c>
      <c r="K528" s="27" t="s">
        <v>840</v>
      </c>
      <c r="L528" s="27" t="s">
        <v>853</v>
      </c>
      <c r="M528" s="27" t="s">
        <v>674</v>
      </c>
      <c r="N528" s="27" t="str">
        <f>inicioTerminales[[#This Row],[TIPO BUS]]&amp;"-"&amp;inicioTerminales[[#This Row],[MARCA CHASIS]]</f>
        <v>B2-MERCEDES BENZ</v>
      </c>
    </row>
    <row r="529" spans="1:14">
      <c r="A529" s="27" t="s">
        <v>421</v>
      </c>
      <c r="B529" s="27" t="s">
        <v>693</v>
      </c>
      <c r="C529" s="27">
        <v>6064</v>
      </c>
      <c r="D529" s="27" t="s">
        <v>34</v>
      </c>
      <c r="E529" s="27" t="s">
        <v>13</v>
      </c>
      <c r="F529" s="27" t="s">
        <v>145</v>
      </c>
      <c r="G529" s="27" t="str">
        <f>_xlfn.CONCAT(inicioTerminales[[#This Row],[MARCA CHASIS]]," - ", inicioTerminales[[#This Row],[TIPO BUS]])</f>
        <v>MERCEDES BENZ - B2</v>
      </c>
      <c r="H529" s="27" t="s">
        <v>674</v>
      </c>
      <c r="I529" s="52">
        <v>45024</v>
      </c>
      <c r="J529" s="27" t="s">
        <v>830</v>
      </c>
      <c r="K529" s="27" t="s">
        <v>840</v>
      </c>
      <c r="L529" s="27" t="s">
        <v>853</v>
      </c>
      <c r="M529" s="27" t="s">
        <v>674</v>
      </c>
      <c r="N529" s="27" t="str">
        <f>inicioTerminales[[#This Row],[TIPO BUS]]&amp;"-"&amp;inicioTerminales[[#This Row],[MARCA CHASIS]]</f>
        <v>B2-MERCEDES BENZ</v>
      </c>
    </row>
    <row r="530" spans="1:14">
      <c r="A530" s="27" t="s">
        <v>421</v>
      </c>
      <c r="B530" s="27" t="s">
        <v>694</v>
      </c>
      <c r="C530" s="27">
        <v>6065</v>
      </c>
      <c r="D530" s="27" t="s">
        <v>34</v>
      </c>
      <c r="E530" s="27" t="s">
        <v>13</v>
      </c>
      <c r="F530" s="27" t="s">
        <v>145</v>
      </c>
      <c r="G530" s="27" t="str">
        <f>_xlfn.CONCAT(inicioTerminales[[#This Row],[MARCA CHASIS]]," - ", inicioTerminales[[#This Row],[TIPO BUS]])</f>
        <v>MERCEDES BENZ - B2</v>
      </c>
      <c r="H530" s="27" t="s">
        <v>674</v>
      </c>
      <c r="I530" s="52">
        <v>45024</v>
      </c>
      <c r="J530" s="27" t="s">
        <v>830</v>
      </c>
      <c r="K530" s="27" t="s">
        <v>840</v>
      </c>
      <c r="L530" s="27" t="s">
        <v>853</v>
      </c>
      <c r="M530" s="27" t="s">
        <v>674</v>
      </c>
      <c r="N530" s="27" t="str">
        <f>inicioTerminales[[#This Row],[TIPO BUS]]&amp;"-"&amp;inicioTerminales[[#This Row],[MARCA CHASIS]]</f>
        <v>B2-MERCEDES BENZ</v>
      </c>
    </row>
    <row r="531" spans="1:14">
      <c r="A531" s="27" t="s">
        <v>421</v>
      </c>
      <c r="B531" s="27" t="s">
        <v>695</v>
      </c>
      <c r="C531" s="27">
        <v>6067</v>
      </c>
      <c r="D531" s="27" t="s">
        <v>34</v>
      </c>
      <c r="E531" s="27" t="s">
        <v>13</v>
      </c>
      <c r="F531" s="27" t="s">
        <v>145</v>
      </c>
      <c r="G531" s="27" t="str">
        <f>_xlfn.CONCAT(inicioTerminales[[#This Row],[MARCA CHASIS]]," - ", inicioTerminales[[#This Row],[TIPO BUS]])</f>
        <v>MERCEDES BENZ - B2</v>
      </c>
      <c r="H531" s="27" t="s">
        <v>674</v>
      </c>
      <c r="I531" s="52">
        <v>45024</v>
      </c>
      <c r="J531" s="27" t="s">
        <v>830</v>
      </c>
      <c r="K531" s="27" t="s">
        <v>840</v>
      </c>
      <c r="L531" s="27" t="s">
        <v>853</v>
      </c>
      <c r="M531" s="27" t="s">
        <v>674</v>
      </c>
      <c r="N531" s="27" t="str">
        <f>inicioTerminales[[#This Row],[TIPO BUS]]&amp;"-"&amp;inicioTerminales[[#This Row],[MARCA CHASIS]]</f>
        <v>B2-MERCEDES BENZ</v>
      </c>
    </row>
    <row r="532" spans="1:14">
      <c r="A532" s="27" t="s">
        <v>421</v>
      </c>
      <c r="B532" s="27" t="s">
        <v>668</v>
      </c>
      <c r="C532" s="27">
        <v>6070</v>
      </c>
      <c r="D532" s="27" t="s">
        <v>34</v>
      </c>
      <c r="E532" s="27" t="s">
        <v>13</v>
      </c>
      <c r="F532" s="27" t="s">
        <v>145</v>
      </c>
      <c r="G532" s="27" t="str">
        <f>_xlfn.CONCAT(inicioTerminales[[#This Row],[MARCA CHASIS]]," - ", inicioTerminales[[#This Row],[TIPO BUS]])</f>
        <v>MERCEDES BENZ - B2</v>
      </c>
      <c r="H532" s="27" t="s">
        <v>674</v>
      </c>
      <c r="I532" s="52">
        <v>45024</v>
      </c>
      <c r="J532" s="27" t="s">
        <v>830</v>
      </c>
      <c r="K532" s="27" t="s">
        <v>840</v>
      </c>
      <c r="L532" s="27" t="s">
        <v>853</v>
      </c>
      <c r="M532" s="27" t="s">
        <v>674</v>
      </c>
      <c r="N532" s="27" t="str">
        <f>inicioTerminales[[#This Row],[TIPO BUS]]&amp;"-"&amp;inicioTerminales[[#This Row],[MARCA CHASIS]]</f>
        <v>B2-MERCEDES BENZ</v>
      </c>
    </row>
    <row r="533" spans="1:14">
      <c r="A533" s="27" t="s">
        <v>421</v>
      </c>
      <c r="B533" s="27" t="s">
        <v>696</v>
      </c>
      <c r="C533" s="27">
        <v>6072</v>
      </c>
      <c r="D533" s="27" t="s">
        <v>34</v>
      </c>
      <c r="E533" s="27" t="s">
        <v>13</v>
      </c>
      <c r="F533" s="27" t="s">
        <v>145</v>
      </c>
      <c r="G533" s="27" t="str">
        <f>_xlfn.CONCAT(inicioTerminales[[#This Row],[MARCA CHASIS]]," - ", inicioTerminales[[#This Row],[TIPO BUS]])</f>
        <v>MERCEDES BENZ - B2</v>
      </c>
      <c r="H533" s="27" t="s">
        <v>674</v>
      </c>
      <c r="I533" s="52">
        <v>45024</v>
      </c>
      <c r="J533" s="27" t="s">
        <v>830</v>
      </c>
      <c r="K533" s="27" t="s">
        <v>840</v>
      </c>
      <c r="L533" s="27" t="s">
        <v>853</v>
      </c>
      <c r="M533" s="27" t="s">
        <v>674</v>
      </c>
      <c r="N533" s="27" t="str">
        <f>inicioTerminales[[#This Row],[TIPO BUS]]&amp;"-"&amp;inicioTerminales[[#This Row],[MARCA CHASIS]]</f>
        <v>B2-MERCEDES BENZ</v>
      </c>
    </row>
    <row r="534" spans="1:14">
      <c r="A534" s="27" t="s">
        <v>421</v>
      </c>
      <c r="B534" s="27" t="s">
        <v>697</v>
      </c>
      <c r="C534" s="27">
        <v>6073</v>
      </c>
      <c r="D534" s="27" t="s">
        <v>34</v>
      </c>
      <c r="E534" s="27" t="s">
        <v>13</v>
      </c>
      <c r="F534" s="27" t="s">
        <v>145</v>
      </c>
      <c r="G534" s="27" t="str">
        <f>_xlfn.CONCAT(inicioTerminales[[#This Row],[MARCA CHASIS]]," - ", inicioTerminales[[#This Row],[TIPO BUS]])</f>
        <v>MERCEDES BENZ - B2</v>
      </c>
      <c r="H534" s="27" t="s">
        <v>674</v>
      </c>
      <c r="I534" s="52">
        <v>45024</v>
      </c>
      <c r="J534" s="27" t="s">
        <v>830</v>
      </c>
      <c r="K534" s="27" t="s">
        <v>840</v>
      </c>
      <c r="L534" s="27" t="s">
        <v>853</v>
      </c>
      <c r="M534" s="27" t="s">
        <v>674</v>
      </c>
      <c r="N534" s="27" t="str">
        <f>inicioTerminales[[#This Row],[TIPO BUS]]&amp;"-"&amp;inicioTerminales[[#This Row],[MARCA CHASIS]]</f>
        <v>B2-MERCEDES BENZ</v>
      </c>
    </row>
    <row r="535" spans="1:14">
      <c r="A535" s="27" t="s">
        <v>421</v>
      </c>
      <c r="B535" s="27" t="s">
        <v>698</v>
      </c>
      <c r="C535" s="27">
        <v>6074</v>
      </c>
      <c r="D535" s="27" t="s">
        <v>34</v>
      </c>
      <c r="E535" s="27" t="s">
        <v>13</v>
      </c>
      <c r="F535" s="27" t="s">
        <v>145</v>
      </c>
      <c r="G535" s="27" t="str">
        <f>_xlfn.CONCAT(inicioTerminales[[#This Row],[MARCA CHASIS]]," - ", inicioTerminales[[#This Row],[TIPO BUS]])</f>
        <v>MERCEDES BENZ - B2</v>
      </c>
      <c r="H535" s="27" t="s">
        <v>674</v>
      </c>
      <c r="I535" s="52">
        <v>45024</v>
      </c>
      <c r="J535" s="27" t="s">
        <v>830</v>
      </c>
      <c r="K535" s="27" t="s">
        <v>840</v>
      </c>
      <c r="L535" s="27" t="s">
        <v>853</v>
      </c>
      <c r="M535" s="27" t="s">
        <v>674</v>
      </c>
      <c r="N535" s="27" t="str">
        <f>inicioTerminales[[#This Row],[TIPO BUS]]&amp;"-"&amp;inicioTerminales[[#This Row],[MARCA CHASIS]]</f>
        <v>B2-MERCEDES BENZ</v>
      </c>
    </row>
    <row r="536" spans="1:14">
      <c r="A536" s="27" t="s">
        <v>421</v>
      </c>
      <c r="B536" s="27" t="s">
        <v>699</v>
      </c>
      <c r="C536" s="27">
        <v>6075</v>
      </c>
      <c r="D536" s="27" t="s">
        <v>34</v>
      </c>
      <c r="E536" s="27" t="s">
        <v>13</v>
      </c>
      <c r="F536" s="27" t="s">
        <v>145</v>
      </c>
      <c r="G536" s="27" t="str">
        <f>_xlfn.CONCAT(inicioTerminales[[#This Row],[MARCA CHASIS]]," - ", inicioTerminales[[#This Row],[TIPO BUS]])</f>
        <v>MERCEDES BENZ - B2</v>
      </c>
      <c r="H536" s="27" t="s">
        <v>674</v>
      </c>
      <c r="I536" s="52">
        <v>45024</v>
      </c>
      <c r="J536" s="27" t="s">
        <v>830</v>
      </c>
      <c r="K536" s="27" t="s">
        <v>840</v>
      </c>
      <c r="L536" s="27" t="s">
        <v>853</v>
      </c>
      <c r="M536" s="27" t="s">
        <v>674</v>
      </c>
      <c r="N536" s="27" t="str">
        <f>inicioTerminales[[#This Row],[TIPO BUS]]&amp;"-"&amp;inicioTerminales[[#This Row],[MARCA CHASIS]]</f>
        <v>B2-MERCEDES BENZ</v>
      </c>
    </row>
    <row r="537" spans="1:14">
      <c r="A537" s="27" t="s">
        <v>421</v>
      </c>
      <c r="B537" s="27" t="s">
        <v>700</v>
      </c>
      <c r="C537" s="27">
        <v>6076</v>
      </c>
      <c r="D537" s="27" t="s">
        <v>34</v>
      </c>
      <c r="E537" s="27" t="s">
        <v>13</v>
      </c>
      <c r="F537" s="27" t="s">
        <v>145</v>
      </c>
      <c r="G537" s="27" t="str">
        <f>_xlfn.CONCAT(inicioTerminales[[#This Row],[MARCA CHASIS]]," - ", inicioTerminales[[#This Row],[TIPO BUS]])</f>
        <v>MERCEDES BENZ - B2</v>
      </c>
      <c r="H537" s="27" t="s">
        <v>674</v>
      </c>
      <c r="I537" s="52">
        <v>45024</v>
      </c>
      <c r="J537" s="27" t="s">
        <v>830</v>
      </c>
      <c r="K537" s="27" t="s">
        <v>840</v>
      </c>
      <c r="L537" s="27" t="s">
        <v>853</v>
      </c>
      <c r="M537" s="27" t="s">
        <v>674</v>
      </c>
      <c r="N537" s="27" t="str">
        <f>inicioTerminales[[#This Row],[TIPO BUS]]&amp;"-"&amp;inicioTerminales[[#This Row],[MARCA CHASIS]]</f>
        <v>B2-MERCEDES BENZ</v>
      </c>
    </row>
    <row r="538" spans="1:14">
      <c r="A538" s="27" t="s">
        <v>421</v>
      </c>
      <c r="B538" s="27" t="s">
        <v>701</v>
      </c>
      <c r="C538" s="27">
        <v>6078</v>
      </c>
      <c r="D538" s="27" t="s">
        <v>34</v>
      </c>
      <c r="E538" s="27" t="s">
        <v>13</v>
      </c>
      <c r="F538" s="27" t="s">
        <v>145</v>
      </c>
      <c r="G538" s="27" t="str">
        <f>_xlfn.CONCAT(inicioTerminales[[#This Row],[MARCA CHASIS]]," - ", inicioTerminales[[#This Row],[TIPO BUS]])</f>
        <v>MERCEDES BENZ - B2</v>
      </c>
      <c r="H538" s="27" t="s">
        <v>674</v>
      </c>
      <c r="I538" s="52">
        <v>45024</v>
      </c>
      <c r="J538" s="27" t="s">
        <v>830</v>
      </c>
      <c r="K538" s="27" t="s">
        <v>840</v>
      </c>
      <c r="L538" s="27" t="s">
        <v>853</v>
      </c>
      <c r="M538" s="27" t="s">
        <v>674</v>
      </c>
      <c r="N538" s="27" t="str">
        <f>inicioTerminales[[#This Row],[TIPO BUS]]&amp;"-"&amp;inicioTerminales[[#This Row],[MARCA CHASIS]]</f>
        <v>B2-MERCEDES BENZ</v>
      </c>
    </row>
    <row r="539" spans="1:14">
      <c r="A539" s="27" t="s">
        <v>421</v>
      </c>
      <c r="B539" s="27" t="s">
        <v>669</v>
      </c>
      <c r="C539" s="27">
        <v>6079</v>
      </c>
      <c r="D539" s="27" t="s">
        <v>34</v>
      </c>
      <c r="E539" s="27" t="s">
        <v>13</v>
      </c>
      <c r="F539" s="27" t="s">
        <v>145</v>
      </c>
      <c r="G539" s="27" t="str">
        <f>_xlfn.CONCAT(inicioTerminales[[#This Row],[MARCA CHASIS]]," - ", inicioTerminales[[#This Row],[TIPO BUS]])</f>
        <v>MERCEDES BENZ - B2</v>
      </c>
      <c r="H539" s="27" t="s">
        <v>674</v>
      </c>
      <c r="I539" s="52">
        <v>45024</v>
      </c>
      <c r="J539" s="27" t="s">
        <v>830</v>
      </c>
      <c r="K539" s="27" t="s">
        <v>840</v>
      </c>
      <c r="L539" s="27" t="s">
        <v>853</v>
      </c>
      <c r="M539" s="27" t="s">
        <v>674</v>
      </c>
      <c r="N539" s="27" t="str">
        <f>inicioTerminales[[#This Row],[TIPO BUS]]&amp;"-"&amp;inicioTerminales[[#This Row],[MARCA CHASIS]]</f>
        <v>B2-MERCEDES BENZ</v>
      </c>
    </row>
    <row r="540" spans="1:14">
      <c r="A540" s="27" t="s">
        <v>421</v>
      </c>
      <c r="B540" s="27" t="s">
        <v>670</v>
      </c>
      <c r="C540" s="27">
        <v>6080</v>
      </c>
      <c r="D540" s="27" t="s">
        <v>34</v>
      </c>
      <c r="E540" s="27" t="s">
        <v>13</v>
      </c>
      <c r="F540" s="27" t="s">
        <v>145</v>
      </c>
      <c r="G540" s="27" t="str">
        <f>_xlfn.CONCAT(inicioTerminales[[#This Row],[MARCA CHASIS]]," - ", inicioTerminales[[#This Row],[TIPO BUS]])</f>
        <v>MERCEDES BENZ - B2</v>
      </c>
      <c r="H540" s="27" t="s">
        <v>674</v>
      </c>
      <c r="I540" s="52">
        <v>45024</v>
      </c>
      <c r="J540" s="27" t="s">
        <v>830</v>
      </c>
      <c r="K540" s="27" t="s">
        <v>840</v>
      </c>
      <c r="L540" s="27" t="s">
        <v>853</v>
      </c>
      <c r="M540" s="27" t="s">
        <v>674</v>
      </c>
      <c r="N540" s="27" t="str">
        <f>inicioTerminales[[#This Row],[TIPO BUS]]&amp;"-"&amp;inicioTerminales[[#This Row],[MARCA CHASIS]]</f>
        <v>B2-MERCEDES BENZ</v>
      </c>
    </row>
    <row r="541" spans="1:14">
      <c r="A541" s="27" t="s">
        <v>421</v>
      </c>
      <c r="B541" s="27" t="s">
        <v>671</v>
      </c>
      <c r="C541" s="27">
        <v>6081</v>
      </c>
      <c r="D541" s="27" t="s">
        <v>34</v>
      </c>
      <c r="E541" s="27" t="s">
        <v>13</v>
      </c>
      <c r="F541" s="27" t="s">
        <v>145</v>
      </c>
      <c r="G541" s="27" t="str">
        <f>_xlfn.CONCAT(inicioTerminales[[#This Row],[MARCA CHASIS]]," - ", inicioTerminales[[#This Row],[TIPO BUS]])</f>
        <v>MERCEDES BENZ - B2</v>
      </c>
      <c r="H541" s="27" t="s">
        <v>674</v>
      </c>
      <c r="I541" s="52">
        <v>45024</v>
      </c>
      <c r="J541" s="27" t="s">
        <v>830</v>
      </c>
      <c r="K541" s="27" t="s">
        <v>840</v>
      </c>
      <c r="L541" s="27" t="s">
        <v>853</v>
      </c>
      <c r="M541" s="27" t="s">
        <v>674</v>
      </c>
      <c r="N541" s="27" t="str">
        <f>inicioTerminales[[#This Row],[TIPO BUS]]&amp;"-"&amp;inicioTerminales[[#This Row],[MARCA CHASIS]]</f>
        <v>B2-MERCEDES BENZ</v>
      </c>
    </row>
    <row r="542" spans="1:14">
      <c r="A542" s="27" t="s">
        <v>421</v>
      </c>
      <c r="B542" s="27" t="s">
        <v>672</v>
      </c>
      <c r="C542" s="27">
        <v>6085</v>
      </c>
      <c r="D542" s="27" t="s">
        <v>34</v>
      </c>
      <c r="E542" s="27" t="s">
        <v>13</v>
      </c>
      <c r="F542" s="27" t="s">
        <v>145</v>
      </c>
      <c r="G542" s="27" t="str">
        <f>_xlfn.CONCAT(inicioTerminales[[#This Row],[MARCA CHASIS]]," - ", inicioTerminales[[#This Row],[TIPO BUS]])</f>
        <v>MERCEDES BENZ - B2</v>
      </c>
      <c r="H542" s="27" t="s">
        <v>674</v>
      </c>
      <c r="I542" s="52">
        <v>45024</v>
      </c>
      <c r="J542" s="27" t="s">
        <v>830</v>
      </c>
      <c r="K542" s="27" t="s">
        <v>840</v>
      </c>
      <c r="L542" s="27" t="s">
        <v>853</v>
      </c>
      <c r="M542" s="27" t="s">
        <v>674</v>
      </c>
      <c r="N542" s="27" t="str">
        <f>inicioTerminales[[#This Row],[TIPO BUS]]&amp;"-"&amp;inicioTerminales[[#This Row],[MARCA CHASIS]]</f>
        <v>B2-MERCEDES BENZ</v>
      </c>
    </row>
    <row r="543" spans="1:14">
      <c r="A543" s="27" t="s">
        <v>421</v>
      </c>
      <c r="B543" s="27" t="s">
        <v>702</v>
      </c>
      <c r="C543" s="27">
        <v>6086</v>
      </c>
      <c r="D543" s="27" t="s">
        <v>34</v>
      </c>
      <c r="E543" s="27" t="s">
        <v>13</v>
      </c>
      <c r="F543" s="27" t="s">
        <v>145</v>
      </c>
      <c r="G543" s="27" t="str">
        <f>_xlfn.CONCAT(inicioTerminales[[#This Row],[MARCA CHASIS]]," - ", inicioTerminales[[#This Row],[TIPO BUS]])</f>
        <v>MERCEDES BENZ - B2</v>
      </c>
      <c r="H543" s="27" t="s">
        <v>674</v>
      </c>
      <c r="I543" s="52">
        <v>45024</v>
      </c>
      <c r="J543" s="27" t="s">
        <v>830</v>
      </c>
      <c r="K543" s="27" t="s">
        <v>840</v>
      </c>
      <c r="L543" s="27" t="s">
        <v>853</v>
      </c>
      <c r="M543" s="27" t="s">
        <v>674</v>
      </c>
      <c r="N543" s="27" t="str">
        <f>inicioTerminales[[#This Row],[TIPO BUS]]&amp;"-"&amp;inicioTerminales[[#This Row],[MARCA CHASIS]]</f>
        <v>B2-MERCEDES BENZ</v>
      </c>
    </row>
    <row r="544" spans="1:14">
      <c r="A544" s="27" t="s">
        <v>421</v>
      </c>
      <c r="B544" s="27" t="s">
        <v>703</v>
      </c>
      <c r="C544" s="27">
        <v>6087</v>
      </c>
      <c r="D544" s="27" t="s">
        <v>34</v>
      </c>
      <c r="E544" s="27" t="s">
        <v>13</v>
      </c>
      <c r="F544" s="27" t="s">
        <v>145</v>
      </c>
      <c r="G544" s="27" t="str">
        <f>_xlfn.CONCAT(inicioTerminales[[#This Row],[MARCA CHASIS]]," - ", inicioTerminales[[#This Row],[TIPO BUS]])</f>
        <v>MERCEDES BENZ - B2</v>
      </c>
      <c r="H544" s="27" t="s">
        <v>674</v>
      </c>
      <c r="I544" s="52">
        <v>45024</v>
      </c>
      <c r="J544" s="27" t="s">
        <v>830</v>
      </c>
      <c r="K544" s="27" t="s">
        <v>840</v>
      </c>
      <c r="L544" s="27" t="s">
        <v>853</v>
      </c>
      <c r="M544" s="27" t="s">
        <v>674</v>
      </c>
      <c r="N544" s="27" t="str">
        <f>inicioTerminales[[#This Row],[TIPO BUS]]&amp;"-"&amp;inicioTerminales[[#This Row],[MARCA CHASIS]]</f>
        <v>B2-MERCEDES BENZ</v>
      </c>
    </row>
    <row r="545" spans="1:14">
      <c r="A545" s="27" t="s">
        <v>421</v>
      </c>
      <c r="B545" s="27" t="s">
        <v>704</v>
      </c>
      <c r="C545" s="27">
        <v>6088</v>
      </c>
      <c r="D545" s="27" t="s">
        <v>34</v>
      </c>
      <c r="E545" s="27" t="s">
        <v>13</v>
      </c>
      <c r="F545" s="27" t="s">
        <v>145</v>
      </c>
      <c r="G545" s="27" t="str">
        <f>_xlfn.CONCAT(inicioTerminales[[#This Row],[MARCA CHASIS]]," - ", inicioTerminales[[#This Row],[TIPO BUS]])</f>
        <v>MERCEDES BENZ - B2</v>
      </c>
      <c r="H545" s="27" t="s">
        <v>674</v>
      </c>
      <c r="I545" s="52">
        <v>45024</v>
      </c>
      <c r="J545" s="27" t="s">
        <v>830</v>
      </c>
      <c r="K545" s="27" t="s">
        <v>840</v>
      </c>
      <c r="L545" s="27" t="s">
        <v>853</v>
      </c>
      <c r="M545" s="27" t="s">
        <v>674</v>
      </c>
      <c r="N545" s="27" t="str">
        <f>inicioTerminales[[#This Row],[TIPO BUS]]&amp;"-"&amp;inicioTerminales[[#This Row],[MARCA CHASIS]]</f>
        <v>B2-MERCEDES BENZ</v>
      </c>
    </row>
    <row r="546" spans="1:14">
      <c r="A546" s="27" t="s">
        <v>421</v>
      </c>
      <c r="B546" s="27" t="s">
        <v>705</v>
      </c>
      <c r="C546" s="27">
        <v>7000</v>
      </c>
      <c r="D546" s="27" t="s">
        <v>147</v>
      </c>
      <c r="E546" s="27" t="s">
        <v>25</v>
      </c>
      <c r="F546" s="27" t="s">
        <v>690</v>
      </c>
      <c r="G546" s="27" t="str">
        <f>_xlfn.CONCAT(inicioTerminales[[#This Row],[MARCA CHASIS]]," - ", inicioTerminales[[#This Row],[TIPO BUS]])</f>
        <v>YUTONG - BE</v>
      </c>
      <c r="H546" s="27" t="s">
        <v>674</v>
      </c>
      <c r="I546" s="52">
        <v>45024</v>
      </c>
      <c r="J546" s="27" t="s">
        <v>830</v>
      </c>
      <c r="K546" s="27" t="s">
        <v>840</v>
      </c>
      <c r="L546" s="27" t="s">
        <v>853</v>
      </c>
      <c r="M546" s="27" t="s">
        <v>674</v>
      </c>
      <c r="N546" s="27" t="str">
        <f>inicioTerminales[[#This Row],[TIPO BUS]]&amp;"-"&amp;inicioTerminales[[#This Row],[MARCA CHASIS]]</f>
        <v>BE-YUTONG</v>
      </c>
    </row>
    <row r="547" spans="1:14">
      <c r="A547" s="27" t="s">
        <v>421</v>
      </c>
      <c r="B547" s="27" t="s">
        <v>706</v>
      </c>
      <c r="C547" s="27">
        <v>7001</v>
      </c>
      <c r="D547" s="27" t="s">
        <v>147</v>
      </c>
      <c r="E547" s="27" t="s">
        <v>13</v>
      </c>
      <c r="F547" s="27" t="s">
        <v>690</v>
      </c>
      <c r="G547" s="27" t="str">
        <f>_xlfn.CONCAT(inicioTerminales[[#This Row],[MARCA CHASIS]]," - ", inicioTerminales[[#This Row],[TIPO BUS]])</f>
        <v>YUTONG - BE</v>
      </c>
      <c r="H547" s="27" t="s">
        <v>674</v>
      </c>
      <c r="I547" s="52">
        <v>45024</v>
      </c>
      <c r="J547" s="27" t="s">
        <v>830</v>
      </c>
      <c r="K547" s="27" t="s">
        <v>840</v>
      </c>
      <c r="L547" s="27" t="s">
        <v>853</v>
      </c>
      <c r="M547" s="27" t="s">
        <v>674</v>
      </c>
      <c r="N547" s="27" t="str">
        <f>inicioTerminales[[#This Row],[TIPO BUS]]&amp;"-"&amp;inicioTerminales[[#This Row],[MARCA CHASIS]]</f>
        <v>BE-YUTONG</v>
      </c>
    </row>
    <row r="548" spans="1:14">
      <c r="A548" s="27" t="s">
        <v>421</v>
      </c>
      <c r="B548" s="27" t="s">
        <v>707</v>
      </c>
      <c r="C548" s="27">
        <v>7002</v>
      </c>
      <c r="D548" s="27" t="s">
        <v>147</v>
      </c>
      <c r="E548" s="27" t="s">
        <v>13</v>
      </c>
      <c r="F548" s="27" t="s">
        <v>690</v>
      </c>
      <c r="G548" s="27" t="str">
        <f>_xlfn.CONCAT(inicioTerminales[[#This Row],[MARCA CHASIS]]," - ", inicioTerminales[[#This Row],[TIPO BUS]])</f>
        <v>YUTONG - BE</v>
      </c>
      <c r="H548" s="27" t="s">
        <v>674</v>
      </c>
      <c r="I548" s="52">
        <v>45024</v>
      </c>
      <c r="J548" s="27" t="s">
        <v>830</v>
      </c>
      <c r="K548" s="27" t="s">
        <v>840</v>
      </c>
      <c r="L548" s="27" t="s">
        <v>853</v>
      </c>
      <c r="M548" s="27" t="s">
        <v>674</v>
      </c>
      <c r="N548" s="27" t="str">
        <f>inicioTerminales[[#This Row],[TIPO BUS]]&amp;"-"&amp;inicioTerminales[[#This Row],[MARCA CHASIS]]</f>
        <v>BE-YUTONG</v>
      </c>
    </row>
    <row r="549" spans="1:14">
      <c r="A549" s="27" t="s">
        <v>421</v>
      </c>
      <c r="B549" s="27" t="s">
        <v>708</v>
      </c>
      <c r="C549" s="27">
        <v>7003</v>
      </c>
      <c r="D549" s="27" t="s">
        <v>147</v>
      </c>
      <c r="E549" s="27" t="s">
        <v>13</v>
      </c>
      <c r="F549" s="27" t="s">
        <v>690</v>
      </c>
      <c r="G549" s="27" t="str">
        <f>_xlfn.CONCAT(inicioTerminales[[#This Row],[MARCA CHASIS]]," - ", inicioTerminales[[#This Row],[TIPO BUS]])</f>
        <v>YUTONG - BE</v>
      </c>
      <c r="H549" s="27" t="s">
        <v>674</v>
      </c>
      <c r="I549" s="52">
        <v>45024</v>
      </c>
      <c r="J549" s="27" t="s">
        <v>830</v>
      </c>
      <c r="K549" s="27" t="s">
        <v>840</v>
      </c>
      <c r="L549" s="27" t="s">
        <v>853</v>
      </c>
      <c r="M549" s="27" t="s">
        <v>674</v>
      </c>
      <c r="N549" s="27" t="str">
        <f>inicioTerminales[[#This Row],[TIPO BUS]]&amp;"-"&amp;inicioTerminales[[#This Row],[MARCA CHASIS]]</f>
        <v>BE-YUTONG</v>
      </c>
    </row>
    <row r="550" spans="1:14">
      <c r="A550" s="27" t="s">
        <v>421</v>
      </c>
      <c r="B550" s="27" t="s">
        <v>709</v>
      </c>
      <c r="C550" s="27">
        <v>7004</v>
      </c>
      <c r="D550" s="27" t="s">
        <v>147</v>
      </c>
      <c r="E550" s="27" t="s">
        <v>13</v>
      </c>
      <c r="F550" s="27" t="s">
        <v>690</v>
      </c>
      <c r="G550" s="27" t="str">
        <f>_xlfn.CONCAT(inicioTerminales[[#This Row],[MARCA CHASIS]]," - ", inicioTerminales[[#This Row],[TIPO BUS]])</f>
        <v>YUTONG - BE</v>
      </c>
      <c r="H550" s="27" t="s">
        <v>674</v>
      </c>
      <c r="I550" s="52">
        <v>45024</v>
      </c>
      <c r="J550" s="27" t="s">
        <v>830</v>
      </c>
      <c r="K550" s="27" t="s">
        <v>840</v>
      </c>
      <c r="L550" s="27" t="s">
        <v>853</v>
      </c>
      <c r="M550" s="27" t="s">
        <v>674</v>
      </c>
      <c r="N550" s="27" t="str">
        <f>inicioTerminales[[#This Row],[TIPO BUS]]&amp;"-"&amp;inicioTerminales[[#This Row],[MARCA CHASIS]]</f>
        <v>BE-YUTONG</v>
      </c>
    </row>
    <row r="551" spans="1:14">
      <c r="A551" s="27" t="s">
        <v>421</v>
      </c>
      <c r="B551" s="27" t="s">
        <v>710</v>
      </c>
      <c r="C551" s="27">
        <v>7005</v>
      </c>
      <c r="D551" s="27" t="s">
        <v>147</v>
      </c>
      <c r="E551" s="27" t="s">
        <v>13</v>
      </c>
      <c r="F551" s="27" t="s">
        <v>690</v>
      </c>
      <c r="G551" s="27" t="str">
        <f>_xlfn.CONCAT(inicioTerminales[[#This Row],[MARCA CHASIS]]," - ", inicioTerminales[[#This Row],[TIPO BUS]])</f>
        <v>YUTONG - BE</v>
      </c>
      <c r="H551" s="27" t="s">
        <v>674</v>
      </c>
      <c r="I551" s="52">
        <v>45024</v>
      </c>
      <c r="J551" s="27" t="s">
        <v>830</v>
      </c>
      <c r="K551" s="27" t="s">
        <v>840</v>
      </c>
      <c r="L551" s="27" t="s">
        <v>853</v>
      </c>
      <c r="M551" s="27" t="s">
        <v>674</v>
      </c>
      <c r="N551" s="27" t="str">
        <f>inicioTerminales[[#This Row],[TIPO BUS]]&amp;"-"&amp;inicioTerminales[[#This Row],[MARCA CHASIS]]</f>
        <v>BE-YUTONG</v>
      </c>
    </row>
    <row r="552" spans="1:14">
      <c r="A552" s="27" t="s">
        <v>421</v>
      </c>
      <c r="B552" s="27" t="s">
        <v>711</v>
      </c>
      <c r="C552" s="27">
        <v>7006</v>
      </c>
      <c r="D552" s="27" t="s">
        <v>147</v>
      </c>
      <c r="E552" s="27" t="s">
        <v>13</v>
      </c>
      <c r="F552" s="27" t="s">
        <v>690</v>
      </c>
      <c r="G552" s="27" t="str">
        <f>_xlfn.CONCAT(inicioTerminales[[#This Row],[MARCA CHASIS]]," - ", inicioTerminales[[#This Row],[TIPO BUS]])</f>
        <v>YUTONG - BE</v>
      </c>
      <c r="H552" s="27" t="s">
        <v>674</v>
      </c>
      <c r="I552" s="52">
        <v>45024</v>
      </c>
      <c r="J552" s="27" t="s">
        <v>830</v>
      </c>
      <c r="K552" s="27" t="s">
        <v>840</v>
      </c>
      <c r="L552" s="27" t="s">
        <v>853</v>
      </c>
      <c r="M552" s="27" t="s">
        <v>674</v>
      </c>
      <c r="N552" s="27" t="str">
        <f>inicioTerminales[[#This Row],[TIPO BUS]]&amp;"-"&amp;inicioTerminales[[#This Row],[MARCA CHASIS]]</f>
        <v>BE-YUTONG</v>
      </c>
    </row>
    <row r="553" spans="1:14">
      <c r="A553" s="27" t="s">
        <v>421</v>
      </c>
      <c r="B553" s="27" t="s">
        <v>712</v>
      </c>
      <c r="C553" s="27">
        <v>7007</v>
      </c>
      <c r="D553" s="27" t="s">
        <v>147</v>
      </c>
      <c r="E553" s="27" t="s">
        <v>13</v>
      </c>
      <c r="F553" s="27" t="s">
        <v>690</v>
      </c>
      <c r="G553" s="27" t="str">
        <f>_xlfn.CONCAT(inicioTerminales[[#This Row],[MARCA CHASIS]]," - ", inicioTerminales[[#This Row],[TIPO BUS]])</f>
        <v>YUTONG - BE</v>
      </c>
      <c r="H553" s="27" t="s">
        <v>674</v>
      </c>
      <c r="I553" s="52">
        <v>45024</v>
      </c>
      <c r="J553" s="27" t="s">
        <v>830</v>
      </c>
      <c r="K553" s="27" t="s">
        <v>840</v>
      </c>
      <c r="L553" s="27" t="s">
        <v>853</v>
      </c>
      <c r="M553" s="27" t="s">
        <v>674</v>
      </c>
      <c r="N553" s="27" t="str">
        <f>inicioTerminales[[#This Row],[TIPO BUS]]&amp;"-"&amp;inicioTerminales[[#This Row],[MARCA CHASIS]]</f>
        <v>BE-YUTONG</v>
      </c>
    </row>
    <row r="554" spans="1:14">
      <c r="A554" s="27" t="s">
        <v>421</v>
      </c>
      <c r="B554" s="27" t="s">
        <v>713</v>
      </c>
      <c r="C554" s="27">
        <v>7008</v>
      </c>
      <c r="D554" s="27" t="s">
        <v>147</v>
      </c>
      <c r="E554" s="27" t="s">
        <v>13</v>
      </c>
      <c r="F554" s="27" t="s">
        <v>690</v>
      </c>
      <c r="G554" s="27" t="str">
        <f>_xlfn.CONCAT(inicioTerminales[[#This Row],[MARCA CHASIS]]," - ", inicioTerminales[[#This Row],[TIPO BUS]])</f>
        <v>YUTONG - BE</v>
      </c>
      <c r="H554" s="27" t="s">
        <v>674</v>
      </c>
      <c r="I554" s="52">
        <v>45024</v>
      </c>
      <c r="J554" s="27" t="s">
        <v>830</v>
      </c>
      <c r="K554" s="27" t="s">
        <v>840</v>
      </c>
      <c r="L554" s="27" t="s">
        <v>853</v>
      </c>
      <c r="M554" s="27" t="s">
        <v>674</v>
      </c>
      <c r="N554" s="27" t="str">
        <f>inicioTerminales[[#This Row],[TIPO BUS]]&amp;"-"&amp;inicioTerminales[[#This Row],[MARCA CHASIS]]</f>
        <v>BE-YUTONG</v>
      </c>
    </row>
    <row r="555" spans="1:14">
      <c r="A555" s="27" t="s">
        <v>421</v>
      </c>
      <c r="B555" s="27" t="s">
        <v>714</v>
      </c>
      <c r="C555" s="27">
        <v>7009</v>
      </c>
      <c r="D555" s="27" t="s">
        <v>147</v>
      </c>
      <c r="E555" s="27" t="s">
        <v>13</v>
      </c>
      <c r="F555" s="27" t="s">
        <v>690</v>
      </c>
      <c r="G555" s="27" t="str">
        <f>_xlfn.CONCAT(inicioTerminales[[#This Row],[MARCA CHASIS]]," - ", inicioTerminales[[#This Row],[TIPO BUS]])</f>
        <v>YUTONG - BE</v>
      </c>
      <c r="H555" s="27" t="s">
        <v>674</v>
      </c>
      <c r="I555" s="52">
        <v>45024</v>
      </c>
      <c r="J555" s="27" t="s">
        <v>830</v>
      </c>
      <c r="K555" s="27" t="s">
        <v>840</v>
      </c>
      <c r="L555" s="27" t="s">
        <v>853</v>
      </c>
      <c r="M555" s="27" t="s">
        <v>674</v>
      </c>
      <c r="N555" s="27" t="str">
        <f>inicioTerminales[[#This Row],[TIPO BUS]]&amp;"-"&amp;inicioTerminales[[#This Row],[MARCA CHASIS]]</f>
        <v>BE-YUTONG</v>
      </c>
    </row>
    <row r="556" spans="1:14">
      <c r="A556" s="27" t="s">
        <v>421</v>
      </c>
      <c r="B556" s="27" t="s">
        <v>715</v>
      </c>
      <c r="C556" s="27">
        <v>7010</v>
      </c>
      <c r="D556" s="27" t="s">
        <v>147</v>
      </c>
      <c r="E556" s="27" t="s">
        <v>13</v>
      </c>
      <c r="F556" s="27" t="s">
        <v>690</v>
      </c>
      <c r="G556" s="27" t="str">
        <f>_xlfn.CONCAT(inicioTerminales[[#This Row],[MARCA CHASIS]]," - ", inicioTerminales[[#This Row],[TIPO BUS]])</f>
        <v>YUTONG - BE</v>
      </c>
      <c r="H556" s="27" t="s">
        <v>674</v>
      </c>
      <c r="I556" s="52">
        <v>45024</v>
      </c>
      <c r="J556" s="27" t="s">
        <v>830</v>
      </c>
      <c r="K556" s="27" t="s">
        <v>840</v>
      </c>
      <c r="L556" s="27" t="s">
        <v>853</v>
      </c>
      <c r="M556" s="27" t="s">
        <v>674</v>
      </c>
      <c r="N556" s="27" t="str">
        <f>inicioTerminales[[#This Row],[TIPO BUS]]&amp;"-"&amp;inicioTerminales[[#This Row],[MARCA CHASIS]]</f>
        <v>BE-YUTONG</v>
      </c>
    </row>
    <row r="557" spans="1:14">
      <c r="A557" s="27" t="s">
        <v>421</v>
      </c>
      <c r="B557" s="27" t="s">
        <v>716</v>
      </c>
      <c r="C557" s="27">
        <v>7011</v>
      </c>
      <c r="D557" s="27" t="s">
        <v>147</v>
      </c>
      <c r="E557" s="27" t="s">
        <v>13</v>
      </c>
      <c r="F557" s="27" t="s">
        <v>690</v>
      </c>
      <c r="G557" s="27" t="str">
        <f>_xlfn.CONCAT(inicioTerminales[[#This Row],[MARCA CHASIS]]," - ", inicioTerminales[[#This Row],[TIPO BUS]])</f>
        <v>YUTONG - BE</v>
      </c>
      <c r="H557" s="27" t="s">
        <v>674</v>
      </c>
      <c r="I557" s="52">
        <v>45024</v>
      </c>
      <c r="J557" s="27" t="s">
        <v>830</v>
      </c>
      <c r="K557" s="27" t="s">
        <v>840</v>
      </c>
      <c r="L557" s="27" t="s">
        <v>853</v>
      </c>
      <c r="M557" s="27" t="s">
        <v>674</v>
      </c>
      <c r="N557" s="27" t="str">
        <f>inicioTerminales[[#This Row],[TIPO BUS]]&amp;"-"&amp;inicioTerminales[[#This Row],[MARCA CHASIS]]</f>
        <v>BE-YUTONG</v>
      </c>
    </row>
    <row r="558" spans="1:14">
      <c r="A558" s="27" t="s">
        <v>421</v>
      </c>
      <c r="B558" s="27" t="s">
        <v>717</v>
      </c>
      <c r="C558" s="27">
        <v>7012</v>
      </c>
      <c r="D558" s="27" t="s">
        <v>147</v>
      </c>
      <c r="E558" s="27" t="s">
        <v>13</v>
      </c>
      <c r="F558" s="27" t="s">
        <v>690</v>
      </c>
      <c r="G558" s="27" t="str">
        <f>_xlfn.CONCAT(inicioTerminales[[#This Row],[MARCA CHASIS]]," - ", inicioTerminales[[#This Row],[TIPO BUS]])</f>
        <v>YUTONG - BE</v>
      </c>
      <c r="H558" s="27" t="s">
        <v>674</v>
      </c>
      <c r="I558" s="52">
        <v>45024</v>
      </c>
      <c r="J558" s="27" t="s">
        <v>830</v>
      </c>
      <c r="K558" s="27" t="s">
        <v>840</v>
      </c>
      <c r="L558" s="27" t="s">
        <v>853</v>
      </c>
      <c r="M558" s="27" t="s">
        <v>674</v>
      </c>
      <c r="N558" s="27" t="str">
        <f>inicioTerminales[[#This Row],[TIPO BUS]]&amp;"-"&amp;inicioTerminales[[#This Row],[MARCA CHASIS]]</f>
        <v>BE-YUTONG</v>
      </c>
    </row>
    <row r="559" spans="1:14">
      <c r="A559" s="27" t="s">
        <v>421</v>
      </c>
      <c r="B559" s="27" t="s">
        <v>718</v>
      </c>
      <c r="C559" s="27">
        <v>7013</v>
      </c>
      <c r="D559" s="27" t="s">
        <v>147</v>
      </c>
      <c r="E559" s="27" t="s">
        <v>13</v>
      </c>
      <c r="F559" s="27" t="s">
        <v>690</v>
      </c>
      <c r="G559" s="27" t="str">
        <f>_xlfn.CONCAT(inicioTerminales[[#This Row],[MARCA CHASIS]]," - ", inicioTerminales[[#This Row],[TIPO BUS]])</f>
        <v>YUTONG - BE</v>
      </c>
      <c r="H559" s="27" t="s">
        <v>674</v>
      </c>
      <c r="I559" s="52">
        <v>45024</v>
      </c>
      <c r="J559" s="27" t="s">
        <v>830</v>
      </c>
      <c r="K559" s="27" t="s">
        <v>840</v>
      </c>
      <c r="L559" s="27" t="s">
        <v>853</v>
      </c>
      <c r="M559" s="27" t="s">
        <v>674</v>
      </c>
      <c r="N559" s="27" t="str">
        <f>inicioTerminales[[#This Row],[TIPO BUS]]&amp;"-"&amp;inicioTerminales[[#This Row],[MARCA CHASIS]]</f>
        <v>BE-YUTONG</v>
      </c>
    </row>
    <row r="560" spans="1:14">
      <c r="A560" s="27" t="s">
        <v>421</v>
      </c>
      <c r="B560" s="27" t="s">
        <v>719</v>
      </c>
      <c r="C560" s="27">
        <v>7014</v>
      </c>
      <c r="D560" s="27" t="s">
        <v>147</v>
      </c>
      <c r="E560" s="27" t="s">
        <v>13</v>
      </c>
      <c r="F560" s="27" t="s">
        <v>690</v>
      </c>
      <c r="G560" s="27" t="str">
        <f>_xlfn.CONCAT(inicioTerminales[[#This Row],[MARCA CHASIS]]," - ", inicioTerminales[[#This Row],[TIPO BUS]])</f>
        <v>YUTONG - BE</v>
      </c>
      <c r="H560" s="27" t="s">
        <v>674</v>
      </c>
      <c r="I560" s="52">
        <v>45024</v>
      </c>
      <c r="J560" s="27" t="s">
        <v>830</v>
      </c>
      <c r="K560" s="27" t="s">
        <v>840</v>
      </c>
      <c r="L560" s="27" t="s">
        <v>853</v>
      </c>
      <c r="M560" s="27" t="s">
        <v>674</v>
      </c>
      <c r="N560" s="27" t="str">
        <f>inicioTerminales[[#This Row],[TIPO BUS]]&amp;"-"&amp;inicioTerminales[[#This Row],[MARCA CHASIS]]</f>
        <v>BE-YUTONG</v>
      </c>
    </row>
    <row r="561" spans="1:14">
      <c r="A561" s="27" t="s">
        <v>421</v>
      </c>
      <c r="B561" s="27" t="s">
        <v>720</v>
      </c>
      <c r="C561" s="27">
        <v>7015</v>
      </c>
      <c r="D561" s="27" t="s">
        <v>147</v>
      </c>
      <c r="E561" s="27" t="s">
        <v>13</v>
      </c>
      <c r="F561" s="27" t="s">
        <v>690</v>
      </c>
      <c r="G561" s="27" t="str">
        <f>_xlfn.CONCAT(inicioTerminales[[#This Row],[MARCA CHASIS]]," - ", inicioTerminales[[#This Row],[TIPO BUS]])</f>
        <v>YUTONG - BE</v>
      </c>
      <c r="H561" s="27" t="s">
        <v>674</v>
      </c>
      <c r="I561" s="52">
        <v>45024</v>
      </c>
      <c r="J561" s="27" t="s">
        <v>830</v>
      </c>
      <c r="K561" s="27" t="s">
        <v>840</v>
      </c>
      <c r="L561" s="27" t="s">
        <v>853</v>
      </c>
      <c r="M561" s="27" t="s">
        <v>674</v>
      </c>
      <c r="N561" s="27" t="str">
        <f>inicioTerminales[[#This Row],[TIPO BUS]]&amp;"-"&amp;inicioTerminales[[#This Row],[MARCA CHASIS]]</f>
        <v>BE-YUTONG</v>
      </c>
    </row>
    <row r="562" spans="1:14">
      <c r="A562" s="27" t="s">
        <v>421</v>
      </c>
      <c r="B562" s="27" t="s">
        <v>721</v>
      </c>
      <c r="C562" s="27">
        <v>7016</v>
      </c>
      <c r="D562" s="27" t="s">
        <v>147</v>
      </c>
      <c r="E562" s="27" t="s">
        <v>13</v>
      </c>
      <c r="F562" s="27" t="s">
        <v>690</v>
      </c>
      <c r="G562" s="27" t="str">
        <f>_xlfn.CONCAT(inicioTerminales[[#This Row],[MARCA CHASIS]]," - ", inicioTerminales[[#This Row],[TIPO BUS]])</f>
        <v>YUTONG - BE</v>
      </c>
      <c r="H562" s="27" t="s">
        <v>674</v>
      </c>
      <c r="I562" s="52">
        <v>45024</v>
      </c>
      <c r="J562" s="27" t="s">
        <v>830</v>
      </c>
      <c r="K562" s="27" t="s">
        <v>840</v>
      </c>
      <c r="L562" s="27" t="s">
        <v>853</v>
      </c>
      <c r="M562" s="27" t="s">
        <v>674</v>
      </c>
      <c r="N562" s="27" t="str">
        <f>inicioTerminales[[#This Row],[TIPO BUS]]&amp;"-"&amp;inicioTerminales[[#This Row],[MARCA CHASIS]]</f>
        <v>BE-YUTONG</v>
      </c>
    </row>
    <row r="563" spans="1:14">
      <c r="A563" s="27" t="s">
        <v>421</v>
      </c>
      <c r="B563" s="27" t="s">
        <v>722</v>
      </c>
      <c r="C563" s="27">
        <v>7017</v>
      </c>
      <c r="D563" s="27" t="s">
        <v>147</v>
      </c>
      <c r="E563" s="27" t="s">
        <v>13</v>
      </c>
      <c r="F563" s="27" t="s">
        <v>690</v>
      </c>
      <c r="G563" s="27" t="str">
        <f>_xlfn.CONCAT(inicioTerminales[[#This Row],[MARCA CHASIS]]," - ", inicioTerminales[[#This Row],[TIPO BUS]])</f>
        <v>YUTONG - BE</v>
      </c>
      <c r="H563" s="27" t="s">
        <v>674</v>
      </c>
      <c r="I563" s="52">
        <v>45024</v>
      </c>
      <c r="J563" s="27" t="s">
        <v>830</v>
      </c>
      <c r="K563" s="27" t="s">
        <v>840</v>
      </c>
      <c r="L563" s="27" t="s">
        <v>853</v>
      </c>
      <c r="M563" s="27" t="s">
        <v>674</v>
      </c>
      <c r="N563" s="27" t="str">
        <f>inicioTerminales[[#This Row],[TIPO BUS]]&amp;"-"&amp;inicioTerminales[[#This Row],[MARCA CHASIS]]</f>
        <v>BE-YUTONG</v>
      </c>
    </row>
    <row r="564" spans="1:14">
      <c r="A564" s="27" t="s">
        <v>421</v>
      </c>
      <c r="B564" s="27" t="s">
        <v>723</v>
      </c>
      <c r="C564" s="27">
        <v>7018</v>
      </c>
      <c r="D564" s="27" t="s">
        <v>147</v>
      </c>
      <c r="E564" s="27" t="s">
        <v>13</v>
      </c>
      <c r="F564" s="27" t="s">
        <v>690</v>
      </c>
      <c r="G564" s="27" t="str">
        <f>_xlfn.CONCAT(inicioTerminales[[#This Row],[MARCA CHASIS]]," - ", inicioTerminales[[#This Row],[TIPO BUS]])</f>
        <v>YUTONG - BE</v>
      </c>
      <c r="H564" s="27" t="s">
        <v>674</v>
      </c>
      <c r="I564" s="52">
        <v>45024</v>
      </c>
      <c r="J564" s="27" t="s">
        <v>830</v>
      </c>
      <c r="K564" s="27" t="s">
        <v>840</v>
      </c>
      <c r="L564" s="27" t="s">
        <v>853</v>
      </c>
      <c r="M564" s="27" t="s">
        <v>674</v>
      </c>
      <c r="N564" s="27" t="str">
        <f>inicioTerminales[[#This Row],[TIPO BUS]]&amp;"-"&amp;inicioTerminales[[#This Row],[MARCA CHASIS]]</f>
        <v>BE-YUTONG</v>
      </c>
    </row>
    <row r="565" spans="1:14">
      <c r="A565" s="27" t="s">
        <v>421</v>
      </c>
      <c r="B565" s="27" t="s">
        <v>724</v>
      </c>
      <c r="C565" s="27">
        <v>7019</v>
      </c>
      <c r="D565" s="27" t="s">
        <v>147</v>
      </c>
      <c r="E565" s="27" t="s">
        <v>13</v>
      </c>
      <c r="F565" s="27" t="s">
        <v>690</v>
      </c>
      <c r="G565" s="27" t="str">
        <f>_xlfn.CONCAT(inicioTerminales[[#This Row],[MARCA CHASIS]]," - ", inicioTerminales[[#This Row],[TIPO BUS]])</f>
        <v>YUTONG - BE</v>
      </c>
      <c r="H565" s="27" t="s">
        <v>674</v>
      </c>
      <c r="I565" s="52">
        <v>45024</v>
      </c>
      <c r="J565" s="27" t="s">
        <v>830</v>
      </c>
      <c r="K565" s="27" t="s">
        <v>840</v>
      </c>
      <c r="L565" s="27" t="s">
        <v>853</v>
      </c>
      <c r="M565" s="27" t="s">
        <v>674</v>
      </c>
      <c r="N565" s="27" t="str">
        <f>inicioTerminales[[#This Row],[TIPO BUS]]&amp;"-"&amp;inicioTerminales[[#This Row],[MARCA CHASIS]]</f>
        <v>BE-YUTONG</v>
      </c>
    </row>
    <row r="566" spans="1:14">
      <c r="A566" s="27" t="s">
        <v>421</v>
      </c>
      <c r="B566" s="27" t="s">
        <v>725</v>
      </c>
      <c r="C566" s="27">
        <v>7020</v>
      </c>
      <c r="D566" s="27" t="s">
        <v>147</v>
      </c>
      <c r="E566" s="27" t="s">
        <v>13</v>
      </c>
      <c r="F566" s="27" t="s">
        <v>690</v>
      </c>
      <c r="G566" s="27" t="str">
        <f>_xlfn.CONCAT(inicioTerminales[[#This Row],[MARCA CHASIS]]," - ", inicioTerminales[[#This Row],[TIPO BUS]])</f>
        <v>YUTONG - BE</v>
      </c>
      <c r="H566" s="27" t="s">
        <v>674</v>
      </c>
      <c r="I566" s="52">
        <v>45024</v>
      </c>
      <c r="J566" s="27" t="s">
        <v>830</v>
      </c>
      <c r="K566" s="27" t="s">
        <v>840</v>
      </c>
      <c r="L566" s="27" t="s">
        <v>853</v>
      </c>
      <c r="M566" s="27" t="s">
        <v>674</v>
      </c>
      <c r="N566" s="27" t="str">
        <f>inicioTerminales[[#This Row],[TIPO BUS]]&amp;"-"&amp;inicioTerminales[[#This Row],[MARCA CHASIS]]</f>
        <v>BE-YUTONG</v>
      </c>
    </row>
    <row r="567" spans="1:14">
      <c r="A567" s="27" t="s">
        <v>421</v>
      </c>
      <c r="B567" s="27" t="s">
        <v>726</v>
      </c>
      <c r="C567" s="27">
        <v>7021</v>
      </c>
      <c r="D567" s="27" t="s">
        <v>147</v>
      </c>
      <c r="E567" s="27" t="s">
        <v>13</v>
      </c>
      <c r="F567" s="27" t="s">
        <v>690</v>
      </c>
      <c r="G567" s="27" t="str">
        <f>_xlfn.CONCAT(inicioTerminales[[#This Row],[MARCA CHASIS]]," - ", inicioTerminales[[#This Row],[TIPO BUS]])</f>
        <v>YUTONG - BE</v>
      </c>
      <c r="H567" s="27" t="s">
        <v>674</v>
      </c>
      <c r="I567" s="52">
        <v>45024</v>
      </c>
      <c r="J567" s="27" t="s">
        <v>830</v>
      </c>
      <c r="K567" s="27" t="s">
        <v>840</v>
      </c>
      <c r="L567" s="27" t="s">
        <v>853</v>
      </c>
      <c r="M567" s="27" t="s">
        <v>674</v>
      </c>
      <c r="N567" s="27" t="str">
        <f>inicioTerminales[[#This Row],[TIPO BUS]]&amp;"-"&amp;inicioTerminales[[#This Row],[MARCA CHASIS]]</f>
        <v>BE-YUTONG</v>
      </c>
    </row>
    <row r="568" spans="1:14">
      <c r="A568" s="27" t="s">
        <v>421</v>
      </c>
      <c r="B568" s="27" t="s">
        <v>727</v>
      </c>
      <c r="C568" s="27">
        <v>7022</v>
      </c>
      <c r="D568" s="27" t="s">
        <v>147</v>
      </c>
      <c r="E568" s="27" t="s">
        <v>13</v>
      </c>
      <c r="F568" s="27" t="s">
        <v>690</v>
      </c>
      <c r="G568" s="27" t="str">
        <f>_xlfn.CONCAT(inicioTerminales[[#This Row],[MARCA CHASIS]]," - ", inicioTerminales[[#This Row],[TIPO BUS]])</f>
        <v>YUTONG - BE</v>
      </c>
      <c r="H568" s="27" t="s">
        <v>674</v>
      </c>
      <c r="I568" s="52">
        <v>45024</v>
      </c>
      <c r="J568" s="27" t="s">
        <v>830</v>
      </c>
      <c r="K568" s="27" t="s">
        <v>840</v>
      </c>
      <c r="L568" s="27" t="s">
        <v>853</v>
      </c>
      <c r="M568" s="27" t="s">
        <v>674</v>
      </c>
      <c r="N568" s="27" t="str">
        <f>inicioTerminales[[#This Row],[TIPO BUS]]&amp;"-"&amp;inicioTerminales[[#This Row],[MARCA CHASIS]]</f>
        <v>BE-YUTONG</v>
      </c>
    </row>
    <row r="569" spans="1:14">
      <c r="A569" s="27" t="s">
        <v>421</v>
      </c>
      <c r="B569" s="27" t="s">
        <v>728</v>
      </c>
      <c r="C569" s="27">
        <v>7023</v>
      </c>
      <c r="D569" s="27" t="s">
        <v>147</v>
      </c>
      <c r="E569" s="27" t="s">
        <v>13</v>
      </c>
      <c r="F569" s="27" t="s">
        <v>690</v>
      </c>
      <c r="G569" s="27" t="str">
        <f>_xlfn.CONCAT(inicioTerminales[[#This Row],[MARCA CHASIS]]," - ", inicioTerminales[[#This Row],[TIPO BUS]])</f>
        <v>YUTONG - BE</v>
      </c>
      <c r="H569" s="27" t="s">
        <v>674</v>
      </c>
      <c r="I569" s="52">
        <v>45024</v>
      </c>
      <c r="J569" s="27" t="s">
        <v>830</v>
      </c>
      <c r="K569" s="27" t="s">
        <v>840</v>
      </c>
      <c r="L569" s="27" t="s">
        <v>853</v>
      </c>
      <c r="M569" s="27" t="s">
        <v>674</v>
      </c>
      <c r="N569" s="27" t="str">
        <f>inicioTerminales[[#This Row],[TIPO BUS]]&amp;"-"&amp;inicioTerminales[[#This Row],[MARCA CHASIS]]</f>
        <v>BE-YUTONG</v>
      </c>
    </row>
    <row r="570" spans="1:14">
      <c r="A570" s="27" t="s">
        <v>421</v>
      </c>
      <c r="B570" s="27" t="s">
        <v>729</v>
      </c>
      <c r="C570" s="27">
        <v>7024</v>
      </c>
      <c r="D570" s="27" t="s">
        <v>147</v>
      </c>
      <c r="E570" s="27" t="s">
        <v>13</v>
      </c>
      <c r="F570" s="27" t="s">
        <v>690</v>
      </c>
      <c r="G570" s="27" t="str">
        <f>_xlfn.CONCAT(inicioTerminales[[#This Row],[MARCA CHASIS]]," - ", inicioTerminales[[#This Row],[TIPO BUS]])</f>
        <v>YUTONG - BE</v>
      </c>
      <c r="H570" s="27" t="s">
        <v>674</v>
      </c>
      <c r="I570" s="52">
        <v>45024</v>
      </c>
      <c r="J570" s="27" t="s">
        <v>830</v>
      </c>
      <c r="K570" s="27" t="s">
        <v>840</v>
      </c>
      <c r="L570" s="27" t="s">
        <v>853</v>
      </c>
      <c r="M570" s="27" t="s">
        <v>674</v>
      </c>
      <c r="N570" s="27" t="str">
        <f>inicioTerminales[[#This Row],[TIPO BUS]]&amp;"-"&amp;inicioTerminales[[#This Row],[MARCA CHASIS]]</f>
        <v>BE-YUTONG</v>
      </c>
    </row>
    <row r="571" spans="1:14">
      <c r="A571" s="27" t="s">
        <v>421</v>
      </c>
      <c r="B571" s="27" t="s">
        <v>771</v>
      </c>
      <c r="C571" s="27">
        <v>7156</v>
      </c>
      <c r="D571" s="27" t="s">
        <v>147</v>
      </c>
      <c r="E571" s="27" t="s">
        <v>13</v>
      </c>
      <c r="F571" s="27" t="s">
        <v>149</v>
      </c>
      <c r="G571" s="27" t="str">
        <f>_xlfn.CONCAT(inicioTerminales[[#This Row],[MARCA CHASIS]]," - ", inicioTerminales[[#This Row],[TIPO BUS]])</f>
        <v>FOTON - BE</v>
      </c>
      <c r="H571" s="27" t="s">
        <v>674</v>
      </c>
      <c r="I571" s="52">
        <v>45024</v>
      </c>
      <c r="J571" s="27" t="s">
        <v>1341</v>
      </c>
      <c r="K571" s="27" t="s">
        <v>840</v>
      </c>
      <c r="L571" s="27" t="s">
        <v>853</v>
      </c>
      <c r="M571" s="27" t="s">
        <v>674</v>
      </c>
      <c r="N571" s="27" t="str">
        <f>inicioTerminales[[#This Row],[TIPO BUS]]&amp;"-"&amp;inicioTerminales[[#This Row],[MARCA CHASIS]]</f>
        <v>BE-FOTON</v>
      </c>
    </row>
    <row r="572" spans="1:14">
      <c r="A572" s="27" t="s">
        <v>421</v>
      </c>
      <c r="B572" s="27" t="s">
        <v>772</v>
      </c>
      <c r="C572" s="27">
        <v>7157</v>
      </c>
      <c r="D572" s="27" t="s">
        <v>147</v>
      </c>
      <c r="E572" s="27" t="s">
        <v>13</v>
      </c>
      <c r="F572" s="27" t="s">
        <v>149</v>
      </c>
      <c r="G572" s="27" t="str">
        <f>_xlfn.CONCAT(inicioTerminales[[#This Row],[MARCA CHASIS]]," - ", inicioTerminales[[#This Row],[TIPO BUS]])</f>
        <v>FOTON - BE</v>
      </c>
      <c r="H572" s="27" t="s">
        <v>674</v>
      </c>
      <c r="I572" s="52">
        <v>45024</v>
      </c>
      <c r="J572" s="27" t="s">
        <v>1341</v>
      </c>
      <c r="K572" s="27" t="s">
        <v>840</v>
      </c>
      <c r="L572" s="27" t="s">
        <v>853</v>
      </c>
      <c r="M572" s="27" t="s">
        <v>674</v>
      </c>
      <c r="N572" s="27" t="str">
        <f>inicioTerminales[[#This Row],[TIPO BUS]]&amp;"-"&amp;inicioTerminales[[#This Row],[MARCA CHASIS]]</f>
        <v>BE-FOTON</v>
      </c>
    </row>
    <row r="573" spans="1:14">
      <c r="A573" s="27" t="s">
        <v>421</v>
      </c>
      <c r="B573" s="27" t="s">
        <v>773</v>
      </c>
      <c r="C573" s="27">
        <v>7158</v>
      </c>
      <c r="D573" s="27" t="s">
        <v>147</v>
      </c>
      <c r="E573" s="27" t="s">
        <v>13</v>
      </c>
      <c r="F573" s="27" t="s">
        <v>149</v>
      </c>
      <c r="G573" s="27" t="str">
        <f>_xlfn.CONCAT(inicioTerminales[[#This Row],[MARCA CHASIS]]," - ", inicioTerminales[[#This Row],[TIPO BUS]])</f>
        <v>FOTON - BE</v>
      </c>
      <c r="H573" s="27" t="s">
        <v>674</v>
      </c>
      <c r="I573" s="52">
        <v>45024</v>
      </c>
      <c r="J573" s="27" t="s">
        <v>1341</v>
      </c>
      <c r="K573" s="27" t="s">
        <v>840</v>
      </c>
      <c r="L573" s="27" t="s">
        <v>853</v>
      </c>
      <c r="M573" s="27" t="s">
        <v>674</v>
      </c>
      <c r="N573" s="27" t="str">
        <f>inicioTerminales[[#This Row],[TIPO BUS]]&amp;"-"&amp;inicioTerminales[[#This Row],[MARCA CHASIS]]</f>
        <v>BE-FOTON</v>
      </c>
    </row>
    <row r="574" spans="1:14">
      <c r="A574" s="27" t="s">
        <v>421</v>
      </c>
      <c r="B574" s="27" t="s">
        <v>774</v>
      </c>
      <c r="C574" s="27">
        <v>7159</v>
      </c>
      <c r="D574" s="27" t="s">
        <v>147</v>
      </c>
      <c r="E574" s="27" t="s">
        <v>13</v>
      </c>
      <c r="F574" s="27" t="s">
        <v>149</v>
      </c>
      <c r="G574" s="27" t="str">
        <f>_xlfn.CONCAT(inicioTerminales[[#This Row],[MARCA CHASIS]]," - ", inicioTerminales[[#This Row],[TIPO BUS]])</f>
        <v>FOTON - BE</v>
      </c>
      <c r="H574" s="27" t="s">
        <v>674</v>
      </c>
      <c r="I574" s="52">
        <v>45024</v>
      </c>
      <c r="J574" s="27" t="s">
        <v>1341</v>
      </c>
      <c r="K574" s="27" t="s">
        <v>840</v>
      </c>
      <c r="L574" s="27" t="s">
        <v>853</v>
      </c>
      <c r="M574" s="27" t="s">
        <v>674</v>
      </c>
      <c r="N574" s="27" t="str">
        <f>inicioTerminales[[#This Row],[TIPO BUS]]&amp;"-"&amp;inicioTerminales[[#This Row],[MARCA CHASIS]]</f>
        <v>BE-FOTON</v>
      </c>
    </row>
    <row r="575" spans="1:14">
      <c r="A575" s="27" t="s">
        <v>421</v>
      </c>
      <c r="B575" s="27" t="s">
        <v>775</v>
      </c>
      <c r="C575" s="27">
        <v>7160</v>
      </c>
      <c r="D575" s="27" t="s">
        <v>147</v>
      </c>
      <c r="E575" s="27" t="s">
        <v>13</v>
      </c>
      <c r="F575" s="27" t="s">
        <v>149</v>
      </c>
      <c r="G575" s="27" t="str">
        <f>_xlfn.CONCAT(inicioTerminales[[#This Row],[MARCA CHASIS]]," - ", inicioTerminales[[#This Row],[TIPO BUS]])</f>
        <v>FOTON - BE</v>
      </c>
      <c r="H575" s="27" t="s">
        <v>674</v>
      </c>
      <c r="I575" s="52">
        <v>45024</v>
      </c>
      <c r="J575" s="27" t="s">
        <v>1341</v>
      </c>
      <c r="K575" s="27" t="s">
        <v>840</v>
      </c>
      <c r="L575" s="27" t="s">
        <v>853</v>
      </c>
      <c r="M575" s="27" t="s">
        <v>674</v>
      </c>
      <c r="N575" s="27" t="str">
        <f>inicioTerminales[[#This Row],[TIPO BUS]]&amp;"-"&amp;inicioTerminales[[#This Row],[MARCA CHASIS]]</f>
        <v>BE-FOTON</v>
      </c>
    </row>
    <row r="576" spans="1:14">
      <c r="A576" s="27" t="s">
        <v>421</v>
      </c>
      <c r="B576" s="27" t="s">
        <v>776</v>
      </c>
      <c r="C576" s="27">
        <v>7161</v>
      </c>
      <c r="D576" s="27" t="s">
        <v>147</v>
      </c>
      <c r="E576" s="27" t="s">
        <v>13</v>
      </c>
      <c r="F576" s="27" t="s">
        <v>149</v>
      </c>
      <c r="G576" s="27" t="str">
        <f>_xlfn.CONCAT(inicioTerminales[[#This Row],[MARCA CHASIS]]," - ", inicioTerminales[[#This Row],[TIPO BUS]])</f>
        <v>FOTON - BE</v>
      </c>
      <c r="H576" s="27" t="s">
        <v>674</v>
      </c>
      <c r="I576" s="52">
        <v>45024</v>
      </c>
      <c r="J576" s="27" t="s">
        <v>1341</v>
      </c>
      <c r="K576" s="27" t="s">
        <v>840</v>
      </c>
      <c r="L576" s="27" t="s">
        <v>853</v>
      </c>
      <c r="M576" s="27" t="s">
        <v>674</v>
      </c>
      <c r="N576" s="27" t="str">
        <f>inicioTerminales[[#This Row],[TIPO BUS]]&amp;"-"&amp;inicioTerminales[[#This Row],[MARCA CHASIS]]</f>
        <v>BE-FOTON</v>
      </c>
    </row>
    <row r="577" spans="1:14">
      <c r="A577" s="27" t="s">
        <v>421</v>
      </c>
      <c r="B577" s="27" t="s">
        <v>777</v>
      </c>
      <c r="C577" s="27">
        <v>7162</v>
      </c>
      <c r="D577" s="27" t="s">
        <v>147</v>
      </c>
      <c r="E577" s="27" t="s">
        <v>13</v>
      </c>
      <c r="F577" s="27" t="s">
        <v>149</v>
      </c>
      <c r="G577" s="27" t="str">
        <f>_xlfn.CONCAT(inicioTerminales[[#This Row],[MARCA CHASIS]]," - ", inicioTerminales[[#This Row],[TIPO BUS]])</f>
        <v>FOTON - BE</v>
      </c>
      <c r="H577" s="27" t="s">
        <v>674</v>
      </c>
      <c r="I577" s="52">
        <v>45024</v>
      </c>
      <c r="J577" s="27" t="s">
        <v>1341</v>
      </c>
      <c r="K577" s="27" t="s">
        <v>840</v>
      </c>
      <c r="L577" s="27" t="s">
        <v>853</v>
      </c>
      <c r="M577" s="27" t="s">
        <v>674</v>
      </c>
      <c r="N577" s="27" t="str">
        <f>inicioTerminales[[#This Row],[TIPO BUS]]&amp;"-"&amp;inicioTerminales[[#This Row],[MARCA CHASIS]]</f>
        <v>BE-FOTON</v>
      </c>
    </row>
    <row r="578" spans="1:14">
      <c r="A578" s="27" t="s">
        <v>421</v>
      </c>
      <c r="B578" s="27" t="s">
        <v>778</v>
      </c>
      <c r="C578" s="27">
        <v>7163</v>
      </c>
      <c r="D578" s="27" t="s">
        <v>147</v>
      </c>
      <c r="E578" s="27" t="s">
        <v>13</v>
      </c>
      <c r="F578" s="27" t="s">
        <v>149</v>
      </c>
      <c r="G578" s="27" t="str">
        <f>_xlfn.CONCAT(inicioTerminales[[#This Row],[MARCA CHASIS]]," - ", inicioTerminales[[#This Row],[TIPO BUS]])</f>
        <v>FOTON - BE</v>
      </c>
      <c r="H578" s="27" t="s">
        <v>674</v>
      </c>
      <c r="I578" s="52">
        <v>45024</v>
      </c>
      <c r="J578" s="27" t="s">
        <v>1341</v>
      </c>
      <c r="K578" s="27" t="s">
        <v>840</v>
      </c>
      <c r="L578" s="27" t="s">
        <v>853</v>
      </c>
      <c r="M578" s="27" t="s">
        <v>674</v>
      </c>
      <c r="N578" s="27" t="str">
        <f>inicioTerminales[[#This Row],[TIPO BUS]]&amp;"-"&amp;inicioTerminales[[#This Row],[MARCA CHASIS]]</f>
        <v>BE-FOTON</v>
      </c>
    </row>
    <row r="579" spans="1:14">
      <c r="A579" s="27" t="s">
        <v>421</v>
      </c>
      <c r="B579" s="27" t="s">
        <v>779</v>
      </c>
      <c r="C579" s="27">
        <v>7164</v>
      </c>
      <c r="D579" s="27" t="s">
        <v>147</v>
      </c>
      <c r="E579" s="27" t="s">
        <v>13</v>
      </c>
      <c r="F579" s="27" t="s">
        <v>149</v>
      </c>
      <c r="G579" s="27" t="str">
        <f>_xlfn.CONCAT(inicioTerminales[[#This Row],[MARCA CHASIS]]," - ", inicioTerminales[[#This Row],[TIPO BUS]])</f>
        <v>FOTON - BE</v>
      </c>
      <c r="H579" s="27" t="s">
        <v>674</v>
      </c>
      <c r="I579" s="52">
        <v>45024</v>
      </c>
      <c r="J579" s="27" t="s">
        <v>1341</v>
      </c>
      <c r="K579" s="27" t="s">
        <v>840</v>
      </c>
      <c r="L579" s="27" t="s">
        <v>853</v>
      </c>
      <c r="M579" s="27" t="s">
        <v>674</v>
      </c>
      <c r="N579" s="27" t="str">
        <f>inicioTerminales[[#This Row],[TIPO BUS]]&amp;"-"&amp;inicioTerminales[[#This Row],[MARCA CHASIS]]</f>
        <v>BE-FOTON</v>
      </c>
    </row>
    <row r="580" spans="1:14">
      <c r="A580" s="27" t="s">
        <v>421</v>
      </c>
      <c r="B580" s="27" t="s">
        <v>780</v>
      </c>
      <c r="C580" s="27">
        <v>7165</v>
      </c>
      <c r="D580" s="27" t="s">
        <v>147</v>
      </c>
      <c r="E580" s="27" t="s">
        <v>13</v>
      </c>
      <c r="F580" s="27" t="s">
        <v>149</v>
      </c>
      <c r="G580" s="27" t="str">
        <f>_xlfn.CONCAT(inicioTerminales[[#This Row],[MARCA CHASIS]]," - ", inicioTerminales[[#This Row],[TIPO BUS]])</f>
        <v>FOTON - BE</v>
      </c>
      <c r="H580" s="27" t="s">
        <v>674</v>
      </c>
      <c r="I580" s="52">
        <v>45024</v>
      </c>
      <c r="J580" s="27" t="s">
        <v>1341</v>
      </c>
      <c r="K580" s="27" t="s">
        <v>840</v>
      </c>
      <c r="L580" s="27" t="s">
        <v>853</v>
      </c>
      <c r="M580" s="27" t="s">
        <v>674</v>
      </c>
      <c r="N580" s="27" t="str">
        <f>inicioTerminales[[#This Row],[TIPO BUS]]&amp;"-"&amp;inicioTerminales[[#This Row],[MARCA CHASIS]]</f>
        <v>BE-FOTON</v>
      </c>
    </row>
    <row r="581" spans="1:14">
      <c r="A581" s="27" t="s">
        <v>421</v>
      </c>
      <c r="B581" s="27" t="s">
        <v>781</v>
      </c>
      <c r="C581" s="27">
        <v>7166</v>
      </c>
      <c r="D581" s="27" t="s">
        <v>147</v>
      </c>
      <c r="E581" s="27" t="s">
        <v>13</v>
      </c>
      <c r="F581" s="27" t="s">
        <v>149</v>
      </c>
      <c r="G581" s="27" t="str">
        <f>_xlfn.CONCAT(inicioTerminales[[#This Row],[MARCA CHASIS]]," - ", inicioTerminales[[#This Row],[TIPO BUS]])</f>
        <v>FOTON - BE</v>
      </c>
      <c r="H581" s="27" t="s">
        <v>674</v>
      </c>
      <c r="I581" s="52">
        <v>45024</v>
      </c>
      <c r="J581" s="27" t="s">
        <v>1341</v>
      </c>
      <c r="K581" s="27" t="s">
        <v>840</v>
      </c>
      <c r="L581" s="27" t="s">
        <v>853</v>
      </c>
      <c r="M581" s="27" t="s">
        <v>674</v>
      </c>
      <c r="N581" s="27" t="str">
        <f>inicioTerminales[[#This Row],[TIPO BUS]]&amp;"-"&amp;inicioTerminales[[#This Row],[MARCA CHASIS]]</f>
        <v>BE-FOTON</v>
      </c>
    </row>
    <row r="582" spans="1:14">
      <c r="A582" s="27" t="s">
        <v>421</v>
      </c>
      <c r="B582" s="27" t="s">
        <v>782</v>
      </c>
      <c r="C582" s="27">
        <v>7167</v>
      </c>
      <c r="D582" s="27" t="s">
        <v>147</v>
      </c>
      <c r="E582" s="27" t="s">
        <v>13</v>
      </c>
      <c r="F582" s="27" t="s">
        <v>149</v>
      </c>
      <c r="G582" s="27" t="str">
        <f>_xlfn.CONCAT(inicioTerminales[[#This Row],[MARCA CHASIS]]," - ", inicioTerminales[[#This Row],[TIPO BUS]])</f>
        <v>FOTON - BE</v>
      </c>
      <c r="H582" s="27" t="s">
        <v>674</v>
      </c>
      <c r="I582" s="52">
        <v>45024</v>
      </c>
      <c r="J582" s="27" t="s">
        <v>1341</v>
      </c>
      <c r="K582" s="27" t="s">
        <v>840</v>
      </c>
      <c r="L582" s="27" t="s">
        <v>853</v>
      </c>
      <c r="M582" s="27" t="s">
        <v>674</v>
      </c>
      <c r="N582" s="27" t="str">
        <f>inicioTerminales[[#This Row],[TIPO BUS]]&amp;"-"&amp;inicioTerminales[[#This Row],[MARCA CHASIS]]</f>
        <v>BE-FOTON</v>
      </c>
    </row>
    <row r="583" spans="1:14">
      <c r="A583" s="27" t="s">
        <v>421</v>
      </c>
      <c r="B583" s="27" t="s">
        <v>783</v>
      </c>
      <c r="C583" s="27">
        <v>7168</v>
      </c>
      <c r="D583" s="27" t="s">
        <v>147</v>
      </c>
      <c r="E583" s="27" t="s">
        <v>13</v>
      </c>
      <c r="F583" s="27" t="s">
        <v>149</v>
      </c>
      <c r="G583" s="27" t="str">
        <f>_xlfn.CONCAT(inicioTerminales[[#This Row],[MARCA CHASIS]]," - ", inicioTerminales[[#This Row],[TIPO BUS]])</f>
        <v>FOTON - BE</v>
      </c>
      <c r="H583" s="27" t="s">
        <v>674</v>
      </c>
      <c r="I583" s="52">
        <v>45024</v>
      </c>
      <c r="J583" s="27" t="s">
        <v>1341</v>
      </c>
      <c r="K583" s="27" t="s">
        <v>840</v>
      </c>
      <c r="L583" s="27" t="s">
        <v>853</v>
      </c>
      <c r="M583" s="27" t="s">
        <v>674</v>
      </c>
      <c r="N583" s="27" t="str">
        <f>inicioTerminales[[#This Row],[TIPO BUS]]&amp;"-"&amp;inicioTerminales[[#This Row],[MARCA CHASIS]]</f>
        <v>BE-FOTON</v>
      </c>
    </row>
    <row r="584" spans="1:14">
      <c r="A584" s="27" t="s">
        <v>421</v>
      </c>
      <c r="B584" s="27" t="s">
        <v>784</v>
      </c>
      <c r="C584" s="27">
        <v>7169</v>
      </c>
      <c r="D584" s="27" t="s">
        <v>147</v>
      </c>
      <c r="E584" s="27" t="s">
        <v>13</v>
      </c>
      <c r="F584" s="27" t="s">
        <v>149</v>
      </c>
      <c r="G584" s="27" t="str">
        <f>_xlfn.CONCAT(inicioTerminales[[#This Row],[MARCA CHASIS]]," - ", inicioTerminales[[#This Row],[TIPO BUS]])</f>
        <v>FOTON - BE</v>
      </c>
      <c r="H584" s="27" t="s">
        <v>674</v>
      </c>
      <c r="I584" s="52">
        <v>45024</v>
      </c>
      <c r="J584" s="27" t="s">
        <v>1341</v>
      </c>
      <c r="K584" s="27" t="s">
        <v>840</v>
      </c>
      <c r="L584" s="27" t="s">
        <v>853</v>
      </c>
      <c r="M584" s="27" t="s">
        <v>674</v>
      </c>
      <c r="N584" s="27" t="str">
        <f>inicioTerminales[[#This Row],[TIPO BUS]]&amp;"-"&amp;inicioTerminales[[#This Row],[MARCA CHASIS]]</f>
        <v>BE-FOTON</v>
      </c>
    </row>
    <row r="585" spans="1:14">
      <c r="A585" s="27" t="s">
        <v>421</v>
      </c>
      <c r="B585" s="27" t="s">
        <v>785</v>
      </c>
      <c r="C585" s="27">
        <v>7170</v>
      </c>
      <c r="D585" s="27" t="s">
        <v>147</v>
      </c>
      <c r="E585" s="27" t="s">
        <v>13</v>
      </c>
      <c r="F585" s="27" t="s">
        <v>149</v>
      </c>
      <c r="G585" s="27" t="str">
        <f>_xlfn.CONCAT(inicioTerminales[[#This Row],[MARCA CHASIS]]," - ", inicioTerminales[[#This Row],[TIPO BUS]])</f>
        <v>FOTON - BE</v>
      </c>
      <c r="H585" s="27" t="s">
        <v>674</v>
      </c>
      <c r="I585" s="52">
        <v>45024</v>
      </c>
      <c r="J585" s="27" t="s">
        <v>1341</v>
      </c>
      <c r="K585" s="27" t="s">
        <v>840</v>
      </c>
      <c r="L585" s="27" t="s">
        <v>853</v>
      </c>
      <c r="M585" s="27" t="s">
        <v>674</v>
      </c>
      <c r="N585" s="27" t="str">
        <f>inicioTerminales[[#This Row],[TIPO BUS]]&amp;"-"&amp;inicioTerminales[[#This Row],[MARCA CHASIS]]</f>
        <v>BE-FOTON</v>
      </c>
    </row>
    <row r="586" spans="1:14">
      <c r="A586" s="27" t="s">
        <v>421</v>
      </c>
      <c r="B586" s="27" t="s">
        <v>786</v>
      </c>
      <c r="C586" s="27">
        <v>7171</v>
      </c>
      <c r="D586" s="27" t="s">
        <v>147</v>
      </c>
      <c r="E586" s="27" t="s">
        <v>13</v>
      </c>
      <c r="F586" s="27" t="s">
        <v>149</v>
      </c>
      <c r="G586" s="27" t="str">
        <f>_xlfn.CONCAT(inicioTerminales[[#This Row],[MARCA CHASIS]]," - ", inicioTerminales[[#This Row],[TIPO BUS]])</f>
        <v>FOTON - BE</v>
      </c>
      <c r="H586" s="27" t="s">
        <v>674</v>
      </c>
      <c r="I586" s="52">
        <v>45024</v>
      </c>
      <c r="J586" s="27" t="s">
        <v>1341</v>
      </c>
      <c r="K586" s="27" t="s">
        <v>840</v>
      </c>
      <c r="L586" s="27" t="s">
        <v>853</v>
      </c>
      <c r="M586" s="27" t="s">
        <v>674</v>
      </c>
      <c r="N586" s="27" t="str">
        <f>inicioTerminales[[#This Row],[TIPO BUS]]&amp;"-"&amp;inicioTerminales[[#This Row],[MARCA CHASIS]]</f>
        <v>BE-FOTON</v>
      </c>
    </row>
    <row r="587" spans="1:14">
      <c r="A587" s="27" t="s">
        <v>421</v>
      </c>
      <c r="B587" s="27" t="s">
        <v>787</v>
      </c>
      <c r="C587" s="27">
        <v>7172</v>
      </c>
      <c r="D587" s="27" t="s">
        <v>147</v>
      </c>
      <c r="E587" s="27" t="s">
        <v>13</v>
      </c>
      <c r="F587" s="27" t="s">
        <v>149</v>
      </c>
      <c r="G587" s="27" t="str">
        <f>_xlfn.CONCAT(inicioTerminales[[#This Row],[MARCA CHASIS]]," - ", inicioTerminales[[#This Row],[TIPO BUS]])</f>
        <v>FOTON - BE</v>
      </c>
      <c r="H587" s="27" t="s">
        <v>674</v>
      </c>
      <c r="I587" s="52">
        <v>45024</v>
      </c>
      <c r="J587" s="27" t="s">
        <v>1341</v>
      </c>
      <c r="K587" s="27" t="s">
        <v>840</v>
      </c>
      <c r="L587" s="27" t="s">
        <v>853</v>
      </c>
      <c r="M587" s="27" t="s">
        <v>674</v>
      </c>
      <c r="N587" s="27" t="str">
        <f>inicioTerminales[[#This Row],[TIPO BUS]]&amp;"-"&amp;inicioTerminales[[#This Row],[MARCA CHASIS]]</f>
        <v>BE-FOTON</v>
      </c>
    </row>
    <row r="588" spans="1:14">
      <c r="A588" s="27" t="s">
        <v>421</v>
      </c>
      <c r="B588" s="27" t="s">
        <v>788</v>
      </c>
      <c r="C588" s="27">
        <v>7173</v>
      </c>
      <c r="D588" s="27" t="s">
        <v>147</v>
      </c>
      <c r="E588" s="27" t="s">
        <v>13</v>
      </c>
      <c r="F588" s="27" t="s">
        <v>149</v>
      </c>
      <c r="G588" s="27" t="str">
        <f>_xlfn.CONCAT(inicioTerminales[[#This Row],[MARCA CHASIS]]," - ", inicioTerminales[[#This Row],[TIPO BUS]])</f>
        <v>FOTON - BE</v>
      </c>
      <c r="H588" s="27" t="s">
        <v>674</v>
      </c>
      <c r="I588" s="52">
        <v>45024</v>
      </c>
      <c r="J588" s="27" t="s">
        <v>1341</v>
      </c>
      <c r="K588" s="27" t="s">
        <v>840</v>
      </c>
      <c r="L588" s="27" t="s">
        <v>853</v>
      </c>
      <c r="M588" s="27" t="s">
        <v>674</v>
      </c>
      <c r="N588" s="27" t="str">
        <f>inicioTerminales[[#This Row],[TIPO BUS]]&amp;"-"&amp;inicioTerminales[[#This Row],[MARCA CHASIS]]</f>
        <v>BE-FOTON</v>
      </c>
    </row>
    <row r="589" spans="1:14">
      <c r="A589" s="27" t="s">
        <v>421</v>
      </c>
      <c r="B589" s="27" t="s">
        <v>789</v>
      </c>
      <c r="C589" s="27">
        <v>7174</v>
      </c>
      <c r="D589" s="27" t="s">
        <v>147</v>
      </c>
      <c r="E589" s="27" t="s">
        <v>13</v>
      </c>
      <c r="F589" s="27" t="s">
        <v>149</v>
      </c>
      <c r="G589" s="27" t="str">
        <f>_xlfn.CONCAT(inicioTerminales[[#This Row],[MARCA CHASIS]]," - ", inicioTerminales[[#This Row],[TIPO BUS]])</f>
        <v>FOTON - BE</v>
      </c>
      <c r="H589" s="27" t="s">
        <v>674</v>
      </c>
      <c r="I589" s="52">
        <v>45024</v>
      </c>
      <c r="J589" s="27" t="s">
        <v>1341</v>
      </c>
      <c r="K589" s="27" t="s">
        <v>840</v>
      </c>
      <c r="L589" s="27" t="s">
        <v>853</v>
      </c>
      <c r="M589" s="27" t="s">
        <v>674</v>
      </c>
      <c r="N589" s="27" t="str">
        <f>inicioTerminales[[#This Row],[TIPO BUS]]&amp;"-"&amp;inicioTerminales[[#This Row],[MARCA CHASIS]]</f>
        <v>BE-FOTON</v>
      </c>
    </row>
    <row r="590" spans="1:14">
      <c r="A590" s="27" t="s">
        <v>421</v>
      </c>
      <c r="B590" s="27" t="s">
        <v>790</v>
      </c>
      <c r="C590" s="27">
        <v>7175</v>
      </c>
      <c r="D590" s="27" t="s">
        <v>147</v>
      </c>
      <c r="E590" s="27" t="s">
        <v>13</v>
      </c>
      <c r="F590" s="27" t="s">
        <v>149</v>
      </c>
      <c r="G590" s="27" t="str">
        <f>_xlfn.CONCAT(inicioTerminales[[#This Row],[MARCA CHASIS]]," - ", inicioTerminales[[#This Row],[TIPO BUS]])</f>
        <v>FOTON - BE</v>
      </c>
      <c r="H590" s="27" t="s">
        <v>674</v>
      </c>
      <c r="I590" s="52">
        <v>45024</v>
      </c>
      <c r="J590" s="27" t="s">
        <v>1341</v>
      </c>
      <c r="K590" s="27" t="s">
        <v>840</v>
      </c>
      <c r="L590" s="27" t="s">
        <v>853</v>
      </c>
      <c r="M590" s="27" t="s">
        <v>674</v>
      </c>
      <c r="N590" s="27" t="str">
        <f>inicioTerminales[[#This Row],[TIPO BUS]]&amp;"-"&amp;inicioTerminales[[#This Row],[MARCA CHASIS]]</f>
        <v>BE-FOTON</v>
      </c>
    </row>
    <row r="591" spans="1:14">
      <c r="A591" s="27" t="s">
        <v>421</v>
      </c>
      <c r="B591" s="27" t="s">
        <v>791</v>
      </c>
      <c r="C591" s="27">
        <v>7176</v>
      </c>
      <c r="D591" s="27" t="s">
        <v>147</v>
      </c>
      <c r="E591" s="27" t="s">
        <v>13</v>
      </c>
      <c r="F591" s="27" t="s">
        <v>149</v>
      </c>
      <c r="G591" s="27" t="str">
        <f>_xlfn.CONCAT(inicioTerminales[[#This Row],[MARCA CHASIS]]," - ", inicioTerminales[[#This Row],[TIPO BUS]])</f>
        <v>FOTON - BE</v>
      </c>
      <c r="H591" s="27" t="s">
        <v>674</v>
      </c>
      <c r="I591" s="52">
        <v>45024</v>
      </c>
      <c r="J591" s="27" t="s">
        <v>1341</v>
      </c>
      <c r="K591" s="27" t="s">
        <v>840</v>
      </c>
      <c r="L591" s="27" t="s">
        <v>853</v>
      </c>
      <c r="M591" s="27" t="s">
        <v>674</v>
      </c>
      <c r="N591" s="27" t="str">
        <f>inicioTerminales[[#This Row],[TIPO BUS]]&amp;"-"&amp;inicioTerminales[[#This Row],[MARCA CHASIS]]</f>
        <v>BE-FOTON</v>
      </c>
    </row>
    <row r="592" spans="1:14">
      <c r="A592" s="27" t="s">
        <v>421</v>
      </c>
      <c r="B592" s="27" t="s">
        <v>792</v>
      </c>
      <c r="C592" s="27">
        <v>7177</v>
      </c>
      <c r="D592" s="27" t="s">
        <v>147</v>
      </c>
      <c r="E592" s="27" t="s">
        <v>13</v>
      </c>
      <c r="F592" s="27" t="s">
        <v>149</v>
      </c>
      <c r="G592" s="27" t="str">
        <f>_xlfn.CONCAT(inicioTerminales[[#This Row],[MARCA CHASIS]]," - ", inicioTerminales[[#This Row],[TIPO BUS]])</f>
        <v>FOTON - BE</v>
      </c>
      <c r="H592" s="27" t="s">
        <v>674</v>
      </c>
      <c r="I592" s="52">
        <v>45024</v>
      </c>
      <c r="J592" s="27" t="s">
        <v>1341</v>
      </c>
      <c r="K592" s="27" t="s">
        <v>840</v>
      </c>
      <c r="L592" s="27" t="s">
        <v>853</v>
      </c>
      <c r="M592" s="27" t="s">
        <v>674</v>
      </c>
      <c r="N592" s="27" t="str">
        <f>inicioTerminales[[#This Row],[TIPO BUS]]&amp;"-"&amp;inicioTerminales[[#This Row],[MARCA CHASIS]]</f>
        <v>BE-FOTON</v>
      </c>
    </row>
    <row r="593" spans="1:14">
      <c r="A593" s="27" t="s">
        <v>421</v>
      </c>
      <c r="B593" s="27" t="s">
        <v>793</v>
      </c>
      <c r="C593" s="27">
        <v>7178</v>
      </c>
      <c r="D593" s="27" t="s">
        <v>147</v>
      </c>
      <c r="E593" s="27" t="s">
        <v>13</v>
      </c>
      <c r="F593" s="27" t="s">
        <v>149</v>
      </c>
      <c r="G593" s="27" t="str">
        <f>_xlfn.CONCAT(inicioTerminales[[#This Row],[MARCA CHASIS]]," - ", inicioTerminales[[#This Row],[TIPO BUS]])</f>
        <v>FOTON - BE</v>
      </c>
      <c r="H593" s="27" t="s">
        <v>674</v>
      </c>
      <c r="I593" s="52">
        <v>45024</v>
      </c>
      <c r="J593" s="27" t="s">
        <v>1341</v>
      </c>
      <c r="K593" s="27" t="s">
        <v>840</v>
      </c>
      <c r="L593" s="27" t="s">
        <v>853</v>
      </c>
      <c r="M593" s="27" t="s">
        <v>674</v>
      </c>
      <c r="N593" s="27" t="str">
        <f>inicioTerminales[[#This Row],[TIPO BUS]]&amp;"-"&amp;inicioTerminales[[#This Row],[MARCA CHASIS]]</f>
        <v>BE-FOTON</v>
      </c>
    </row>
    <row r="594" spans="1:14">
      <c r="A594" s="27" t="s">
        <v>421</v>
      </c>
      <c r="B594" s="27" t="s">
        <v>794</v>
      </c>
      <c r="C594" s="27">
        <v>7179</v>
      </c>
      <c r="D594" s="27" t="s">
        <v>147</v>
      </c>
      <c r="E594" s="27" t="s">
        <v>13</v>
      </c>
      <c r="F594" s="27" t="s">
        <v>149</v>
      </c>
      <c r="G594" s="27" t="str">
        <f>_xlfn.CONCAT(inicioTerminales[[#This Row],[MARCA CHASIS]]," - ", inicioTerminales[[#This Row],[TIPO BUS]])</f>
        <v>FOTON - BE</v>
      </c>
      <c r="H594" s="27" t="s">
        <v>674</v>
      </c>
      <c r="I594" s="52">
        <v>45024</v>
      </c>
      <c r="J594" s="27" t="s">
        <v>1341</v>
      </c>
      <c r="K594" s="27" t="s">
        <v>840</v>
      </c>
      <c r="L594" s="27" t="s">
        <v>853</v>
      </c>
      <c r="M594" s="27" t="s">
        <v>674</v>
      </c>
      <c r="N594" s="27" t="str">
        <f>inicioTerminales[[#This Row],[TIPO BUS]]&amp;"-"&amp;inicioTerminales[[#This Row],[MARCA CHASIS]]</f>
        <v>BE-FOTON</v>
      </c>
    </row>
    <row r="595" spans="1:14">
      <c r="A595" s="27" t="s">
        <v>421</v>
      </c>
      <c r="B595" s="27" t="s">
        <v>795</v>
      </c>
      <c r="C595" s="27">
        <v>7180</v>
      </c>
      <c r="D595" s="27" t="s">
        <v>147</v>
      </c>
      <c r="E595" s="27" t="s">
        <v>13</v>
      </c>
      <c r="F595" s="27" t="s">
        <v>149</v>
      </c>
      <c r="G595" s="27" t="str">
        <f>_xlfn.CONCAT(inicioTerminales[[#This Row],[MARCA CHASIS]]," - ", inicioTerminales[[#This Row],[TIPO BUS]])</f>
        <v>FOTON - BE</v>
      </c>
      <c r="H595" s="27" t="s">
        <v>674</v>
      </c>
      <c r="I595" s="52">
        <v>45024</v>
      </c>
      <c r="J595" s="27" t="s">
        <v>1341</v>
      </c>
      <c r="K595" s="27" t="s">
        <v>840</v>
      </c>
      <c r="L595" s="27" t="s">
        <v>853</v>
      </c>
      <c r="M595" s="27" t="s">
        <v>674</v>
      </c>
      <c r="N595" s="27" t="str">
        <f>inicioTerminales[[#This Row],[TIPO BUS]]&amp;"-"&amp;inicioTerminales[[#This Row],[MARCA CHASIS]]</f>
        <v>BE-FOTON</v>
      </c>
    </row>
    <row r="596" spans="1:14">
      <c r="A596" s="27" t="s">
        <v>421</v>
      </c>
      <c r="B596" s="27" t="s">
        <v>796</v>
      </c>
      <c r="C596" s="27">
        <v>7181</v>
      </c>
      <c r="D596" s="27" t="s">
        <v>147</v>
      </c>
      <c r="E596" s="27" t="s">
        <v>13</v>
      </c>
      <c r="F596" s="27" t="s">
        <v>149</v>
      </c>
      <c r="G596" s="27" t="str">
        <f>_xlfn.CONCAT(inicioTerminales[[#This Row],[MARCA CHASIS]]," - ", inicioTerminales[[#This Row],[TIPO BUS]])</f>
        <v>FOTON - BE</v>
      </c>
      <c r="H596" s="27" t="s">
        <v>674</v>
      </c>
      <c r="I596" s="52">
        <v>45024</v>
      </c>
      <c r="J596" s="27" t="s">
        <v>1341</v>
      </c>
      <c r="K596" s="27" t="s">
        <v>840</v>
      </c>
      <c r="L596" s="27" t="s">
        <v>853</v>
      </c>
      <c r="M596" s="27" t="s">
        <v>674</v>
      </c>
      <c r="N596" s="27" t="str">
        <f>inicioTerminales[[#This Row],[TIPO BUS]]&amp;"-"&amp;inicioTerminales[[#This Row],[MARCA CHASIS]]</f>
        <v>BE-FOTON</v>
      </c>
    </row>
    <row r="597" spans="1:14">
      <c r="A597" s="27" t="s">
        <v>421</v>
      </c>
      <c r="B597" s="27" t="s">
        <v>797</v>
      </c>
      <c r="C597" s="27">
        <v>7182</v>
      </c>
      <c r="D597" s="27" t="s">
        <v>147</v>
      </c>
      <c r="E597" s="27" t="s">
        <v>13</v>
      </c>
      <c r="F597" s="27" t="s">
        <v>149</v>
      </c>
      <c r="G597" s="27" t="str">
        <f>_xlfn.CONCAT(inicioTerminales[[#This Row],[MARCA CHASIS]]," - ", inicioTerminales[[#This Row],[TIPO BUS]])</f>
        <v>FOTON - BE</v>
      </c>
      <c r="H597" s="27" t="s">
        <v>674</v>
      </c>
      <c r="I597" s="52">
        <v>45024</v>
      </c>
      <c r="J597" s="27" t="s">
        <v>1341</v>
      </c>
      <c r="K597" s="27" t="s">
        <v>840</v>
      </c>
      <c r="L597" s="27" t="s">
        <v>853</v>
      </c>
      <c r="M597" s="27" t="s">
        <v>674</v>
      </c>
      <c r="N597" s="27" t="str">
        <f>inicioTerminales[[#This Row],[TIPO BUS]]&amp;"-"&amp;inicioTerminales[[#This Row],[MARCA CHASIS]]</f>
        <v>BE-FOTON</v>
      </c>
    </row>
    <row r="598" spans="1:14">
      <c r="A598" s="27" t="s">
        <v>421</v>
      </c>
      <c r="B598" s="27" t="s">
        <v>798</v>
      </c>
      <c r="C598" s="27">
        <v>7183</v>
      </c>
      <c r="D598" s="27" t="s">
        <v>147</v>
      </c>
      <c r="E598" s="27" t="s">
        <v>13</v>
      </c>
      <c r="F598" s="27" t="s">
        <v>149</v>
      </c>
      <c r="G598" s="27" t="str">
        <f>_xlfn.CONCAT(inicioTerminales[[#This Row],[MARCA CHASIS]]," - ", inicioTerminales[[#This Row],[TIPO BUS]])</f>
        <v>FOTON - BE</v>
      </c>
      <c r="H598" s="27" t="s">
        <v>674</v>
      </c>
      <c r="I598" s="52">
        <v>45024</v>
      </c>
      <c r="J598" s="27" t="s">
        <v>1341</v>
      </c>
      <c r="K598" s="27" t="s">
        <v>840</v>
      </c>
      <c r="L598" s="27" t="s">
        <v>853</v>
      </c>
      <c r="M598" s="27" t="s">
        <v>674</v>
      </c>
      <c r="N598" s="27" t="str">
        <f>inicioTerminales[[#This Row],[TIPO BUS]]&amp;"-"&amp;inicioTerminales[[#This Row],[MARCA CHASIS]]</f>
        <v>BE-FOTON</v>
      </c>
    </row>
    <row r="599" spans="1:14">
      <c r="A599" s="27" t="s">
        <v>421</v>
      </c>
      <c r="B599" s="27" t="s">
        <v>799</v>
      </c>
      <c r="C599" s="27">
        <v>7184</v>
      </c>
      <c r="D599" s="27" t="s">
        <v>147</v>
      </c>
      <c r="E599" s="27" t="s">
        <v>13</v>
      </c>
      <c r="F599" s="27" t="s">
        <v>149</v>
      </c>
      <c r="G599" s="27" t="str">
        <f>_xlfn.CONCAT(inicioTerminales[[#This Row],[MARCA CHASIS]]," - ", inicioTerminales[[#This Row],[TIPO BUS]])</f>
        <v>FOTON - BE</v>
      </c>
      <c r="H599" s="27" t="s">
        <v>674</v>
      </c>
      <c r="I599" s="52">
        <v>45024</v>
      </c>
      <c r="J599" s="27" t="s">
        <v>1341</v>
      </c>
      <c r="K599" s="27" t="s">
        <v>840</v>
      </c>
      <c r="L599" s="27" t="s">
        <v>853</v>
      </c>
      <c r="M599" s="27" t="s">
        <v>674</v>
      </c>
      <c r="N599" s="27" t="str">
        <f>inicioTerminales[[#This Row],[TIPO BUS]]&amp;"-"&amp;inicioTerminales[[#This Row],[MARCA CHASIS]]</f>
        <v>BE-FOTON</v>
      </c>
    </row>
    <row r="600" spans="1:14">
      <c r="A600" s="27" t="s">
        <v>421</v>
      </c>
      <c r="B600" s="27" t="s">
        <v>800</v>
      </c>
      <c r="C600" s="27">
        <v>7185</v>
      </c>
      <c r="D600" s="27" t="s">
        <v>147</v>
      </c>
      <c r="E600" s="27" t="s">
        <v>13</v>
      </c>
      <c r="F600" s="27" t="s">
        <v>149</v>
      </c>
      <c r="G600" s="27" t="str">
        <f>_xlfn.CONCAT(inicioTerminales[[#This Row],[MARCA CHASIS]]," - ", inicioTerminales[[#This Row],[TIPO BUS]])</f>
        <v>FOTON - BE</v>
      </c>
      <c r="H600" s="27" t="s">
        <v>674</v>
      </c>
      <c r="I600" s="52">
        <v>45024</v>
      </c>
      <c r="J600" s="27" t="s">
        <v>1341</v>
      </c>
      <c r="K600" s="27" t="s">
        <v>840</v>
      </c>
      <c r="L600" s="27" t="s">
        <v>853</v>
      </c>
      <c r="M600" s="27" t="s">
        <v>674</v>
      </c>
      <c r="N600" s="27" t="str">
        <f>inicioTerminales[[#This Row],[TIPO BUS]]&amp;"-"&amp;inicioTerminales[[#This Row],[MARCA CHASIS]]</f>
        <v>BE-FOTON</v>
      </c>
    </row>
    <row r="601" spans="1:14">
      <c r="A601" s="27" t="s">
        <v>421</v>
      </c>
      <c r="B601" s="27" t="s">
        <v>801</v>
      </c>
      <c r="C601" s="27">
        <v>7186</v>
      </c>
      <c r="D601" s="27" t="s">
        <v>147</v>
      </c>
      <c r="E601" s="27" t="s">
        <v>13</v>
      </c>
      <c r="F601" s="27" t="s">
        <v>149</v>
      </c>
      <c r="G601" s="27" t="str">
        <f>_xlfn.CONCAT(inicioTerminales[[#This Row],[MARCA CHASIS]]," - ", inicioTerminales[[#This Row],[TIPO BUS]])</f>
        <v>FOTON - BE</v>
      </c>
      <c r="H601" s="27" t="s">
        <v>674</v>
      </c>
      <c r="I601" s="52">
        <v>45024</v>
      </c>
      <c r="J601" s="27" t="s">
        <v>1341</v>
      </c>
      <c r="K601" s="27" t="s">
        <v>840</v>
      </c>
      <c r="L601" s="27" t="s">
        <v>853</v>
      </c>
      <c r="M601" s="27" t="s">
        <v>674</v>
      </c>
      <c r="N601" s="27" t="str">
        <f>inicioTerminales[[#This Row],[TIPO BUS]]&amp;"-"&amp;inicioTerminales[[#This Row],[MARCA CHASIS]]</f>
        <v>BE-FOTON</v>
      </c>
    </row>
    <row r="602" spans="1:14">
      <c r="A602" s="27" t="s">
        <v>421</v>
      </c>
      <c r="B602" s="27" t="s">
        <v>802</v>
      </c>
      <c r="C602" s="27">
        <v>7187</v>
      </c>
      <c r="D602" s="27" t="s">
        <v>147</v>
      </c>
      <c r="E602" s="27" t="s">
        <v>13</v>
      </c>
      <c r="F602" s="27" t="s">
        <v>149</v>
      </c>
      <c r="G602" s="27" t="str">
        <f>_xlfn.CONCAT(inicioTerminales[[#This Row],[MARCA CHASIS]]," - ", inicioTerminales[[#This Row],[TIPO BUS]])</f>
        <v>FOTON - BE</v>
      </c>
      <c r="H602" s="27" t="s">
        <v>674</v>
      </c>
      <c r="I602" s="52">
        <v>45024</v>
      </c>
      <c r="J602" s="27" t="s">
        <v>1341</v>
      </c>
      <c r="K602" s="27" t="s">
        <v>840</v>
      </c>
      <c r="L602" s="27" t="s">
        <v>853</v>
      </c>
      <c r="M602" s="27" t="s">
        <v>674</v>
      </c>
      <c r="N602" s="27" t="str">
        <f>inicioTerminales[[#This Row],[TIPO BUS]]&amp;"-"&amp;inicioTerminales[[#This Row],[MARCA CHASIS]]</f>
        <v>BE-FOTON</v>
      </c>
    </row>
    <row r="603" spans="1:14">
      <c r="A603" s="27" t="s">
        <v>421</v>
      </c>
      <c r="B603" s="27" t="s">
        <v>803</v>
      </c>
      <c r="C603" s="27">
        <v>7188</v>
      </c>
      <c r="D603" s="27" t="s">
        <v>147</v>
      </c>
      <c r="E603" s="27" t="s">
        <v>13</v>
      </c>
      <c r="F603" s="27" t="s">
        <v>149</v>
      </c>
      <c r="G603" s="27" t="str">
        <f>_xlfn.CONCAT(inicioTerminales[[#This Row],[MARCA CHASIS]]," - ", inicioTerminales[[#This Row],[TIPO BUS]])</f>
        <v>FOTON - BE</v>
      </c>
      <c r="H603" s="27" t="s">
        <v>674</v>
      </c>
      <c r="I603" s="52">
        <v>45024</v>
      </c>
      <c r="J603" s="27" t="s">
        <v>1341</v>
      </c>
      <c r="K603" s="27" t="s">
        <v>840</v>
      </c>
      <c r="L603" s="27" t="s">
        <v>853</v>
      </c>
      <c r="M603" s="27" t="s">
        <v>674</v>
      </c>
      <c r="N603" s="27" t="str">
        <f>inicioTerminales[[#This Row],[TIPO BUS]]&amp;"-"&amp;inicioTerminales[[#This Row],[MARCA CHASIS]]</f>
        <v>BE-FOTON</v>
      </c>
    </row>
    <row r="604" spans="1:14">
      <c r="A604" s="27" t="s">
        <v>421</v>
      </c>
      <c r="B604" s="27" t="s">
        <v>804</v>
      </c>
      <c r="C604" s="27">
        <v>7189</v>
      </c>
      <c r="D604" s="27" t="s">
        <v>147</v>
      </c>
      <c r="E604" s="27" t="s">
        <v>13</v>
      </c>
      <c r="F604" s="27" t="s">
        <v>149</v>
      </c>
      <c r="G604" s="27" t="str">
        <f>_xlfn.CONCAT(inicioTerminales[[#This Row],[MARCA CHASIS]]," - ", inicioTerminales[[#This Row],[TIPO BUS]])</f>
        <v>FOTON - BE</v>
      </c>
      <c r="H604" s="27" t="s">
        <v>674</v>
      </c>
      <c r="I604" s="52">
        <v>45024</v>
      </c>
      <c r="J604" s="27" t="s">
        <v>1341</v>
      </c>
      <c r="K604" s="27" t="s">
        <v>840</v>
      </c>
      <c r="L604" s="27" t="s">
        <v>853</v>
      </c>
      <c r="M604" s="27" t="s">
        <v>674</v>
      </c>
      <c r="N604" s="27" t="str">
        <f>inicioTerminales[[#This Row],[TIPO BUS]]&amp;"-"&amp;inicioTerminales[[#This Row],[MARCA CHASIS]]</f>
        <v>BE-FOTON</v>
      </c>
    </row>
    <row r="605" spans="1:14">
      <c r="A605" s="27" t="s">
        <v>421</v>
      </c>
      <c r="B605" s="27" t="s">
        <v>805</v>
      </c>
      <c r="C605" s="27">
        <v>7190</v>
      </c>
      <c r="D605" s="27" t="s">
        <v>147</v>
      </c>
      <c r="E605" s="27" t="s">
        <v>13</v>
      </c>
      <c r="F605" s="27" t="s">
        <v>149</v>
      </c>
      <c r="G605" s="27" t="str">
        <f>_xlfn.CONCAT(inicioTerminales[[#This Row],[MARCA CHASIS]]," - ", inicioTerminales[[#This Row],[TIPO BUS]])</f>
        <v>FOTON - BE</v>
      </c>
      <c r="H605" s="27" t="s">
        <v>674</v>
      </c>
      <c r="I605" s="52">
        <v>45024</v>
      </c>
      <c r="J605" s="27" t="s">
        <v>1341</v>
      </c>
      <c r="K605" s="27" t="s">
        <v>840</v>
      </c>
      <c r="L605" s="27" t="s">
        <v>853</v>
      </c>
      <c r="M605" s="27" t="s">
        <v>674</v>
      </c>
      <c r="N605" s="27" t="str">
        <f>inicioTerminales[[#This Row],[TIPO BUS]]&amp;"-"&amp;inicioTerminales[[#This Row],[MARCA CHASIS]]</f>
        <v>BE-FOTON</v>
      </c>
    </row>
    <row r="606" spans="1:14">
      <c r="A606" s="27" t="s">
        <v>10</v>
      </c>
      <c r="B606" s="27" t="s">
        <v>208</v>
      </c>
      <c r="C606" s="27">
        <v>3059</v>
      </c>
      <c r="D606" s="27" t="s">
        <v>147</v>
      </c>
      <c r="E606" s="27" t="s">
        <v>13</v>
      </c>
      <c r="F606" s="27" t="s">
        <v>149</v>
      </c>
      <c r="G606" s="27" t="str">
        <f>_xlfn.CONCAT(inicioTerminales[[#This Row],[MARCA CHASIS]]," - ", inicioTerminales[[#This Row],[TIPO BUS]])</f>
        <v>FOTON - BE</v>
      </c>
      <c r="H606" s="27" t="s">
        <v>130</v>
      </c>
      <c r="I606" s="52">
        <v>45038</v>
      </c>
      <c r="J606" s="27" t="s">
        <v>1341</v>
      </c>
      <c r="K606" s="27" t="s">
        <v>836</v>
      </c>
      <c r="L606" s="27" t="s">
        <v>851</v>
      </c>
      <c r="M606" s="27" t="s">
        <v>130</v>
      </c>
      <c r="N606" s="27" t="str">
        <f>inicioTerminales[[#This Row],[TIPO BUS]]&amp;"-"&amp;inicioTerminales[[#This Row],[MARCA CHASIS]]</f>
        <v>BE-FOTON</v>
      </c>
    </row>
    <row r="607" spans="1:14">
      <c r="A607" s="27" t="s">
        <v>10</v>
      </c>
      <c r="B607" s="27" t="s">
        <v>209</v>
      </c>
      <c r="C607" s="27">
        <v>3065</v>
      </c>
      <c r="D607" s="27" t="s">
        <v>147</v>
      </c>
      <c r="E607" s="27" t="s">
        <v>13</v>
      </c>
      <c r="F607" s="27" t="s">
        <v>149</v>
      </c>
      <c r="G607" s="27" t="str">
        <f>_xlfn.CONCAT(inicioTerminales[[#This Row],[MARCA CHASIS]]," - ", inicioTerminales[[#This Row],[TIPO BUS]])</f>
        <v>FOTON - BE</v>
      </c>
      <c r="H607" s="27" t="s">
        <v>130</v>
      </c>
      <c r="I607" s="52">
        <v>45038</v>
      </c>
      <c r="J607" s="27" t="s">
        <v>1341</v>
      </c>
      <c r="K607" s="27" t="s">
        <v>836</v>
      </c>
      <c r="L607" s="27" t="s">
        <v>851</v>
      </c>
      <c r="M607" s="27" t="s">
        <v>130</v>
      </c>
      <c r="N607" s="27" t="str">
        <f>inicioTerminales[[#This Row],[TIPO BUS]]&amp;"-"&amp;inicioTerminales[[#This Row],[MARCA CHASIS]]</f>
        <v>BE-FOTON</v>
      </c>
    </row>
    <row r="608" spans="1:14">
      <c r="A608" s="27" t="s">
        <v>10</v>
      </c>
      <c r="B608" s="27" t="s">
        <v>210</v>
      </c>
      <c r="C608" s="27">
        <v>3066</v>
      </c>
      <c r="D608" s="27" t="s">
        <v>147</v>
      </c>
      <c r="E608" s="27" t="s">
        <v>13</v>
      </c>
      <c r="F608" s="27" t="s">
        <v>149</v>
      </c>
      <c r="G608" s="27" t="str">
        <f>_xlfn.CONCAT(inicioTerminales[[#This Row],[MARCA CHASIS]]," - ", inicioTerminales[[#This Row],[TIPO BUS]])</f>
        <v>FOTON - BE</v>
      </c>
      <c r="H608" s="27" t="s">
        <v>130</v>
      </c>
      <c r="I608" s="52">
        <v>45038</v>
      </c>
      <c r="J608" s="27" t="s">
        <v>1341</v>
      </c>
      <c r="K608" s="27" t="s">
        <v>836</v>
      </c>
      <c r="L608" s="27" t="s">
        <v>851</v>
      </c>
      <c r="M608" s="27" t="s">
        <v>130</v>
      </c>
      <c r="N608" s="27" t="str">
        <f>inicioTerminales[[#This Row],[TIPO BUS]]&amp;"-"&amp;inicioTerminales[[#This Row],[MARCA CHASIS]]</f>
        <v>BE-FOTON</v>
      </c>
    </row>
    <row r="609" spans="1:14">
      <c r="A609" s="27" t="s">
        <v>10</v>
      </c>
      <c r="B609" s="27" t="s">
        <v>211</v>
      </c>
      <c r="C609" s="27">
        <v>3067</v>
      </c>
      <c r="D609" s="27" t="s">
        <v>147</v>
      </c>
      <c r="E609" s="27" t="s">
        <v>13</v>
      </c>
      <c r="F609" s="27" t="s">
        <v>149</v>
      </c>
      <c r="G609" s="27" t="str">
        <f>_xlfn.CONCAT(inicioTerminales[[#This Row],[MARCA CHASIS]]," - ", inicioTerminales[[#This Row],[TIPO BUS]])</f>
        <v>FOTON - BE</v>
      </c>
      <c r="H609" s="27" t="s">
        <v>130</v>
      </c>
      <c r="I609" s="52">
        <v>45038</v>
      </c>
      <c r="J609" s="27" t="s">
        <v>1341</v>
      </c>
      <c r="K609" s="27" t="s">
        <v>836</v>
      </c>
      <c r="L609" s="27" t="s">
        <v>851</v>
      </c>
      <c r="M609" s="27" t="s">
        <v>130</v>
      </c>
      <c r="N609" s="27" t="str">
        <f>inicioTerminales[[#This Row],[TIPO BUS]]&amp;"-"&amp;inicioTerminales[[#This Row],[MARCA CHASIS]]</f>
        <v>BE-FOTON</v>
      </c>
    </row>
    <row r="610" spans="1:14">
      <c r="A610" s="27" t="s">
        <v>10</v>
      </c>
      <c r="B610" s="27" t="s">
        <v>212</v>
      </c>
      <c r="C610" s="27">
        <v>3068</v>
      </c>
      <c r="D610" s="27" t="s">
        <v>147</v>
      </c>
      <c r="E610" s="27" t="s">
        <v>13</v>
      </c>
      <c r="F610" s="27" t="s">
        <v>149</v>
      </c>
      <c r="G610" s="27" t="str">
        <f>_xlfn.CONCAT(inicioTerminales[[#This Row],[MARCA CHASIS]]," - ", inicioTerminales[[#This Row],[TIPO BUS]])</f>
        <v>FOTON - BE</v>
      </c>
      <c r="H610" s="27" t="s">
        <v>130</v>
      </c>
      <c r="I610" s="52">
        <v>45038</v>
      </c>
      <c r="J610" s="27" t="s">
        <v>1341</v>
      </c>
      <c r="K610" s="27" t="s">
        <v>836</v>
      </c>
      <c r="L610" s="27" t="s">
        <v>851</v>
      </c>
      <c r="M610" s="27" t="s">
        <v>130</v>
      </c>
      <c r="N610" s="27" t="str">
        <f>inicioTerminales[[#This Row],[TIPO BUS]]&amp;"-"&amp;inicioTerminales[[#This Row],[MARCA CHASIS]]</f>
        <v>BE-FOTON</v>
      </c>
    </row>
    <row r="611" spans="1:14">
      <c r="A611" s="27" t="s">
        <v>10</v>
      </c>
      <c r="B611" s="27" t="s">
        <v>213</v>
      </c>
      <c r="C611" s="27">
        <v>3069</v>
      </c>
      <c r="D611" s="27" t="s">
        <v>147</v>
      </c>
      <c r="E611" s="27" t="s">
        <v>13</v>
      </c>
      <c r="F611" s="27" t="s">
        <v>149</v>
      </c>
      <c r="G611" s="27" t="str">
        <f>_xlfn.CONCAT(inicioTerminales[[#This Row],[MARCA CHASIS]]," - ", inicioTerminales[[#This Row],[TIPO BUS]])</f>
        <v>FOTON - BE</v>
      </c>
      <c r="H611" s="27" t="s">
        <v>130</v>
      </c>
      <c r="I611" s="52">
        <v>45038</v>
      </c>
      <c r="J611" s="27" t="s">
        <v>1341</v>
      </c>
      <c r="K611" s="27" t="s">
        <v>836</v>
      </c>
      <c r="L611" s="27" t="s">
        <v>851</v>
      </c>
      <c r="M611" s="27" t="s">
        <v>130</v>
      </c>
      <c r="N611" s="27" t="str">
        <f>inicioTerminales[[#This Row],[TIPO BUS]]&amp;"-"&amp;inicioTerminales[[#This Row],[MARCA CHASIS]]</f>
        <v>BE-FOTON</v>
      </c>
    </row>
    <row r="612" spans="1:14">
      <c r="A612" s="27" t="s">
        <v>10</v>
      </c>
      <c r="B612" s="27" t="s">
        <v>214</v>
      </c>
      <c r="C612" s="27">
        <v>3070</v>
      </c>
      <c r="D612" s="27" t="s">
        <v>147</v>
      </c>
      <c r="E612" s="27" t="s">
        <v>13</v>
      </c>
      <c r="F612" s="27" t="s">
        <v>149</v>
      </c>
      <c r="G612" s="27" t="str">
        <f>_xlfn.CONCAT(inicioTerminales[[#This Row],[MARCA CHASIS]]," - ", inicioTerminales[[#This Row],[TIPO BUS]])</f>
        <v>FOTON - BE</v>
      </c>
      <c r="H612" s="27" t="s">
        <v>130</v>
      </c>
      <c r="I612" s="52">
        <v>45038</v>
      </c>
      <c r="J612" s="27" t="s">
        <v>1341</v>
      </c>
      <c r="K612" s="27" t="s">
        <v>836</v>
      </c>
      <c r="L612" s="27" t="s">
        <v>851</v>
      </c>
      <c r="M612" s="27" t="s">
        <v>130</v>
      </c>
      <c r="N612" s="27" t="str">
        <f>inicioTerminales[[#This Row],[TIPO BUS]]&amp;"-"&amp;inicioTerminales[[#This Row],[MARCA CHASIS]]</f>
        <v>BE-FOTON</v>
      </c>
    </row>
    <row r="613" spans="1:14">
      <c r="A613" s="27" t="s">
        <v>10</v>
      </c>
      <c r="B613" s="27" t="s">
        <v>215</v>
      </c>
      <c r="C613" s="27">
        <v>3071</v>
      </c>
      <c r="D613" s="27" t="s">
        <v>147</v>
      </c>
      <c r="E613" s="27" t="s">
        <v>13</v>
      </c>
      <c r="F613" s="27" t="s">
        <v>149</v>
      </c>
      <c r="G613" s="27" t="str">
        <f>_xlfn.CONCAT(inicioTerminales[[#This Row],[MARCA CHASIS]]," - ", inicioTerminales[[#This Row],[TIPO BUS]])</f>
        <v>FOTON - BE</v>
      </c>
      <c r="H613" s="27" t="s">
        <v>130</v>
      </c>
      <c r="I613" s="52">
        <v>45038</v>
      </c>
      <c r="J613" s="27" t="s">
        <v>1341</v>
      </c>
      <c r="K613" s="27" t="s">
        <v>836</v>
      </c>
      <c r="L613" s="27" t="s">
        <v>851</v>
      </c>
      <c r="M613" s="27" t="s">
        <v>130</v>
      </c>
      <c r="N613" s="27" t="str">
        <f>inicioTerminales[[#This Row],[TIPO BUS]]&amp;"-"&amp;inicioTerminales[[#This Row],[MARCA CHASIS]]</f>
        <v>BE-FOTON</v>
      </c>
    </row>
    <row r="614" spans="1:14">
      <c r="A614" s="27" t="s">
        <v>10</v>
      </c>
      <c r="B614" s="27" t="s">
        <v>216</v>
      </c>
      <c r="C614" s="27">
        <v>3072</v>
      </c>
      <c r="D614" s="27" t="s">
        <v>147</v>
      </c>
      <c r="E614" s="27" t="s">
        <v>13</v>
      </c>
      <c r="F614" s="27" t="s">
        <v>149</v>
      </c>
      <c r="G614" s="27" t="str">
        <f>_xlfn.CONCAT(inicioTerminales[[#This Row],[MARCA CHASIS]]," - ", inicioTerminales[[#This Row],[TIPO BUS]])</f>
        <v>FOTON - BE</v>
      </c>
      <c r="H614" s="27" t="s">
        <v>130</v>
      </c>
      <c r="I614" s="52">
        <v>45038</v>
      </c>
      <c r="J614" s="27" t="s">
        <v>1341</v>
      </c>
      <c r="K614" s="27" t="s">
        <v>836</v>
      </c>
      <c r="L614" s="27" t="s">
        <v>851</v>
      </c>
      <c r="M614" s="27" t="s">
        <v>130</v>
      </c>
      <c r="N614" s="27" t="str">
        <f>inicioTerminales[[#This Row],[TIPO BUS]]&amp;"-"&amp;inicioTerminales[[#This Row],[MARCA CHASIS]]</f>
        <v>BE-FOTON</v>
      </c>
    </row>
    <row r="615" spans="1:14">
      <c r="A615" s="27" t="s">
        <v>10</v>
      </c>
      <c r="B615" s="27" t="s">
        <v>217</v>
      </c>
      <c r="C615" s="27">
        <v>3074</v>
      </c>
      <c r="D615" s="27" t="s">
        <v>147</v>
      </c>
      <c r="E615" s="27" t="s">
        <v>13</v>
      </c>
      <c r="F615" s="27" t="s">
        <v>149</v>
      </c>
      <c r="G615" s="27" t="str">
        <f>_xlfn.CONCAT(inicioTerminales[[#This Row],[MARCA CHASIS]]," - ", inicioTerminales[[#This Row],[TIPO BUS]])</f>
        <v>FOTON - BE</v>
      </c>
      <c r="H615" s="27" t="s">
        <v>130</v>
      </c>
      <c r="I615" s="52">
        <v>45038</v>
      </c>
      <c r="J615" s="27" t="s">
        <v>1341</v>
      </c>
      <c r="K615" s="27" t="s">
        <v>836</v>
      </c>
      <c r="L615" s="27" t="s">
        <v>851</v>
      </c>
      <c r="M615" s="27" t="s">
        <v>130</v>
      </c>
      <c r="N615" s="27" t="str">
        <f>inicioTerminales[[#This Row],[TIPO BUS]]&amp;"-"&amp;inicioTerminales[[#This Row],[MARCA CHASIS]]</f>
        <v>BE-FOTON</v>
      </c>
    </row>
    <row r="616" spans="1:14">
      <c r="A616" s="27" t="s">
        <v>10</v>
      </c>
      <c r="B616" s="27" t="s">
        <v>218</v>
      </c>
      <c r="C616" s="27">
        <v>3075</v>
      </c>
      <c r="D616" s="27" t="s">
        <v>147</v>
      </c>
      <c r="E616" s="27" t="s">
        <v>13</v>
      </c>
      <c r="F616" s="27" t="s">
        <v>149</v>
      </c>
      <c r="G616" s="27" t="str">
        <f>_xlfn.CONCAT(inicioTerminales[[#This Row],[MARCA CHASIS]]," - ", inicioTerminales[[#This Row],[TIPO BUS]])</f>
        <v>FOTON - BE</v>
      </c>
      <c r="H616" s="27" t="s">
        <v>130</v>
      </c>
      <c r="I616" s="52">
        <v>45038</v>
      </c>
      <c r="J616" s="27" t="s">
        <v>1341</v>
      </c>
      <c r="K616" s="27" t="s">
        <v>836</v>
      </c>
      <c r="L616" s="27" t="s">
        <v>851</v>
      </c>
      <c r="M616" s="27" t="s">
        <v>130</v>
      </c>
      <c r="N616" s="27" t="str">
        <f>inicioTerminales[[#This Row],[TIPO BUS]]&amp;"-"&amp;inicioTerminales[[#This Row],[MARCA CHASIS]]</f>
        <v>BE-FOTON</v>
      </c>
    </row>
    <row r="617" spans="1:14">
      <c r="A617" s="27" t="s">
        <v>10</v>
      </c>
      <c r="B617" s="27" t="s">
        <v>219</v>
      </c>
      <c r="C617" s="27">
        <v>3076</v>
      </c>
      <c r="D617" s="27" t="s">
        <v>147</v>
      </c>
      <c r="E617" s="27" t="s">
        <v>13</v>
      </c>
      <c r="F617" s="27" t="s">
        <v>149</v>
      </c>
      <c r="G617" s="27" t="str">
        <f>_xlfn.CONCAT(inicioTerminales[[#This Row],[MARCA CHASIS]]," - ", inicioTerminales[[#This Row],[TIPO BUS]])</f>
        <v>FOTON - BE</v>
      </c>
      <c r="H617" s="27" t="s">
        <v>130</v>
      </c>
      <c r="I617" s="52">
        <v>45038</v>
      </c>
      <c r="J617" s="27" t="s">
        <v>1341</v>
      </c>
      <c r="K617" s="27" t="s">
        <v>836</v>
      </c>
      <c r="L617" s="27" t="s">
        <v>851</v>
      </c>
      <c r="M617" s="27" t="s">
        <v>130</v>
      </c>
      <c r="N617" s="27" t="str">
        <f>inicioTerminales[[#This Row],[TIPO BUS]]&amp;"-"&amp;inicioTerminales[[#This Row],[MARCA CHASIS]]</f>
        <v>BE-FOTON</v>
      </c>
    </row>
    <row r="618" spans="1:14">
      <c r="A618" s="27" t="s">
        <v>10</v>
      </c>
      <c r="B618" s="27" t="s">
        <v>220</v>
      </c>
      <c r="C618" s="27">
        <v>3077</v>
      </c>
      <c r="D618" s="27" t="s">
        <v>147</v>
      </c>
      <c r="E618" s="27" t="s">
        <v>13</v>
      </c>
      <c r="F618" s="27" t="s">
        <v>149</v>
      </c>
      <c r="G618" s="27" t="str">
        <f>_xlfn.CONCAT(inicioTerminales[[#This Row],[MARCA CHASIS]]," - ", inicioTerminales[[#This Row],[TIPO BUS]])</f>
        <v>FOTON - BE</v>
      </c>
      <c r="H618" s="27" t="s">
        <v>130</v>
      </c>
      <c r="I618" s="52">
        <v>45038</v>
      </c>
      <c r="J618" s="27" t="s">
        <v>1341</v>
      </c>
      <c r="K618" s="27" t="s">
        <v>836</v>
      </c>
      <c r="L618" s="27" t="s">
        <v>851</v>
      </c>
      <c r="M618" s="27" t="s">
        <v>130</v>
      </c>
      <c r="N618" s="27" t="str">
        <f>inicioTerminales[[#This Row],[TIPO BUS]]&amp;"-"&amp;inicioTerminales[[#This Row],[MARCA CHASIS]]</f>
        <v>BE-FOTON</v>
      </c>
    </row>
    <row r="619" spans="1:14">
      <c r="A619" s="27" t="s">
        <v>10</v>
      </c>
      <c r="B619" s="27" t="s">
        <v>221</v>
      </c>
      <c r="C619" s="27">
        <v>3079</v>
      </c>
      <c r="D619" s="27" t="s">
        <v>147</v>
      </c>
      <c r="E619" s="27" t="s">
        <v>13</v>
      </c>
      <c r="F619" s="27" t="s">
        <v>149</v>
      </c>
      <c r="G619" s="27" t="str">
        <f>_xlfn.CONCAT(inicioTerminales[[#This Row],[MARCA CHASIS]]," - ", inicioTerminales[[#This Row],[TIPO BUS]])</f>
        <v>FOTON - BE</v>
      </c>
      <c r="H619" s="27" t="s">
        <v>130</v>
      </c>
      <c r="I619" s="52">
        <v>45038</v>
      </c>
      <c r="J619" s="27" t="s">
        <v>1341</v>
      </c>
      <c r="K619" s="27" t="s">
        <v>836</v>
      </c>
      <c r="L619" s="27" t="s">
        <v>851</v>
      </c>
      <c r="M619" s="27" t="s">
        <v>130</v>
      </c>
      <c r="N619" s="27" t="str">
        <f>inicioTerminales[[#This Row],[TIPO BUS]]&amp;"-"&amp;inicioTerminales[[#This Row],[MARCA CHASIS]]</f>
        <v>BE-FOTON</v>
      </c>
    </row>
    <row r="620" spans="1:14">
      <c r="A620" s="27" t="s">
        <v>10</v>
      </c>
      <c r="B620" s="27" t="s">
        <v>222</v>
      </c>
      <c r="C620" s="27">
        <v>3081</v>
      </c>
      <c r="D620" s="27" t="s">
        <v>147</v>
      </c>
      <c r="E620" s="27" t="s">
        <v>13</v>
      </c>
      <c r="F620" s="27" t="s">
        <v>149</v>
      </c>
      <c r="G620" s="27" t="str">
        <f>_xlfn.CONCAT(inicioTerminales[[#This Row],[MARCA CHASIS]]," - ", inicioTerminales[[#This Row],[TIPO BUS]])</f>
        <v>FOTON - BE</v>
      </c>
      <c r="H620" s="27" t="s">
        <v>130</v>
      </c>
      <c r="I620" s="52">
        <v>45038</v>
      </c>
      <c r="J620" s="27" t="s">
        <v>1341</v>
      </c>
      <c r="K620" s="27" t="s">
        <v>836</v>
      </c>
      <c r="L620" s="27" t="s">
        <v>851</v>
      </c>
      <c r="M620" s="27" t="s">
        <v>130</v>
      </c>
      <c r="N620" s="27" t="str">
        <f>inicioTerminales[[#This Row],[TIPO BUS]]&amp;"-"&amp;inicioTerminales[[#This Row],[MARCA CHASIS]]</f>
        <v>BE-FOTON</v>
      </c>
    </row>
    <row r="621" spans="1:14">
      <c r="A621" s="27" t="s">
        <v>10</v>
      </c>
      <c r="B621" s="27" t="s">
        <v>328</v>
      </c>
      <c r="C621" s="27">
        <v>3082</v>
      </c>
      <c r="D621" s="27" t="s">
        <v>147</v>
      </c>
      <c r="E621" s="27" t="s">
        <v>13</v>
      </c>
      <c r="F621" s="27" t="s">
        <v>149</v>
      </c>
      <c r="G621" s="27" t="str">
        <f>_xlfn.CONCAT(inicioTerminales[[#This Row],[MARCA CHASIS]]," - ", inicioTerminales[[#This Row],[TIPO BUS]])</f>
        <v>FOTON - BE</v>
      </c>
      <c r="H621" s="27" t="s">
        <v>130</v>
      </c>
      <c r="I621" s="52">
        <v>45038</v>
      </c>
      <c r="J621" s="27" t="s">
        <v>1341</v>
      </c>
      <c r="K621" s="27" t="s">
        <v>836</v>
      </c>
      <c r="L621" s="27" t="s">
        <v>851</v>
      </c>
      <c r="M621" s="27" t="s">
        <v>130</v>
      </c>
      <c r="N621" s="27" t="str">
        <f>inicioTerminales[[#This Row],[TIPO BUS]]&amp;"-"&amp;inicioTerminales[[#This Row],[MARCA CHASIS]]</f>
        <v>BE-FOTON</v>
      </c>
    </row>
    <row r="622" spans="1:14">
      <c r="A622" s="27" t="s">
        <v>10</v>
      </c>
      <c r="B622" s="27" t="s">
        <v>329</v>
      </c>
      <c r="C622" s="27">
        <v>3083</v>
      </c>
      <c r="D622" s="27" t="s">
        <v>147</v>
      </c>
      <c r="E622" s="27" t="s">
        <v>13</v>
      </c>
      <c r="F622" s="27" t="s">
        <v>149</v>
      </c>
      <c r="G622" s="27" t="str">
        <f>_xlfn.CONCAT(inicioTerminales[[#This Row],[MARCA CHASIS]]," - ", inicioTerminales[[#This Row],[TIPO BUS]])</f>
        <v>FOTON - BE</v>
      </c>
      <c r="H622" s="27" t="s">
        <v>130</v>
      </c>
      <c r="I622" s="52">
        <v>45038</v>
      </c>
      <c r="J622" s="27" t="s">
        <v>1341</v>
      </c>
      <c r="K622" s="27" t="s">
        <v>836</v>
      </c>
      <c r="L622" s="27" t="s">
        <v>851</v>
      </c>
      <c r="M622" s="27" t="s">
        <v>130</v>
      </c>
      <c r="N622" s="27" t="str">
        <f>inicioTerminales[[#This Row],[TIPO BUS]]&amp;"-"&amp;inicioTerminales[[#This Row],[MARCA CHASIS]]</f>
        <v>BE-FOTON</v>
      </c>
    </row>
    <row r="623" spans="1:14">
      <c r="A623" s="27" t="s">
        <v>10</v>
      </c>
      <c r="B623" s="27" t="s">
        <v>331</v>
      </c>
      <c r="C623" s="27">
        <v>3085</v>
      </c>
      <c r="D623" s="27" t="s">
        <v>147</v>
      </c>
      <c r="E623" s="27" t="s">
        <v>13</v>
      </c>
      <c r="F623" s="27" t="s">
        <v>149</v>
      </c>
      <c r="G623" s="27" t="str">
        <f>_xlfn.CONCAT(inicioTerminales[[#This Row],[MARCA CHASIS]]," - ", inicioTerminales[[#This Row],[TIPO BUS]])</f>
        <v>FOTON - BE</v>
      </c>
      <c r="H623" s="27" t="s">
        <v>130</v>
      </c>
      <c r="I623" s="52">
        <v>45038</v>
      </c>
      <c r="J623" s="27" t="s">
        <v>1341</v>
      </c>
      <c r="K623" s="27" t="s">
        <v>836</v>
      </c>
      <c r="L623" s="27" t="s">
        <v>851</v>
      </c>
      <c r="M623" s="27" t="s">
        <v>130</v>
      </c>
      <c r="N623" s="27" t="str">
        <f>inicioTerminales[[#This Row],[TIPO BUS]]&amp;"-"&amp;inicioTerminales[[#This Row],[MARCA CHASIS]]</f>
        <v>BE-FOTON</v>
      </c>
    </row>
    <row r="624" spans="1:14">
      <c r="A624" s="27" t="s">
        <v>10</v>
      </c>
      <c r="B624" s="27" t="s">
        <v>332</v>
      </c>
      <c r="C624" s="27">
        <v>3086</v>
      </c>
      <c r="D624" s="27" t="s">
        <v>147</v>
      </c>
      <c r="E624" s="27" t="s">
        <v>13</v>
      </c>
      <c r="F624" s="27" t="s">
        <v>149</v>
      </c>
      <c r="G624" s="27" t="str">
        <f>_xlfn.CONCAT(inicioTerminales[[#This Row],[MARCA CHASIS]]," - ", inicioTerminales[[#This Row],[TIPO BUS]])</f>
        <v>FOTON - BE</v>
      </c>
      <c r="H624" s="27" t="s">
        <v>130</v>
      </c>
      <c r="I624" s="52">
        <v>45038</v>
      </c>
      <c r="J624" s="27" t="s">
        <v>1341</v>
      </c>
      <c r="K624" s="27" t="s">
        <v>836</v>
      </c>
      <c r="L624" s="27" t="s">
        <v>851</v>
      </c>
      <c r="M624" s="27" t="s">
        <v>130</v>
      </c>
      <c r="N624" s="27" t="str">
        <f>inicioTerminales[[#This Row],[TIPO BUS]]&amp;"-"&amp;inicioTerminales[[#This Row],[MARCA CHASIS]]</f>
        <v>BE-FOTON</v>
      </c>
    </row>
    <row r="625" spans="1:14">
      <c r="A625" s="27" t="s">
        <v>10</v>
      </c>
      <c r="B625" s="27" t="s">
        <v>343</v>
      </c>
      <c r="C625" s="27">
        <v>3097</v>
      </c>
      <c r="D625" s="27" t="s">
        <v>147</v>
      </c>
      <c r="E625" s="27" t="s">
        <v>13</v>
      </c>
      <c r="F625" s="27" t="s">
        <v>149</v>
      </c>
      <c r="G625" s="27" t="str">
        <f>_xlfn.CONCAT(inicioTerminales[[#This Row],[MARCA CHASIS]]," - ", inicioTerminales[[#This Row],[TIPO BUS]])</f>
        <v>FOTON - BE</v>
      </c>
      <c r="H625" s="27" t="s">
        <v>130</v>
      </c>
      <c r="I625" s="52">
        <v>45038</v>
      </c>
      <c r="J625" s="27" t="s">
        <v>1341</v>
      </c>
      <c r="K625" s="27" t="s">
        <v>836</v>
      </c>
      <c r="L625" s="27" t="s">
        <v>851</v>
      </c>
      <c r="M625" s="27" t="s">
        <v>130</v>
      </c>
      <c r="N625" s="27" t="str">
        <f>inicioTerminales[[#This Row],[TIPO BUS]]&amp;"-"&amp;inicioTerminales[[#This Row],[MARCA CHASIS]]</f>
        <v>BE-FOTON</v>
      </c>
    </row>
    <row r="626" spans="1:14">
      <c r="A626" s="27" t="s">
        <v>10</v>
      </c>
      <c r="B626" s="27" t="s">
        <v>349</v>
      </c>
      <c r="C626" s="27">
        <v>3103</v>
      </c>
      <c r="D626" s="27" t="s">
        <v>147</v>
      </c>
      <c r="E626" s="27" t="s">
        <v>13</v>
      </c>
      <c r="F626" s="27" t="s">
        <v>149</v>
      </c>
      <c r="G626" s="27" t="str">
        <f>_xlfn.CONCAT(inicioTerminales[[#This Row],[MARCA CHASIS]]," - ", inicioTerminales[[#This Row],[TIPO BUS]])</f>
        <v>FOTON - BE</v>
      </c>
      <c r="H626" s="27" t="s">
        <v>130</v>
      </c>
      <c r="I626" s="52">
        <v>45038</v>
      </c>
      <c r="J626" s="27" t="s">
        <v>1341</v>
      </c>
      <c r="K626" s="27" t="s">
        <v>836</v>
      </c>
      <c r="L626" s="27" t="s">
        <v>851</v>
      </c>
      <c r="M626" s="27" t="s">
        <v>130</v>
      </c>
      <c r="N626" s="27" t="str">
        <f>inicioTerminales[[#This Row],[TIPO BUS]]&amp;"-"&amp;inicioTerminales[[#This Row],[MARCA CHASIS]]</f>
        <v>BE-FOTON</v>
      </c>
    </row>
    <row r="627" spans="1:14">
      <c r="A627" s="27" t="s">
        <v>10</v>
      </c>
      <c r="B627" s="27" t="s">
        <v>350</v>
      </c>
      <c r="C627" s="27">
        <v>3104</v>
      </c>
      <c r="D627" s="27" t="s">
        <v>147</v>
      </c>
      <c r="E627" s="27" t="s">
        <v>13</v>
      </c>
      <c r="F627" s="27" t="s">
        <v>149</v>
      </c>
      <c r="G627" s="27" t="str">
        <f>_xlfn.CONCAT(inicioTerminales[[#This Row],[MARCA CHASIS]]," - ", inicioTerminales[[#This Row],[TIPO BUS]])</f>
        <v>FOTON - BE</v>
      </c>
      <c r="H627" s="27" t="s">
        <v>130</v>
      </c>
      <c r="I627" s="52">
        <v>45038</v>
      </c>
      <c r="J627" s="27" t="s">
        <v>1341</v>
      </c>
      <c r="K627" s="27" t="s">
        <v>836</v>
      </c>
      <c r="L627" s="27" t="s">
        <v>851</v>
      </c>
      <c r="M627" s="27" t="s">
        <v>130</v>
      </c>
      <c r="N627" s="27" t="str">
        <f>inicioTerminales[[#This Row],[TIPO BUS]]&amp;"-"&amp;inicioTerminales[[#This Row],[MARCA CHASIS]]</f>
        <v>BE-FOTON</v>
      </c>
    </row>
    <row r="628" spans="1:14">
      <c r="A628" s="27" t="s">
        <v>10</v>
      </c>
      <c r="B628" s="27" t="s">
        <v>356</v>
      </c>
      <c r="C628" s="27">
        <v>3110</v>
      </c>
      <c r="D628" s="27" t="s">
        <v>147</v>
      </c>
      <c r="E628" s="27" t="s">
        <v>13</v>
      </c>
      <c r="F628" s="27" t="s">
        <v>149</v>
      </c>
      <c r="G628" s="27" t="str">
        <f>_xlfn.CONCAT(inicioTerminales[[#This Row],[MARCA CHASIS]]," - ", inicioTerminales[[#This Row],[TIPO BUS]])</f>
        <v>FOTON - BE</v>
      </c>
      <c r="H628" s="27" t="s">
        <v>130</v>
      </c>
      <c r="I628" s="52">
        <v>45038</v>
      </c>
      <c r="J628" s="27" t="s">
        <v>1341</v>
      </c>
      <c r="K628" s="27" t="s">
        <v>836</v>
      </c>
      <c r="L628" s="27" t="s">
        <v>851</v>
      </c>
      <c r="M628" s="27" t="s">
        <v>130</v>
      </c>
      <c r="N628" s="27" t="str">
        <f>inicioTerminales[[#This Row],[TIPO BUS]]&amp;"-"&amp;inicioTerminales[[#This Row],[MARCA CHASIS]]</f>
        <v>BE-FOTON</v>
      </c>
    </row>
    <row r="629" spans="1:14">
      <c r="A629" s="27" t="s">
        <v>10</v>
      </c>
      <c r="B629" s="27" t="s">
        <v>359</v>
      </c>
      <c r="C629" s="27">
        <v>3113</v>
      </c>
      <c r="D629" s="27" t="s">
        <v>147</v>
      </c>
      <c r="E629" s="27" t="s">
        <v>13</v>
      </c>
      <c r="F629" s="27" t="s">
        <v>149</v>
      </c>
      <c r="G629" s="27" t="str">
        <f>_xlfn.CONCAT(inicioTerminales[[#This Row],[MARCA CHASIS]]," - ", inicioTerminales[[#This Row],[TIPO BUS]])</f>
        <v>FOTON - BE</v>
      </c>
      <c r="H629" s="27" t="s">
        <v>130</v>
      </c>
      <c r="I629" s="52">
        <v>45038</v>
      </c>
      <c r="J629" s="27" t="s">
        <v>1341</v>
      </c>
      <c r="K629" s="27" t="s">
        <v>836</v>
      </c>
      <c r="L629" s="27" t="s">
        <v>851</v>
      </c>
      <c r="M629" s="27" t="s">
        <v>130</v>
      </c>
      <c r="N629" s="27" t="str">
        <f>inicioTerminales[[#This Row],[TIPO BUS]]&amp;"-"&amp;inicioTerminales[[#This Row],[MARCA CHASIS]]</f>
        <v>BE-FOTON</v>
      </c>
    </row>
    <row r="630" spans="1:14">
      <c r="A630" s="27" t="s">
        <v>10</v>
      </c>
      <c r="B630" s="27" t="s">
        <v>362</v>
      </c>
      <c r="C630" s="27">
        <v>3116</v>
      </c>
      <c r="D630" s="27" t="s">
        <v>147</v>
      </c>
      <c r="E630" s="27" t="s">
        <v>13</v>
      </c>
      <c r="F630" s="27" t="s">
        <v>149</v>
      </c>
      <c r="G630" s="27" t="str">
        <f>_xlfn.CONCAT(inicioTerminales[[#This Row],[MARCA CHASIS]]," - ", inicioTerminales[[#This Row],[TIPO BUS]])</f>
        <v>FOTON - BE</v>
      </c>
      <c r="H630" s="27" t="s">
        <v>130</v>
      </c>
      <c r="I630" s="52">
        <v>45038</v>
      </c>
      <c r="J630" s="27" t="s">
        <v>1341</v>
      </c>
      <c r="K630" s="27" t="s">
        <v>836</v>
      </c>
      <c r="L630" s="27" t="s">
        <v>851</v>
      </c>
      <c r="M630" s="27" t="s">
        <v>130</v>
      </c>
      <c r="N630" s="27" t="str">
        <f>inicioTerminales[[#This Row],[TIPO BUS]]&amp;"-"&amp;inicioTerminales[[#This Row],[MARCA CHASIS]]</f>
        <v>BE-FOTON</v>
      </c>
    </row>
    <row r="631" spans="1:14">
      <c r="A631" s="27" t="s">
        <v>10</v>
      </c>
      <c r="B631" s="27" t="s">
        <v>266</v>
      </c>
      <c r="C631" s="27">
        <v>1006</v>
      </c>
      <c r="D631" s="27" t="s">
        <v>12</v>
      </c>
      <c r="E631" s="27" t="s">
        <v>13</v>
      </c>
      <c r="F631" s="27" t="s">
        <v>14</v>
      </c>
      <c r="G631" s="27" t="str">
        <f>_xlfn.CONCAT(inicioTerminales[[#This Row],[MARCA CHASIS]]," - ", inicioTerminales[[#This Row],[TIPO BUS]])</f>
        <v>VOLVO - A2</v>
      </c>
      <c r="H631" s="27" t="s">
        <v>267</v>
      </c>
      <c r="I631" s="52">
        <v>45038</v>
      </c>
      <c r="J631" s="27" t="s">
        <v>1341</v>
      </c>
      <c r="K631" s="27" t="s">
        <v>838</v>
      </c>
      <c r="L631" s="27" t="s">
        <v>1369</v>
      </c>
      <c r="M631" s="27" t="s">
        <v>267</v>
      </c>
      <c r="N631" s="27" t="str">
        <f>inicioTerminales[[#This Row],[TIPO BUS]]&amp;"-"&amp;inicioTerminales[[#This Row],[MARCA CHASIS]]</f>
        <v>A2-VOLVO</v>
      </c>
    </row>
    <row r="632" spans="1:14">
      <c r="A632" s="27" t="s">
        <v>10</v>
      </c>
      <c r="B632" s="27" t="s">
        <v>269</v>
      </c>
      <c r="C632" s="27">
        <v>1007</v>
      </c>
      <c r="D632" s="27" t="s">
        <v>12</v>
      </c>
      <c r="E632" s="27" t="s">
        <v>13</v>
      </c>
      <c r="F632" s="27" t="s">
        <v>14</v>
      </c>
      <c r="G632" s="27" t="str">
        <f>_xlfn.CONCAT(inicioTerminales[[#This Row],[MARCA CHASIS]]," - ", inicioTerminales[[#This Row],[TIPO BUS]])</f>
        <v>VOLVO - A2</v>
      </c>
      <c r="H632" s="27" t="s">
        <v>267</v>
      </c>
      <c r="I632" s="52">
        <v>45038</v>
      </c>
      <c r="J632" s="27" t="s">
        <v>1341</v>
      </c>
      <c r="K632" s="27" t="s">
        <v>838</v>
      </c>
      <c r="L632" s="27" t="s">
        <v>1369</v>
      </c>
      <c r="M632" s="27" t="s">
        <v>267</v>
      </c>
      <c r="N632" s="27" t="str">
        <f>inicioTerminales[[#This Row],[TIPO BUS]]&amp;"-"&amp;inicioTerminales[[#This Row],[MARCA CHASIS]]</f>
        <v>A2-VOLVO</v>
      </c>
    </row>
    <row r="633" spans="1:14">
      <c r="A633" s="27" t="s">
        <v>10</v>
      </c>
      <c r="B633" s="27" t="s">
        <v>271</v>
      </c>
      <c r="C633" s="27">
        <v>1014</v>
      </c>
      <c r="D633" s="27" t="s">
        <v>12</v>
      </c>
      <c r="E633" s="27" t="s">
        <v>13</v>
      </c>
      <c r="F633" s="27" t="s">
        <v>14</v>
      </c>
      <c r="G633" s="27" t="str">
        <f>_xlfn.CONCAT(inicioTerminales[[#This Row],[MARCA CHASIS]]," - ", inicioTerminales[[#This Row],[TIPO BUS]])</f>
        <v>VOLVO - A2</v>
      </c>
      <c r="H633" s="27" t="s">
        <v>267</v>
      </c>
      <c r="I633" s="52">
        <v>45038</v>
      </c>
      <c r="J633" s="27" t="s">
        <v>1341</v>
      </c>
      <c r="K633" s="27" t="s">
        <v>838</v>
      </c>
      <c r="L633" s="27" t="s">
        <v>1369</v>
      </c>
      <c r="M633" s="27" t="s">
        <v>267</v>
      </c>
      <c r="N633" s="27" t="str">
        <f>inicioTerminales[[#This Row],[TIPO BUS]]&amp;"-"&amp;inicioTerminales[[#This Row],[MARCA CHASIS]]</f>
        <v>A2-VOLVO</v>
      </c>
    </row>
    <row r="634" spans="1:14">
      <c r="A634" s="27" t="s">
        <v>10</v>
      </c>
      <c r="B634" s="27" t="s">
        <v>273</v>
      </c>
      <c r="C634" s="27">
        <v>1016</v>
      </c>
      <c r="D634" s="27" t="s">
        <v>12</v>
      </c>
      <c r="E634" s="27" t="s">
        <v>13</v>
      </c>
      <c r="F634" s="27" t="s">
        <v>14</v>
      </c>
      <c r="G634" s="27" t="str">
        <f>_xlfn.CONCAT(inicioTerminales[[#This Row],[MARCA CHASIS]]," - ", inicioTerminales[[#This Row],[TIPO BUS]])</f>
        <v>VOLVO - A2</v>
      </c>
      <c r="H634" s="27" t="s">
        <v>267</v>
      </c>
      <c r="I634" s="52">
        <v>45038</v>
      </c>
      <c r="J634" s="27" t="s">
        <v>1341</v>
      </c>
      <c r="K634" s="27" t="s">
        <v>838</v>
      </c>
      <c r="L634" s="27" t="s">
        <v>1369</v>
      </c>
      <c r="M634" s="27" t="s">
        <v>267</v>
      </c>
      <c r="N634" s="27" t="str">
        <f>inicioTerminales[[#This Row],[TIPO BUS]]&amp;"-"&amp;inicioTerminales[[#This Row],[MARCA CHASIS]]</f>
        <v>A2-VOLVO</v>
      </c>
    </row>
    <row r="635" spans="1:14">
      <c r="A635" s="27" t="s">
        <v>10</v>
      </c>
      <c r="B635" s="27" t="s">
        <v>275</v>
      </c>
      <c r="C635" s="27">
        <v>1017</v>
      </c>
      <c r="D635" s="27" t="s">
        <v>12</v>
      </c>
      <c r="E635" s="27" t="s">
        <v>13</v>
      </c>
      <c r="F635" s="27" t="s">
        <v>14</v>
      </c>
      <c r="G635" s="27" t="str">
        <f>_xlfn.CONCAT(inicioTerminales[[#This Row],[MARCA CHASIS]]," - ", inicioTerminales[[#This Row],[TIPO BUS]])</f>
        <v>VOLVO - A2</v>
      </c>
      <c r="H635" s="27" t="s">
        <v>267</v>
      </c>
      <c r="I635" s="52">
        <v>45038</v>
      </c>
      <c r="J635" s="27" t="s">
        <v>1341</v>
      </c>
      <c r="K635" s="27" t="s">
        <v>838</v>
      </c>
      <c r="L635" s="27" t="s">
        <v>1369</v>
      </c>
      <c r="M635" s="27" t="s">
        <v>267</v>
      </c>
      <c r="N635" s="27" t="str">
        <f>inicioTerminales[[#This Row],[TIPO BUS]]&amp;"-"&amp;inicioTerminales[[#This Row],[MARCA CHASIS]]</f>
        <v>A2-VOLVO</v>
      </c>
    </row>
    <row r="636" spans="1:14">
      <c r="A636" s="27" t="s">
        <v>10</v>
      </c>
      <c r="B636" s="27" t="s">
        <v>277</v>
      </c>
      <c r="C636" s="27">
        <v>1024</v>
      </c>
      <c r="D636" s="27" t="s">
        <v>12</v>
      </c>
      <c r="E636" s="27" t="s">
        <v>13</v>
      </c>
      <c r="F636" s="27" t="s">
        <v>14</v>
      </c>
      <c r="G636" s="27" t="str">
        <f>_xlfn.CONCAT(inicioTerminales[[#This Row],[MARCA CHASIS]]," - ", inicioTerminales[[#This Row],[TIPO BUS]])</f>
        <v>VOLVO - A2</v>
      </c>
      <c r="H636" s="27" t="s">
        <v>267</v>
      </c>
      <c r="I636" s="52">
        <v>45038</v>
      </c>
      <c r="J636" s="27" t="s">
        <v>1341</v>
      </c>
      <c r="K636" s="27" t="s">
        <v>838</v>
      </c>
      <c r="L636" s="27" t="s">
        <v>1369</v>
      </c>
      <c r="M636" s="27" t="s">
        <v>267</v>
      </c>
      <c r="N636" s="27" t="str">
        <f>inicioTerminales[[#This Row],[TIPO BUS]]&amp;"-"&amp;inicioTerminales[[#This Row],[MARCA CHASIS]]</f>
        <v>A2-VOLVO</v>
      </c>
    </row>
    <row r="637" spans="1:14">
      <c r="A637" s="27" t="s">
        <v>10</v>
      </c>
      <c r="B637" s="27" t="s">
        <v>278</v>
      </c>
      <c r="C637" s="27">
        <v>1025</v>
      </c>
      <c r="D637" s="27" t="s">
        <v>12</v>
      </c>
      <c r="E637" s="27" t="s">
        <v>13</v>
      </c>
      <c r="F637" s="27" t="s">
        <v>14</v>
      </c>
      <c r="G637" s="27" t="str">
        <f>_xlfn.CONCAT(inicioTerminales[[#This Row],[MARCA CHASIS]]," - ", inicioTerminales[[#This Row],[TIPO BUS]])</f>
        <v>VOLVO - A2</v>
      </c>
      <c r="H637" s="27" t="s">
        <v>267</v>
      </c>
      <c r="I637" s="52">
        <v>45038</v>
      </c>
      <c r="J637" s="27" t="s">
        <v>1341</v>
      </c>
      <c r="K637" s="27" t="s">
        <v>838</v>
      </c>
      <c r="L637" s="27" t="s">
        <v>1369</v>
      </c>
      <c r="M637" s="27" t="s">
        <v>267</v>
      </c>
      <c r="N637" s="27" t="str">
        <f>inicioTerminales[[#This Row],[TIPO BUS]]&amp;"-"&amp;inicioTerminales[[#This Row],[MARCA CHASIS]]</f>
        <v>A2-VOLVO</v>
      </c>
    </row>
    <row r="638" spans="1:14">
      <c r="A638" s="27" t="s">
        <v>10</v>
      </c>
      <c r="B638" s="27" t="s">
        <v>279</v>
      </c>
      <c r="C638" s="27">
        <v>1026</v>
      </c>
      <c r="D638" s="27" t="s">
        <v>12</v>
      </c>
      <c r="E638" s="27" t="s">
        <v>13</v>
      </c>
      <c r="F638" s="27" t="s">
        <v>14</v>
      </c>
      <c r="G638" s="27" t="str">
        <f>_xlfn.CONCAT(inicioTerminales[[#This Row],[MARCA CHASIS]]," - ", inicioTerminales[[#This Row],[TIPO BUS]])</f>
        <v>VOLVO - A2</v>
      </c>
      <c r="H638" s="27" t="s">
        <v>267</v>
      </c>
      <c r="I638" s="52">
        <v>45038</v>
      </c>
      <c r="J638" s="27" t="s">
        <v>1341</v>
      </c>
      <c r="K638" s="27" t="s">
        <v>838</v>
      </c>
      <c r="L638" s="27" t="s">
        <v>1369</v>
      </c>
      <c r="M638" s="27" t="s">
        <v>267</v>
      </c>
      <c r="N638" s="27" t="str">
        <f>inicioTerminales[[#This Row],[TIPO BUS]]&amp;"-"&amp;inicioTerminales[[#This Row],[MARCA CHASIS]]</f>
        <v>A2-VOLVO</v>
      </c>
    </row>
    <row r="639" spans="1:14">
      <c r="A639" s="27" t="s">
        <v>10</v>
      </c>
      <c r="B639" s="27" t="s">
        <v>280</v>
      </c>
      <c r="C639" s="27">
        <v>1027</v>
      </c>
      <c r="D639" s="27" t="s">
        <v>12</v>
      </c>
      <c r="E639" s="27" t="s">
        <v>13</v>
      </c>
      <c r="F639" s="27" t="s">
        <v>14</v>
      </c>
      <c r="G639" s="27" t="str">
        <f>_xlfn.CONCAT(inicioTerminales[[#This Row],[MARCA CHASIS]]," - ", inicioTerminales[[#This Row],[TIPO BUS]])</f>
        <v>VOLVO - A2</v>
      </c>
      <c r="H639" s="27" t="s">
        <v>267</v>
      </c>
      <c r="I639" s="52">
        <v>45038</v>
      </c>
      <c r="J639" s="27" t="s">
        <v>1341</v>
      </c>
      <c r="K639" s="27" t="s">
        <v>838</v>
      </c>
      <c r="L639" s="27" t="s">
        <v>1369</v>
      </c>
      <c r="M639" s="27" t="s">
        <v>267</v>
      </c>
      <c r="N639" s="27" t="str">
        <f>inicioTerminales[[#This Row],[TIPO BUS]]&amp;"-"&amp;inicioTerminales[[#This Row],[MARCA CHASIS]]</f>
        <v>A2-VOLVO</v>
      </c>
    </row>
    <row r="640" spans="1:14">
      <c r="A640" s="27" t="s">
        <v>10</v>
      </c>
      <c r="B640" s="27" t="s">
        <v>281</v>
      </c>
      <c r="C640" s="27">
        <v>1030</v>
      </c>
      <c r="D640" s="27" t="s">
        <v>12</v>
      </c>
      <c r="E640" s="27" t="s">
        <v>13</v>
      </c>
      <c r="F640" s="27" t="s">
        <v>14</v>
      </c>
      <c r="G640" s="27" t="str">
        <f>_xlfn.CONCAT(inicioTerminales[[#This Row],[MARCA CHASIS]]," - ", inicioTerminales[[#This Row],[TIPO BUS]])</f>
        <v>VOLVO - A2</v>
      </c>
      <c r="H640" s="27" t="s">
        <v>267</v>
      </c>
      <c r="I640" s="52">
        <v>45038</v>
      </c>
      <c r="J640" s="27" t="s">
        <v>1341</v>
      </c>
      <c r="K640" s="27" t="s">
        <v>838</v>
      </c>
      <c r="L640" s="27" t="s">
        <v>1369</v>
      </c>
      <c r="M640" s="27" t="s">
        <v>267</v>
      </c>
      <c r="N640" s="27" t="str">
        <f>inicioTerminales[[#This Row],[TIPO BUS]]&amp;"-"&amp;inicioTerminales[[#This Row],[MARCA CHASIS]]</f>
        <v>A2-VOLVO</v>
      </c>
    </row>
    <row r="641" spans="1:14">
      <c r="A641" s="27" t="s">
        <v>10</v>
      </c>
      <c r="B641" s="27" t="s">
        <v>282</v>
      </c>
      <c r="C641" s="27">
        <v>1031</v>
      </c>
      <c r="D641" s="27" t="s">
        <v>12</v>
      </c>
      <c r="E641" s="27" t="s">
        <v>13</v>
      </c>
      <c r="F641" s="27" t="s">
        <v>14</v>
      </c>
      <c r="G641" s="27" t="str">
        <f>_xlfn.CONCAT(inicioTerminales[[#This Row],[MARCA CHASIS]]," - ", inicioTerminales[[#This Row],[TIPO BUS]])</f>
        <v>VOLVO - A2</v>
      </c>
      <c r="H641" s="27" t="s">
        <v>267</v>
      </c>
      <c r="I641" s="52">
        <v>45038</v>
      </c>
      <c r="J641" s="27" t="s">
        <v>1341</v>
      </c>
      <c r="K641" s="27" t="s">
        <v>838</v>
      </c>
      <c r="L641" s="27" t="s">
        <v>1369</v>
      </c>
      <c r="M641" s="27" t="s">
        <v>267</v>
      </c>
      <c r="N641" s="27" t="str">
        <f>inicioTerminales[[#This Row],[TIPO BUS]]&amp;"-"&amp;inicioTerminales[[#This Row],[MARCA CHASIS]]</f>
        <v>A2-VOLVO</v>
      </c>
    </row>
    <row r="642" spans="1:14">
      <c r="A642" s="27" t="s">
        <v>10</v>
      </c>
      <c r="B642" s="27" t="s">
        <v>283</v>
      </c>
      <c r="C642" s="27">
        <v>1032</v>
      </c>
      <c r="D642" s="27" t="s">
        <v>12</v>
      </c>
      <c r="E642" s="27" t="s">
        <v>13</v>
      </c>
      <c r="F642" s="27" t="s">
        <v>14</v>
      </c>
      <c r="G642" s="27" t="str">
        <f>_xlfn.CONCAT(inicioTerminales[[#This Row],[MARCA CHASIS]]," - ", inicioTerminales[[#This Row],[TIPO BUS]])</f>
        <v>VOLVO - A2</v>
      </c>
      <c r="H642" s="27" t="s">
        <v>267</v>
      </c>
      <c r="I642" s="52">
        <v>45038</v>
      </c>
      <c r="J642" s="27" t="s">
        <v>1341</v>
      </c>
      <c r="K642" s="27" t="s">
        <v>838</v>
      </c>
      <c r="L642" s="27" t="s">
        <v>1369</v>
      </c>
      <c r="M642" s="27" t="s">
        <v>267</v>
      </c>
      <c r="N642" s="27" t="str">
        <f>inicioTerminales[[#This Row],[TIPO BUS]]&amp;"-"&amp;inicioTerminales[[#This Row],[MARCA CHASIS]]</f>
        <v>A2-VOLVO</v>
      </c>
    </row>
    <row r="643" spans="1:14">
      <c r="A643" s="27" t="s">
        <v>10</v>
      </c>
      <c r="B643" s="27" t="s">
        <v>284</v>
      </c>
      <c r="C643" s="27">
        <v>1033</v>
      </c>
      <c r="D643" s="27" t="s">
        <v>12</v>
      </c>
      <c r="E643" s="27" t="s">
        <v>13</v>
      </c>
      <c r="F643" s="27" t="s">
        <v>14</v>
      </c>
      <c r="G643" s="27" t="str">
        <f>_xlfn.CONCAT(inicioTerminales[[#This Row],[MARCA CHASIS]]," - ", inicioTerminales[[#This Row],[TIPO BUS]])</f>
        <v>VOLVO - A2</v>
      </c>
      <c r="H643" s="27" t="s">
        <v>267</v>
      </c>
      <c r="I643" s="52">
        <v>45038</v>
      </c>
      <c r="J643" s="27" t="s">
        <v>1341</v>
      </c>
      <c r="K643" s="27" t="s">
        <v>838</v>
      </c>
      <c r="L643" s="27" t="s">
        <v>1369</v>
      </c>
      <c r="M643" s="27" t="s">
        <v>267</v>
      </c>
      <c r="N643" s="27" t="str">
        <f>inicioTerminales[[#This Row],[TIPO BUS]]&amp;"-"&amp;inicioTerminales[[#This Row],[MARCA CHASIS]]</f>
        <v>A2-VOLVO</v>
      </c>
    </row>
    <row r="644" spans="1:14">
      <c r="A644" s="27" t="s">
        <v>10</v>
      </c>
      <c r="B644" s="27" t="s">
        <v>286</v>
      </c>
      <c r="C644" s="27">
        <v>1034</v>
      </c>
      <c r="D644" s="27" t="s">
        <v>12</v>
      </c>
      <c r="E644" s="27" t="s">
        <v>13</v>
      </c>
      <c r="F644" s="27" t="s">
        <v>14</v>
      </c>
      <c r="G644" s="27" t="str">
        <f>_xlfn.CONCAT(inicioTerminales[[#This Row],[MARCA CHASIS]]," - ", inicioTerminales[[#This Row],[TIPO BUS]])</f>
        <v>VOLVO - A2</v>
      </c>
      <c r="H644" s="27" t="s">
        <v>267</v>
      </c>
      <c r="I644" s="52">
        <v>45038</v>
      </c>
      <c r="J644" s="27" t="s">
        <v>1341</v>
      </c>
      <c r="K644" s="27" t="s">
        <v>838</v>
      </c>
      <c r="L644" s="27" t="s">
        <v>1369</v>
      </c>
      <c r="M644" s="27" t="s">
        <v>267</v>
      </c>
      <c r="N644" s="27" t="str">
        <f>inicioTerminales[[#This Row],[TIPO BUS]]&amp;"-"&amp;inicioTerminales[[#This Row],[MARCA CHASIS]]</f>
        <v>A2-VOLVO</v>
      </c>
    </row>
    <row r="645" spans="1:14">
      <c r="A645" s="27" t="s">
        <v>10</v>
      </c>
      <c r="B645" s="27" t="s">
        <v>287</v>
      </c>
      <c r="C645" s="27">
        <v>1035</v>
      </c>
      <c r="D645" s="27" t="s">
        <v>12</v>
      </c>
      <c r="E645" s="27" t="s">
        <v>13</v>
      </c>
      <c r="F645" s="27" t="s">
        <v>14</v>
      </c>
      <c r="G645" s="27" t="str">
        <f>_xlfn.CONCAT(inicioTerminales[[#This Row],[MARCA CHASIS]]," - ", inicioTerminales[[#This Row],[TIPO BUS]])</f>
        <v>VOLVO - A2</v>
      </c>
      <c r="H645" s="27" t="s">
        <v>267</v>
      </c>
      <c r="I645" s="52">
        <v>45038</v>
      </c>
      <c r="J645" s="27" t="s">
        <v>1341</v>
      </c>
      <c r="K645" s="27" t="s">
        <v>838</v>
      </c>
      <c r="L645" s="27" t="s">
        <v>1369</v>
      </c>
      <c r="M645" s="27" t="s">
        <v>267</v>
      </c>
      <c r="N645" s="27" t="str">
        <f>inicioTerminales[[#This Row],[TIPO BUS]]&amp;"-"&amp;inicioTerminales[[#This Row],[MARCA CHASIS]]</f>
        <v>A2-VOLVO</v>
      </c>
    </row>
    <row r="646" spans="1:14">
      <c r="A646" s="27" t="s">
        <v>10</v>
      </c>
      <c r="B646" s="27" t="s">
        <v>288</v>
      </c>
      <c r="C646" s="27">
        <v>1036</v>
      </c>
      <c r="D646" s="27" t="s">
        <v>12</v>
      </c>
      <c r="E646" s="27" t="s">
        <v>13</v>
      </c>
      <c r="F646" s="27" t="s">
        <v>14</v>
      </c>
      <c r="G646" s="27" t="str">
        <f>_xlfn.CONCAT(inicioTerminales[[#This Row],[MARCA CHASIS]]," - ", inicioTerminales[[#This Row],[TIPO BUS]])</f>
        <v>VOLVO - A2</v>
      </c>
      <c r="H646" s="27" t="s">
        <v>267</v>
      </c>
      <c r="I646" s="52">
        <v>45038</v>
      </c>
      <c r="J646" s="27" t="s">
        <v>1341</v>
      </c>
      <c r="K646" s="27" t="s">
        <v>838</v>
      </c>
      <c r="L646" s="27" t="s">
        <v>1369</v>
      </c>
      <c r="M646" s="27" t="s">
        <v>267</v>
      </c>
      <c r="N646" s="27" t="str">
        <f>inicioTerminales[[#This Row],[TIPO BUS]]&amp;"-"&amp;inicioTerminales[[#This Row],[MARCA CHASIS]]</f>
        <v>A2-VOLVO</v>
      </c>
    </row>
    <row r="647" spans="1:14">
      <c r="A647" s="27" t="s">
        <v>10</v>
      </c>
      <c r="B647" s="27" t="s">
        <v>404</v>
      </c>
      <c r="C647" s="27">
        <v>2026</v>
      </c>
      <c r="D647" s="27" t="s">
        <v>285</v>
      </c>
      <c r="E647" s="27" t="s">
        <v>405</v>
      </c>
      <c r="F647" s="27" t="s">
        <v>145</v>
      </c>
      <c r="G647" s="27" t="str">
        <f>_xlfn.CONCAT(inicioTerminales[[#This Row],[MARCA CHASIS]]," - ", inicioTerminales[[#This Row],[TIPO BUS]])</f>
        <v>MERCEDES BENZ - BPAL</v>
      </c>
      <c r="H647" s="27" t="s">
        <v>267</v>
      </c>
      <c r="I647" s="52">
        <v>45024</v>
      </c>
      <c r="J647" s="27" t="s">
        <v>830</v>
      </c>
      <c r="K647" s="27" t="s">
        <v>838</v>
      </c>
      <c r="L647" s="27" t="s">
        <v>1373</v>
      </c>
      <c r="M647" s="27" t="s">
        <v>897</v>
      </c>
      <c r="N647" s="27" t="str">
        <f>inicioTerminales[[#This Row],[TIPO BUS]]&amp;"-"&amp;inicioTerminales[[#This Row],[MARCA CHASIS]]</f>
        <v>BPAL-MERCEDES BENZ</v>
      </c>
    </row>
    <row r="648" spans="1:14">
      <c r="A648" s="27" t="s">
        <v>10</v>
      </c>
      <c r="B648" s="27" t="s">
        <v>406</v>
      </c>
      <c r="C648" s="27">
        <v>2027</v>
      </c>
      <c r="D648" s="27" t="s">
        <v>285</v>
      </c>
      <c r="E648" s="27" t="s">
        <v>405</v>
      </c>
      <c r="F648" s="27" t="s">
        <v>145</v>
      </c>
      <c r="G648" s="27" t="str">
        <f>_xlfn.CONCAT(inicioTerminales[[#This Row],[MARCA CHASIS]]," - ", inicioTerminales[[#This Row],[TIPO BUS]])</f>
        <v>MERCEDES BENZ - BPAL</v>
      </c>
      <c r="H648" s="27" t="s">
        <v>130</v>
      </c>
      <c r="I648" s="52">
        <v>45024</v>
      </c>
      <c r="J648" s="27" t="s">
        <v>830</v>
      </c>
      <c r="K648" s="27" t="s">
        <v>836</v>
      </c>
      <c r="L648" s="27" t="s">
        <v>1373</v>
      </c>
      <c r="M648" s="27" t="s">
        <v>897</v>
      </c>
      <c r="N648" s="27" t="str">
        <f>inicioTerminales[[#This Row],[TIPO BUS]]&amp;"-"&amp;inicioTerminales[[#This Row],[MARCA CHASIS]]</f>
        <v>BPAL-MERCEDES BENZ</v>
      </c>
    </row>
    <row r="649" spans="1:14">
      <c r="A649" s="27" t="s">
        <v>10</v>
      </c>
      <c r="B649" s="27" t="s">
        <v>407</v>
      </c>
      <c r="C649" s="27">
        <v>2028</v>
      </c>
      <c r="D649" s="27" t="s">
        <v>285</v>
      </c>
      <c r="E649" s="27" t="s">
        <v>405</v>
      </c>
      <c r="F649" s="27" t="s">
        <v>145</v>
      </c>
      <c r="G649" s="27" t="str">
        <f>_xlfn.CONCAT(inicioTerminales[[#This Row],[MARCA CHASIS]]," - ", inicioTerminales[[#This Row],[TIPO BUS]])</f>
        <v>MERCEDES BENZ - BPAL</v>
      </c>
      <c r="H649" s="27" t="s">
        <v>130</v>
      </c>
      <c r="I649" s="52">
        <v>45024</v>
      </c>
      <c r="J649" s="27" t="s">
        <v>830</v>
      </c>
      <c r="K649" s="27" t="s">
        <v>836</v>
      </c>
      <c r="L649" s="27" t="s">
        <v>1373</v>
      </c>
      <c r="M649" s="27" t="s">
        <v>897</v>
      </c>
      <c r="N649" s="27" t="str">
        <f>inicioTerminales[[#This Row],[TIPO BUS]]&amp;"-"&amp;inicioTerminales[[#This Row],[MARCA CHASIS]]</f>
        <v>BPAL-MERCEDES BENZ</v>
      </c>
    </row>
    <row r="650" spans="1:14">
      <c r="A650" s="27" t="s">
        <v>10</v>
      </c>
      <c r="B650" s="27" t="s">
        <v>408</v>
      </c>
      <c r="C650" s="27">
        <v>2029</v>
      </c>
      <c r="D650" s="27" t="s">
        <v>285</v>
      </c>
      <c r="E650" s="27" t="s">
        <v>405</v>
      </c>
      <c r="F650" s="27" t="s">
        <v>145</v>
      </c>
      <c r="G650" s="27" t="str">
        <f>_xlfn.CONCAT(inicioTerminales[[#This Row],[MARCA CHASIS]]," - ", inicioTerminales[[#This Row],[TIPO BUS]])</f>
        <v>MERCEDES BENZ - BPAL</v>
      </c>
      <c r="H650" s="27" t="s">
        <v>130</v>
      </c>
      <c r="I650" s="52">
        <v>45024</v>
      </c>
      <c r="J650" s="27" t="s">
        <v>830</v>
      </c>
      <c r="K650" s="27" t="s">
        <v>836</v>
      </c>
      <c r="L650" s="27" t="s">
        <v>1373</v>
      </c>
      <c r="M650" s="27" t="s">
        <v>897</v>
      </c>
      <c r="N650" s="27" t="str">
        <f>inicioTerminales[[#This Row],[TIPO BUS]]&amp;"-"&amp;inicioTerminales[[#This Row],[MARCA CHASIS]]</f>
        <v>BPAL-MERCEDES BENZ</v>
      </c>
    </row>
    <row r="651" spans="1:14">
      <c r="A651" s="27" t="s">
        <v>10</v>
      </c>
      <c r="B651" s="27" t="s">
        <v>409</v>
      </c>
      <c r="C651" s="27">
        <v>2030</v>
      </c>
      <c r="D651" s="27" t="s">
        <v>285</v>
      </c>
      <c r="E651" s="27" t="s">
        <v>405</v>
      </c>
      <c r="F651" s="27" t="s">
        <v>145</v>
      </c>
      <c r="G651" s="27" t="str">
        <f>_xlfn.CONCAT(inicioTerminales[[#This Row],[MARCA CHASIS]]," - ", inicioTerminales[[#This Row],[TIPO BUS]])</f>
        <v>MERCEDES BENZ - BPAL</v>
      </c>
      <c r="H651" s="27" t="s">
        <v>130</v>
      </c>
      <c r="I651" s="52">
        <v>45024</v>
      </c>
      <c r="J651" s="27" t="s">
        <v>830</v>
      </c>
      <c r="K651" s="27" t="s">
        <v>836</v>
      </c>
      <c r="L651" s="27" t="s">
        <v>1373</v>
      </c>
      <c r="M651" s="27" t="s">
        <v>897</v>
      </c>
      <c r="N651" s="27" t="str">
        <f>inicioTerminales[[#This Row],[TIPO BUS]]&amp;"-"&amp;inicioTerminales[[#This Row],[MARCA CHASIS]]</f>
        <v>BPAL-MERCEDES BENZ</v>
      </c>
    </row>
    <row r="652" spans="1:14">
      <c r="A652" s="27" t="s">
        <v>10</v>
      </c>
      <c r="B652" s="27" t="s">
        <v>410</v>
      </c>
      <c r="C652" s="27">
        <v>2031</v>
      </c>
      <c r="D652" s="27" t="s">
        <v>285</v>
      </c>
      <c r="E652" s="27" t="s">
        <v>405</v>
      </c>
      <c r="F652" s="27" t="s">
        <v>145</v>
      </c>
      <c r="G652" s="27" t="str">
        <f>_xlfn.CONCAT(inicioTerminales[[#This Row],[MARCA CHASIS]]," - ", inicioTerminales[[#This Row],[TIPO BUS]])</f>
        <v>MERCEDES BENZ - BPAL</v>
      </c>
      <c r="H652" s="27" t="s">
        <v>267</v>
      </c>
      <c r="I652" s="52">
        <v>45024</v>
      </c>
      <c r="J652" s="27" t="s">
        <v>830</v>
      </c>
      <c r="K652" s="27" t="s">
        <v>838</v>
      </c>
      <c r="L652" s="27" t="s">
        <v>1373</v>
      </c>
      <c r="M652" s="27" t="s">
        <v>897</v>
      </c>
      <c r="N652" s="27" t="str">
        <f>inicioTerminales[[#This Row],[TIPO BUS]]&amp;"-"&amp;inicioTerminales[[#This Row],[MARCA CHASIS]]</f>
        <v>BPAL-MERCEDES BENZ</v>
      </c>
    </row>
    <row r="653" spans="1:14">
      <c r="A653" s="27" t="s">
        <v>10</v>
      </c>
      <c r="B653" s="27" t="s">
        <v>411</v>
      </c>
      <c r="C653" s="27">
        <v>2032</v>
      </c>
      <c r="D653" s="27" t="s">
        <v>285</v>
      </c>
      <c r="E653" s="27" t="s">
        <v>405</v>
      </c>
      <c r="F653" s="27" t="s">
        <v>145</v>
      </c>
      <c r="G653" s="27" t="str">
        <f>_xlfn.CONCAT(inicioTerminales[[#This Row],[MARCA CHASIS]]," - ", inicioTerminales[[#This Row],[TIPO BUS]])</f>
        <v>MERCEDES BENZ - BPAL</v>
      </c>
      <c r="H653" s="27" t="s">
        <v>130</v>
      </c>
      <c r="I653" s="52">
        <v>45024</v>
      </c>
      <c r="J653" s="27" t="s">
        <v>830</v>
      </c>
      <c r="K653" s="27" t="s">
        <v>836</v>
      </c>
      <c r="L653" s="27" t="s">
        <v>1373</v>
      </c>
      <c r="M653" s="27" t="s">
        <v>897</v>
      </c>
      <c r="N653" s="27" t="str">
        <f>inicioTerminales[[#This Row],[TIPO BUS]]&amp;"-"&amp;inicioTerminales[[#This Row],[MARCA CHASIS]]</f>
        <v>BPAL-MERCEDES BENZ</v>
      </c>
    </row>
    <row r="654" spans="1:14">
      <c r="A654" s="27" t="s">
        <v>10</v>
      </c>
      <c r="B654" s="27" t="s">
        <v>412</v>
      </c>
      <c r="C654" s="27">
        <v>2033</v>
      </c>
      <c r="D654" s="27" t="s">
        <v>285</v>
      </c>
      <c r="E654" s="27" t="s">
        <v>405</v>
      </c>
      <c r="F654" s="27" t="s">
        <v>145</v>
      </c>
      <c r="G654" s="27" t="str">
        <f>_xlfn.CONCAT(inicioTerminales[[#This Row],[MARCA CHASIS]]," - ", inicioTerminales[[#This Row],[TIPO BUS]])</f>
        <v>MERCEDES BENZ - BPAL</v>
      </c>
      <c r="H654" s="27" t="s">
        <v>15</v>
      </c>
      <c r="I654" s="52">
        <v>45024</v>
      </c>
      <c r="J654" s="27" t="s">
        <v>830</v>
      </c>
      <c r="K654" s="27" t="s">
        <v>837</v>
      </c>
      <c r="L654" s="27" t="s">
        <v>1373</v>
      </c>
      <c r="M654" s="27" t="s">
        <v>897</v>
      </c>
      <c r="N654" s="27" t="str">
        <f>inicioTerminales[[#This Row],[TIPO BUS]]&amp;"-"&amp;inicioTerminales[[#This Row],[MARCA CHASIS]]</f>
        <v>BPAL-MERCEDES BENZ</v>
      </c>
    </row>
    <row r="655" spans="1:14">
      <c r="A655" s="27" t="s">
        <v>10</v>
      </c>
      <c r="B655" s="27" t="s">
        <v>413</v>
      </c>
      <c r="C655" s="27">
        <v>2034</v>
      </c>
      <c r="D655" s="27" t="s">
        <v>285</v>
      </c>
      <c r="E655" s="27" t="s">
        <v>405</v>
      </c>
      <c r="F655" s="27" t="s">
        <v>145</v>
      </c>
      <c r="G655" s="27" t="str">
        <f>_xlfn.CONCAT(inicioTerminales[[#This Row],[MARCA CHASIS]]," - ", inicioTerminales[[#This Row],[TIPO BUS]])</f>
        <v>MERCEDES BENZ - BPAL</v>
      </c>
      <c r="H655" s="27" t="s">
        <v>130</v>
      </c>
      <c r="I655" s="52">
        <v>45024</v>
      </c>
      <c r="J655" s="27" t="s">
        <v>830</v>
      </c>
      <c r="K655" s="27" t="s">
        <v>836</v>
      </c>
      <c r="L655" s="27" t="s">
        <v>1373</v>
      </c>
      <c r="M655" s="27" t="s">
        <v>897</v>
      </c>
      <c r="N655" s="27" t="str">
        <f>inicioTerminales[[#This Row],[TIPO BUS]]&amp;"-"&amp;inicioTerminales[[#This Row],[MARCA CHASIS]]</f>
        <v>BPAL-MERCEDES BENZ</v>
      </c>
    </row>
    <row r="656" spans="1:14">
      <c r="A656" s="27" t="s">
        <v>10</v>
      </c>
      <c r="B656" s="27" t="s">
        <v>414</v>
      </c>
      <c r="C656" s="27">
        <v>2035</v>
      </c>
      <c r="D656" s="27" t="s">
        <v>285</v>
      </c>
      <c r="E656" s="27" t="s">
        <v>405</v>
      </c>
      <c r="F656" s="27" t="s">
        <v>145</v>
      </c>
      <c r="G656" s="27" t="str">
        <f>_xlfn.CONCAT(inicioTerminales[[#This Row],[MARCA CHASIS]]," - ", inicioTerminales[[#This Row],[TIPO BUS]])</f>
        <v>MERCEDES BENZ - BPAL</v>
      </c>
      <c r="H656" s="27" t="s">
        <v>15</v>
      </c>
      <c r="I656" s="52">
        <v>45024</v>
      </c>
      <c r="J656" s="27" t="s">
        <v>830</v>
      </c>
      <c r="K656" s="27" t="s">
        <v>837</v>
      </c>
      <c r="L656" s="27" t="s">
        <v>1373</v>
      </c>
      <c r="M656" s="27" t="s">
        <v>130</v>
      </c>
      <c r="N656" s="27" t="str">
        <f>inicioTerminales[[#This Row],[TIPO BUS]]&amp;"-"&amp;inicioTerminales[[#This Row],[MARCA CHASIS]]</f>
        <v>BPAL-MERCEDES BENZ</v>
      </c>
    </row>
    <row r="657" spans="1:14">
      <c r="A657" s="27" t="s">
        <v>10</v>
      </c>
      <c r="B657" s="27" t="s">
        <v>415</v>
      </c>
      <c r="C657" s="27">
        <v>2036</v>
      </c>
      <c r="D657" s="27" t="s">
        <v>285</v>
      </c>
      <c r="E657" s="27" t="s">
        <v>405</v>
      </c>
      <c r="F657" s="27" t="s">
        <v>145</v>
      </c>
      <c r="G657" s="27" t="str">
        <f>_xlfn.CONCAT(inicioTerminales[[#This Row],[MARCA CHASIS]]," - ", inicioTerminales[[#This Row],[TIPO BUS]])</f>
        <v>MERCEDES BENZ - BPAL</v>
      </c>
      <c r="H657" s="27" t="s">
        <v>130</v>
      </c>
      <c r="I657" s="52">
        <v>45024</v>
      </c>
      <c r="J657" s="27" t="s">
        <v>830</v>
      </c>
      <c r="K657" s="27" t="s">
        <v>836</v>
      </c>
      <c r="L657" s="27" t="s">
        <v>1373</v>
      </c>
      <c r="M657" s="27" t="s">
        <v>897</v>
      </c>
      <c r="N657" s="27" t="str">
        <f>inicioTerminales[[#This Row],[TIPO BUS]]&amp;"-"&amp;inicioTerminales[[#This Row],[MARCA CHASIS]]</f>
        <v>BPAL-MERCEDES BENZ</v>
      </c>
    </row>
    <row r="658" spans="1:14">
      <c r="A658" s="27" t="s">
        <v>10</v>
      </c>
      <c r="B658" s="27" t="s">
        <v>416</v>
      </c>
      <c r="C658" s="27">
        <v>2037</v>
      </c>
      <c r="D658" s="27" t="s">
        <v>285</v>
      </c>
      <c r="E658" s="27" t="s">
        <v>405</v>
      </c>
      <c r="F658" s="27" t="s">
        <v>145</v>
      </c>
      <c r="G658" s="27" t="str">
        <f>_xlfn.CONCAT(inicioTerminales[[#This Row],[MARCA CHASIS]]," - ", inicioTerminales[[#This Row],[TIPO BUS]])</f>
        <v>MERCEDES BENZ - BPAL</v>
      </c>
      <c r="H658" s="27" t="s">
        <v>267</v>
      </c>
      <c r="I658" s="52">
        <v>45024</v>
      </c>
      <c r="J658" s="27" t="s">
        <v>830</v>
      </c>
      <c r="K658" s="27" t="s">
        <v>838</v>
      </c>
      <c r="L658" s="27" t="s">
        <v>1373</v>
      </c>
      <c r="M658" s="27" t="s">
        <v>897</v>
      </c>
      <c r="N658" s="27" t="str">
        <f>inicioTerminales[[#This Row],[TIPO BUS]]&amp;"-"&amp;inicioTerminales[[#This Row],[MARCA CHASIS]]</f>
        <v>BPAL-MERCEDES BENZ</v>
      </c>
    </row>
    <row r="659" spans="1:14">
      <c r="A659" s="27" t="s">
        <v>10</v>
      </c>
      <c r="B659" s="27" t="s">
        <v>417</v>
      </c>
      <c r="C659" s="27">
        <v>2038</v>
      </c>
      <c r="D659" s="27" t="s">
        <v>285</v>
      </c>
      <c r="E659" s="27" t="s">
        <v>405</v>
      </c>
      <c r="F659" s="27" t="s">
        <v>145</v>
      </c>
      <c r="G659" s="27" t="str">
        <f>_xlfn.CONCAT(inicioTerminales[[#This Row],[MARCA CHASIS]]," - ", inicioTerminales[[#This Row],[TIPO BUS]])</f>
        <v>MERCEDES BENZ - BPAL</v>
      </c>
      <c r="H659" s="27" t="s">
        <v>15</v>
      </c>
      <c r="I659" s="52">
        <v>45024</v>
      </c>
      <c r="J659" s="27" t="s">
        <v>830</v>
      </c>
      <c r="K659" s="27" t="s">
        <v>837</v>
      </c>
      <c r="L659" s="27" t="s">
        <v>1373</v>
      </c>
      <c r="M659" s="27" t="s">
        <v>130</v>
      </c>
      <c r="N659" s="27" t="str">
        <f>inicioTerminales[[#This Row],[TIPO BUS]]&amp;"-"&amp;inicioTerminales[[#This Row],[MARCA CHASIS]]</f>
        <v>BPAL-MERCEDES BENZ</v>
      </c>
    </row>
    <row r="660" spans="1:14">
      <c r="A660" s="27" t="s">
        <v>10</v>
      </c>
      <c r="B660" s="27" t="s">
        <v>418</v>
      </c>
      <c r="C660" s="27">
        <v>2039</v>
      </c>
      <c r="D660" s="27" t="s">
        <v>285</v>
      </c>
      <c r="E660" s="27" t="s">
        <v>405</v>
      </c>
      <c r="F660" s="27" t="s">
        <v>145</v>
      </c>
      <c r="G660" s="27" t="str">
        <f>_xlfn.CONCAT(inicioTerminales[[#This Row],[MARCA CHASIS]]," - ", inicioTerminales[[#This Row],[TIPO BUS]])</f>
        <v>MERCEDES BENZ - BPAL</v>
      </c>
      <c r="H660" s="27" t="s">
        <v>130</v>
      </c>
      <c r="I660" s="52">
        <v>45024</v>
      </c>
      <c r="J660" s="27" t="s">
        <v>830</v>
      </c>
      <c r="K660" s="27" t="s">
        <v>836</v>
      </c>
      <c r="L660" s="27" t="s">
        <v>1373</v>
      </c>
      <c r="M660" s="27" t="s">
        <v>897</v>
      </c>
      <c r="N660" s="27" t="str">
        <f>inicioTerminales[[#This Row],[TIPO BUS]]&amp;"-"&amp;inicioTerminales[[#This Row],[MARCA CHASIS]]</f>
        <v>BPAL-MERCEDES BENZ</v>
      </c>
    </row>
    <row r="661" spans="1:14">
      <c r="A661" s="27" t="s">
        <v>10</v>
      </c>
      <c r="B661" s="27" t="s">
        <v>419</v>
      </c>
      <c r="C661" s="27">
        <v>2040</v>
      </c>
      <c r="D661" s="27" t="s">
        <v>285</v>
      </c>
      <c r="E661" s="27" t="s">
        <v>405</v>
      </c>
      <c r="F661" s="27" t="s">
        <v>145</v>
      </c>
      <c r="G661" s="27" t="str">
        <f>_xlfn.CONCAT(inicioTerminales[[#This Row],[MARCA CHASIS]]," - ", inicioTerminales[[#This Row],[TIPO BUS]])</f>
        <v>MERCEDES BENZ - BPAL</v>
      </c>
      <c r="H661" s="27" t="s">
        <v>267</v>
      </c>
      <c r="I661" s="52">
        <v>45024</v>
      </c>
      <c r="J661" s="27" t="s">
        <v>830</v>
      </c>
      <c r="K661" s="27" t="s">
        <v>838</v>
      </c>
      <c r="L661" s="27" t="s">
        <v>1373</v>
      </c>
      <c r="M661" s="27" t="s">
        <v>897</v>
      </c>
      <c r="N661" s="27" t="str">
        <f>inicioTerminales[[#This Row],[TIPO BUS]]&amp;"-"&amp;inicioTerminales[[#This Row],[MARCA CHASIS]]</f>
        <v>BPAL-MERCEDES BENZ</v>
      </c>
    </row>
    <row r="662" spans="1:14">
      <c r="A662" s="27" t="s">
        <v>10</v>
      </c>
      <c r="B662" s="27" t="s">
        <v>420</v>
      </c>
      <c r="C662" s="27">
        <v>2041</v>
      </c>
      <c r="D662" s="27" t="s">
        <v>285</v>
      </c>
      <c r="E662" s="27" t="s">
        <v>405</v>
      </c>
      <c r="F662" s="27" t="s">
        <v>145</v>
      </c>
      <c r="G662" s="27" t="str">
        <f>_xlfn.CONCAT(inicioTerminales[[#This Row],[MARCA CHASIS]]," - ", inicioTerminales[[#This Row],[TIPO BUS]])</f>
        <v>MERCEDES BENZ - BPAL</v>
      </c>
      <c r="H662" s="27" t="s">
        <v>130</v>
      </c>
      <c r="I662" s="52">
        <v>45024</v>
      </c>
      <c r="J662" s="27" t="s">
        <v>830</v>
      </c>
      <c r="K662" s="27" t="s">
        <v>836</v>
      </c>
      <c r="L662" s="27" t="s">
        <v>1373</v>
      </c>
      <c r="M662" s="27" t="s">
        <v>897</v>
      </c>
      <c r="N662" s="27" t="str">
        <f>inicioTerminales[[#This Row],[TIPO BUS]]&amp;"-"&amp;inicioTerminales[[#This Row],[MARCA CHASIS]]</f>
        <v>BPAL-MERCEDES BENZ</v>
      </c>
    </row>
    <row r="663" spans="1:14">
      <c r="A663" s="27" t="s">
        <v>421</v>
      </c>
      <c r="B663" s="27" t="s">
        <v>484</v>
      </c>
      <c r="C663" s="27">
        <v>6016</v>
      </c>
      <c r="D663" s="27" t="s">
        <v>285</v>
      </c>
      <c r="E663" s="27" t="s">
        <v>405</v>
      </c>
      <c r="F663" s="27" t="s">
        <v>145</v>
      </c>
      <c r="G663" s="27" t="str">
        <f>_xlfn.CONCAT(inicioTerminales[[#This Row],[MARCA CHASIS]]," - ", inicioTerminales[[#This Row],[TIPO BUS]])</f>
        <v>MERCEDES BENZ - BPAL</v>
      </c>
      <c r="H663" s="27" t="s">
        <v>674</v>
      </c>
      <c r="I663" s="52">
        <v>45024</v>
      </c>
      <c r="J663" s="27" t="s">
        <v>830</v>
      </c>
      <c r="K663" s="27" t="s">
        <v>840</v>
      </c>
      <c r="L663" s="27" t="s">
        <v>1373</v>
      </c>
      <c r="M663" s="27" t="s">
        <v>674</v>
      </c>
      <c r="N663" s="27" t="str">
        <f>inicioTerminales[[#This Row],[TIPO BUS]]&amp;"-"&amp;inicioTerminales[[#This Row],[MARCA CHASIS]]</f>
        <v>BPAL-MERCEDES BENZ</v>
      </c>
    </row>
    <row r="664" spans="1:14">
      <c r="A664" s="27" t="s">
        <v>421</v>
      </c>
      <c r="B664" s="27" t="s">
        <v>485</v>
      </c>
      <c r="C664" s="27">
        <v>6017</v>
      </c>
      <c r="D664" s="27" t="s">
        <v>285</v>
      </c>
      <c r="E664" s="27" t="s">
        <v>405</v>
      </c>
      <c r="F664" s="27" t="s">
        <v>145</v>
      </c>
      <c r="G664" s="27" t="str">
        <f>_xlfn.CONCAT(inicioTerminales[[#This Row],[MARCA CHASIS]]," - ", inicioTerminales[[#This Row],[TIPO BUS]])</f>
        <v>MERCEDES BENZ - BPAL</v>
      </c>
      <c r="H664" s="27" t="s">
        <v>674</v>
      </c>
      <c r="I664" s="52">
        <v>45024</v>
      </c>
      <c r="J664" s="27" t="s">
        <v>830</v>
      </c>
      <c r="K664" s="27" t="s">
        <v>840</v>
      </c>
      <c r="L664" s="27" t="s">
        <v>1373</v>
      </c>
      <c r="M664" s="27" t="s">
        <v>674</v>
      </c>
      <c r="N664" s="27" t="str">
        <f>inicioTerminales[[#This Row],[TIPO BUS]]&amp;"-"&amp;inicioTerminales[[#This Row],[MARCA CHASIS]]</f>
        <v>BPAL-MERCEDES BENZ</v>
      </c>
    </row>
    <row r="665" spans="1:14">
      <c r="A665" s="27" t="s">
        <v>421</v>
      </c>
      <c r="B665" s="27" t="s">
        <v>486</v>
      </c>
      <c r="C665" s="27">
        <v>6018</v>
      </c>
      <c r="D665" s="27" t="s">
        <v>285</v>
      </c>
      <c r="E665" s="27" t="s">
        <v>405</v>
      </c>
      <c r="F665" s="27" t="s">
        <v>145</v>
      </c>
      <c r="G665" s="27" t="str">
        <f>_xlfn.CONCAT(inicioTerminales[[#This Row],[MARCA CHASIS]]," - ", inicioTerminales[[#This Row],[TIPO BUS]])</f>
        <v>MERCEDES BENZ - BPAL</v>
      </c>
      <c r="H665" s="27" t="s">
        <v>674</v>
      </c>
      <c r="I665" s="52">
        <v>45024</v>
      </c>
      <c r="J665" s="27" t="s">
        <v>830</v>
      </c>
      <c r="K665" s="27" t="s">
        <v>840</v>
      </c>
      <c r="L665" s="27" t="s">
        <v>1373</v>
      </c>
      <c r="M665" s="27" t="s">
        <v>674</v>
      </c>
      <c r="N665" s="27" t="str">
        <f>inicioTerminales[[#This Row],[TIPO BUS]]&amp;"-"&amp;inicioTerminales[[#This Row],[MARCA CHASIS]]</f>
        <v>BPAL-MERCEDES BENZ</v>
      </c>
    </row>
    <row r="666" spans="1:14">
      <c r="A666" s="27" t="s">
        <v>421</v>
      </c>
      <c r="B666" s="27" t="s">
        <v>487</v>
      </c>
      <c r="C666" s="27">
        <v>6019</v>
      </c>
      <c r="D666" s="27" t="s">
        <v>285</v>
      </c>
      <c r="E666" s="27" t="s">
        <v>405</v>
      </c>
      <c r="F666" s="27" t="s">
        <v>145</v>
      </c>
      <c r="G666" s="27" t="str">
        <f>_xlfn.CONCAT(inicioTerminales[[#This Row],[MARCA CHASIS]]," - ", inicioTerminales[[#This Row],[TIPO BUS]])</f>
        <v>MERCEDES BENZ - BPAL</v>
      </c>
      <c r="H666" s="27" t="s">
        <v>674</v>
      </c>
      <c r="I666" s="52">
        <v>45024</v>
      </c>
      <c r="J666" s="27" t="s">
        <v>830</v>
      </c>
      <c r="K666" s="27" t="s">
        <v>840</v>
      </c>
      <c r="L666" s="27" t="s">
        <v>1373</v>
      </c>
      <c r="M666" s="27" t="s">
        <v>674</v>
      </c>
      <c r="N666" s="27" t="str">
        <f>inicioTerminales[[#This Row],[TIPO BUS]]&amp;"-"&amp;inicioTerminales[[#This Row],[MARCA CHASIS]]</f>
        <v>BPAL-MERCEDES BENZ</v>
      </c>
    </row>
    <row r="667" spans="1:14">
      <c r="A667" s="27" t="s">
        <v>421</v>
      </c>
      <c r="B667" s="27" t="s">
        <v>488</v>
      </c>
      <c r="C667" s="27">
        <v>6020</v>
      </c>
      <c r="D667" s="27" t="s">
        <v>285</v>
      </c>
      <c r="E667" s="27" t="s">
        <v>405</v>
      </c>
      <c r="F667" s="27" t="s">
        <v>145</v>
      </c>
      <c r="G667" s="27" t="str">
        <f>_xlfn.CONCAT(inicioTerminales[[#This Row],[MARCA CHASIS]]," - ", inicioTerminales[[#This Row],[TIPO BUS]])</f>
        <v>MERCEDES BENZ - BPAL</v>
      </c>
      <c r="H667" s="27" t="s">
        <v>674</v>
      </c>
      <c r="I667" s="52">
        <v>45024</v>
      </c>
      <c r="J667" s="27" t="s">
        <v>830</v>
      </c>
      <c r="K667" s="27" t="s">
        <v>840</v>
      </c>
      <c r="L667" s="27" t="s">
        <v>1373</v>
      </c>
      <c r="M667" s="27" t="s">
        <v>674</v>
      </c>
      <c r="N667" s="27" t="str">
        <f>inicioTerminales[[#This Row],[TIPO BUS]]&amp;"-"&amp;inicioTerminales[[#This Row],[MARCA CHASIS]]</f>
        <v>BPAL-MERCEDES BENZ</v>
      </c>
    </row>
    <row r="668" spans="1:14">
      <c r="A668" s="27" t="s">
        <v>421</v>
      </c>
      <c r="B668" s="27" t="s">
        <v>489</v>
      </c>
      <c r="C668" s="27">
        <v>6021</v>
      </c>
      <c r="D668" s="27" t="s">
        <v>285</v>
      </c>
      <c r="E668" s="27" t="s">
        <v>405</v>
      </c>
      <c r="F668" s="27" t="s">
        <v>145</v>
      </c>
      <c r="G668" s="27" t="str">
        <f>_xlfn.CONCAT(inicioTerminales[[#This Row],[MARCA CHASIS]]," - ", inicioTerminales[[#This Row],[TIPO BUS]])</f>
        <v>MERCEDES BENZ - BPAL</v>
      </c>
      <c r="H668" s="27" t="s">
        <v>674</v>
      </c>
      <c r="I668" s="52">
        <v>45024</v>
      </c>
      <c r="J668" s="27" t="s">
        <v>830</v>
      </c>
      <c r="K668" s="27" t="s">
        <v>840</v>
      </c>
      <c r="L668" s="27" t="s">
        <v>1373</v>
      </c>
      <c r="M668" s="27" t="s">
        <v>674</v>
      </c>
      <c r="N668" s="27" t="str">
        <f>inicioTerminales[[#This Row],[TIPO BUS]]&amp;"-"&amp;inicioTerminales[[#This Row],[MARCA CHASIS]]</f>
        <v>BPAL-MERCEDES BENZ</v>
      </c>
    </row>
    <row r="669" spans="1:14">
      <c r="A669" s="27" t="s">
        <v>421</v>
      </c>
      <c r="B669" s="27" t="s">
        <v>544</v>
      </c>
      <c r="C669" s="27">
        <v>6022</v>
      </c>
      <c r="D669" s="27" t="s">
        <v>285</v>
      </c>
      <c r="E669" s="27" t="s">
        <v>405</v>
      </c>
      <c r="F669" s="27" t="s">
        <v>145</v>
      </c>
      <c r="G669" s="27" t="str">
        <f>_xlfn.CONCAT(inicioTerminales[[#This Row],[MARCA CHASIS]]," - ", inicioTerminales[[#This Row],[TIPO BUS]])</f>
        <v>MERCEDES BENZ - BPAL</v>
      </c>
      <c r="H669" s="27" t="s">
        <v>674</v>
      </c>
      <c r="I669" s="52">
        <v>45024</v>
      </c>
      <c r="J669" s="27" t="s">
        <v>830</v>
      </c>
      <c r="K669" s="27" t="s">
        <v>840</v>
      </c>
      <c r="L669" s="27" t="s">
        <v>1373</v>
      </c>
      <c r="M669" s="27" t="s">
        <v>674</v>
      </c>
      <c r="N669" s="27" t="str">
        <f>inicioTerminales[[#This Row],[TIPO BUS]]&amp;"-"&amp;inicioTerminales[[#This Row],[MARCA CHASIS]]</f>
        <v>BPAL-MERCEDES BENZ</v>
      </c>
    </row>
    <row r="670" spans="1:14">
      <c r="A670" s="27" t="s">
        <v>421</v>
      </c>
      <c r="B670" s="27" t="s">
        <v>490</v>
      </c>
      <c r="C670" s="27">
        <v>6023</v>
      </c>
      <c r="D670" s="27" t="s">
        <v>285</v>
      </c>
      <c r="E670" s="27" t="s">
        <v>405</v>
      </c>
      <c r="F670" s="27" t="s">
        <v>145</v>
      </c>
      <c r="G670" s="27" t="str">
        <f>_xlfn.CONCAT(inicioTerminales[[#This Row],[MARCA CHASIS]]," - ", inicioTerminales[[#This Row],[TIPO BUS]])</f>
        <v>MERCEDES BENZ - BPAL</v>
      </c>
      <c r="H670" s="27" t="s">
        <v>674</v>
      </c>
      <c r="I670" s="52">
        <v>45024</v>
      </c>
      <c r="J670" s="27" t="s">
        <v>830</v>
      </c>
      <c r="K670" s="27" t="s">
        <v>840</v>
      </c>
      <c r="L670" s="27" t="s">
        <v>1373</v>
      </c>
      <c r="M670" s="27" t="s">
        <v>674</v>
      </c>
      <c r="N670" s="27" t="str">
        <f>inicioTerminales[[#This Row],[TIPO BUS]]&amp;"-"&amp;inicioTerminales[[#This Row],[MARCA CHASIS]]</f>
        <v>BPAL-MERCEDES BENZ</v>
      </c>
    </row>
    <row r="671" spans="1:14">
      <c r="A671" s="27" t="s">
        <v>421</v>
      </c>
      <c r="B671" s="27" t="s">
        <v>545</v>
      </c>
      <c r="C671" s="27">
        <v>6024</v>
      </c>
      <c r="D671" s="27" t="s">
        <v>285</v>
      </c>
      <c r="E671" s="27" t="s">
        <v>405</v>
      </c>
      <c r="F671" s="27" t="s">
        <v>145</v>
      </c>
      <c r="G671" s="27" t="str">
        <f>_xlfn.CONCAT(inicioTerminales[[#This Row],[MARCA CHASIS]]," - ", inicioTerminales[[#This Row],[TIPO BUS]])</f>
        <v>MERCEDES BENZ - BPAL</v>
      </c>
      <c r="H671" s="27" t="s">
        <v>674</v>
      </c>
      <c r="I671" s="52">
        <v>45024</v>
      </c>
      <c r="J671" s="27" t="s">
        <v>830</v>
      </c>
      <c r="K671" s="27" t="s">
        <v>840</v>
      </c>
      <c r="L671" s="27" t="s">
        <v>1373</v>
      </c>
      <c r="M671" s="27" t="s">
        <v>674</v>
      </c>
      <c r="N671" s="27" t="str">
        <f>inicioTerminales[[#This Row],[TIPO BUS]]&amp;"-"&amp;inicioTerminales[[#This Row],[MARCA CHASIS]]</f>
        <v>BPAL-MERCEDES BENZ</v>
      </c>
    </row>
    <row r="672" spans="1:14">
      <c r="A672" s="27" t="s">
        <v>421</v>
      </c>
      <c r="B672" s="27" t="s">
        <v>546</v>
      </c>
      <c r="C672" s="27">
        <v>6025</v>
      </c>
      <c r="D672" s="27" t="s">
        <v>285</v>
      </c>
      <c r="E672" s="27" t="s">
        <v>405</v>
      </c>
      <c r="F672" s="27" t="s">
        <v>145</v>
      </c>
      <c r="G672" s="27" t="str">
        <f>_xlfn.CONCAT(inicioTerminales[[#This Row],[MARCA CHASIS]]," - ", inicioTerminales[[#This Row],[TIPO BUS]])</f>
        <v>MERCEDES BENZ - BPAL</v>
      </c>
      <c r="H672" s="27" t="s">
        <v>674</v>
      </c>
      <c r="I672" s="52">
        <v>45024</v>
      </c>
      <c r="J672" s="27" t="s">
        <v>830</v>
      </c>
      <c r="K672" s="27" t="s">
        <v>840</v>
      </c>
      <c r="L672" s="27" t="s">
        <v>1373</v>
      </c>
      <c r="M672" s="27" t="s">
        <v>674</v>
      </c>
      <c r="N672" s="27" t="str">
        <f>inicioTerminales[[#This Row],[TIPO BUS]]&amp;"-"&amp;inicioTerminales[[#This Row],[MARCA CHASIS]]</f>
        <v>BPAL-MERCEDES BENZ</v>
      </c>
    </row>
    <row r="673" spans="1:14">
      <c r="A673" s="27" t="s">
        <v>421</v>
      </c>
      <c r="B673" s="27" t="s">
        <v>491</v>
      </c>
      <c r="C673" s="27">
        <v>6026</v>
      </c>
      <c r="D673" s="27" t="s">
        <v>285</v>
      </c>
      <c r="E673" s="27" t="s">
        <v>405</v>
      </c>
      <c r="F673" s="27" t="s">
        <v>145</v>
      </c>
      <c r="G673" s="27" t="str">
        <f>_xlfn.CONCAT(inicioTerminales[[#This Row],[MARCA CHASIS]]," - ", inicioTerminales[[#This Row],[TIPO BUS]])</f>
        <v>MERCEDES BENZ - BPAL</v>
      </c>
      <c r="H673" s="27" t="s">
        <v>674</v>
      </c>
      <c r="I673" s="52">
        <v>45024</v>
      </c>
      <c r="J673" s="27" t="s">
        <v>830</v>
      </c>
      <c r="K673" s="27" t="s">
        <v>840</v>
      </c>
      <c r="L673" s="27" t="s">
        <v>1373</v>
      </c>
      <c r="M673" s="27" t="s">
        <v>674</v>
      </c>
      <c r="N673" s="27" t="str">
        <f>inicioTerminales[[#This Row],[TIPO BUS]]&amp;"-"&amp;inicioTerminales[[#This Row],[MARCA CHASIS]]</f>
        <v>BPAL-MERCEDES BENZ</v>
      </c>
    </row>
    <row r="674" spans="1:14">
      <c r="A674" s="27" t="s">
        <v>10</v>
      </c>
      <c r="B674" s="27" t="s">
        <v>313</v>
      </c>
      <c r="C674" s="27">
        <v>3052</v>
      </c>
      <c r="D674" s="27" t="s">
        <v>147</v>
      </c>
      <c r="E674" s="27" t="s">
        <v>13</v>
      </c>
      <c r="F674" s="27" t="s">
        <v>149</v>
      </c>
      <c r="G674" s="27" t="str">
        <f>_xlfn.CONCAT(inicioTerminales[[#This Row],[MARCA CHASIS]]," - ", inicioTerminales[[#This Row],[TIPO BUS]])</f>
        <v>FOTON - BE</v>
      </c>
      <c r="H674" s="27" t="s">
        <v>267</v>
      </c>
      <c r="I674" s="52">
        <v>45150</v>
      </c>
      <c r="J674" s="27" t="s">
        <v>1341</v>
      </c>
      <c r="K674" s="27" t="s">
        <v>838</v>
      </c>
      <c r="L674" s="27" t="s">
        <v>1369</v>
      </c>
      <c r="M674" s="27" t="s">
        <v>267</v>
      </c>
      <c r="N674" s="27" t="str">
        <f>inicioTerminales[[#This Row],[TIPO BUS]]&amp;"-"&amp;inicioTerminales[[#This Row],[MARCA CHASIS]]</f>
        <v>BE-FOTON</v>
      </c>
    </row>
    <row r="675" spans="1:14">
      <c r="A675" s="27" t="s">
        <v>10</v>
      </c>
      <c r="B675" s="27" t="s">
        <v>314</v>
      </c>
      <c r="C675" s="27">
        <v>3053</v>
      </c>
      <c r="D675" s="27" t="s">
        <v>147</v>
      </c>
      <c r="E675" s="27" t="s">
        <v>13</v>
      </c>
      <c r="F675" s="27" t="s">
        <v>149</v>
      </c>
      <c r="G675" s="27" t="str">
        <f>_xlfn.CONCAT(inicioTerminales[[#This Row],[MARCA CHASIS]]," - ", inicioTerminales[[#This Row],[TIPO BUS]])</f>
        <v>FOTON - BE</v>
      </c>
      <c r="H675" s="27" t="s">
        <v>267</v>
      </c>
      <c r="I675" s="52">
        <v>45150</v>
      </c>
      <c r="J675" s="27" t="s">
        <v>1341</v>
      </c>
      <c r="K675" s="27" t="s">
        <v>838</v>
      </c>
      <c r="L675" s="27" t="s">
        <v>1369</v>
      </c>
      <c r="M675" s="27" t="s">
        <v>267</v>
      </c>
      <c r="N675" s="27" t="str">
        <f>inicioTerminales[[#This Row],[TIPO BUS]]&amp;"-"&amp;inicioTerminales[[#This Row],[MARCA CHASIS]]</f>
        <v>BE-FOTON</v>
      </c>
    </row>
    <row r="676" spans="1:14">
      <c r="A676" s="27" t="s">
        <v>10</v>
      </c>
      <c r="B676" s="27" t="s">
        <v>315</v>
      </c>
      <c r="C676" s="27">
        <v>3054</v>
      </c>
      <c r="D676" s="27" t="s">
        <v>147</v>
      </c>
      <c r="E676" s="27" t="s">
        <v>13</v>
      </c>
      <c r="F676" s="27" t="s">
        <v>149</v>
      </c>
      <c r="G676" s="27" t="str">
        <f>_xlfn.CONCAT(inicioTerminales[[#This Row],[MARCA CHASIS]]," - ", inicioTerminales[[#This Row],[TIPO BUS]])</f>
        <v>FOTON - BE</v>
      </c>
      <c r="H676" s="27" t="s">
        <v>267</v>
      </c>
      <c r="I676" s="52">
        <v>45150</v>
      </c>
      <c r="J676" s="27" t="s">
        <v>1341</v>
      </c>
      <c r="K676" s="27" t="s">
        <v>838</v>
      </c>
      <c r="L676" s="27" t="s">
        <v>1369</v>
      </c>
      <c r="M676" s="27" t="s">
        <v>267</v>
      </c>
      <c r="N676" s="27" t="str">
        <f>inicioTerminales[[#This Row],[TIPO BUS]]&amp;"-"&amp;inicioTerminales[[#This Row],[MARCA CHASIS]]</f>
        <v>BE-FOTON</v>
      </c>
    </row>
    <row r="677" spans="1:14">
      <c r="A677" s="27" t="s">
        <v>10</v>
      </c>
      <c r="B677" s="27" t="s">
        <v>316</v>
      </c>
      <c r="C677" s="27">
        <v>3055</v>
      </c>
      <c r="D677" s="27" t="s">
        <v>147</v>
      </c>
      <c r="E677" s="27" t="s">
        <v>13</v>
      </c>
      <c r="F677" s="27" t="s">
        <v>149</v>
      </c>
      <c r="G677" s="27" t="str">
        <f>_xlfn.CONCAT(inicioTerminales[[#This Row],[MARCA CHASIS]]," - ", inicioTerminales[[#This Row],[TIPO BUS]])</f>
        <v>FOTON - BE</v>
      </c>
      <c r="H677" s="27" t="s">
        <v>267</v>
      </c>
      <c r="I677" s="52">
        <v>45150</v>
      </c>
      <c r="J677" s="27" t="s">
        <v>1341</v>
      </c>
      <c r="K677" s="27" t="s">
        <v>838</v>
      </c>
      <c r="L677" s="27" t="s">
        <v>1369</v>
      </c>
      <c r="M677" s="27" t="s">
        <v>267</v>
      </c>
      <c r="N677" s="27" t="str">
        <f>inicioTerminales[[#This Row],[TIPO BUS]]&amp;"-"&amp;inicioTerminales[[#This Row],[MARCA CHASIS]]</f>
        <v>BE-FOTON</v>
      </c>
    </row>
    <row r="678" spans="1:14">
      <c r="A678" s="27" t="s">
        <v>10</v>
      </c>
      <c r="B678" s="27" t="s">
        <v>317</v>
      </c>
      <c r="C678" s="27">
        <v>3056</v>
      </c>
      <c r="D678" s="27" t="s">
        <v>147</v>
      </c>
      <c r="E678" s="27" t="s">
        <v>13</v>
      </c>
      <c r="F678" s="27" t="s">
        <v>149</v>
      </c>
      <c r="G678" s="27" t="str">
        <f>_xlfn.CONCAT(inicioTerminales[[#This Row],[MARCA CHASIS]]," - ", inicioTerminales[[#This Row],[TIPO BUS]])</f>
        <v>FOTON - BE</v>
      </c>
      <c r="H678" s="27" t="s">
        <v>267</v>
      </c>
      <c r="I678" s="52">
        <v>45150</v>
      </c>
      <c r="J678" s="27" t="s">
        <v>1341</v>
      </c>
      <c r="K678" s="27" t="s">
        <v>838</v>
      </c>
      <c r="L678" s="27" t="s">
        <v>1369</v>
      </c>
      <c r="M678" s="27" t="s">
        <v>267</v>
      </c>
      <c r="N678" s="27" t="str">
        <f>inicioTerminales[[#This Row],[TIPO BUS]]&amp;"-"&amp;inicioTerminales[[#This Row],[MARCA CHASIS]]</f>
        <v>BE-FOTON</v>
      </c>
    </row>
    <row r="679" spans="1:14">
      <c r="A679" s="27" t="s">
        <v>10</v>
      </c>
      <c r="B679" s="27" t="s">
        <v>318</v>
      </c>
      <c r="C679" s="27">
        <v>3057</v>
      </c>
      <c r="D679" s="27" t="s">
        <v>147</v>
      </c>
      <c r="E679" s="27" t="s">
        <v>13</v>
      </c>
      <c r="F679" s="27" t="s">
        <v>149</v>
      </c>
      <c r="G679" s="27" t="str">
        <f>_xlfn.CONCAT(inicioTerminales[[#This Row],[MARCA CHASIS]]," - ", inicioTerminales[[#This Row],[TIPO BUS]])</f>
        <v>FOTON - BE</v>
      </c>
      <c r="H679" s="27" t="s">
        <v>267</v>
      </c>
      <c r="I679" s="52">
        <v>45150</v>
      </c>
      <c r="J679" s="27" t="s">
        <v>1341</v>
      </c>
      <c r="K679" s="27" t="s">
        <v>838</v>
      </c>
      <c r="L679" s="27" t="s">
        <v>1369</v>
      </c>
      <c r="M679" s="27" t="s">
        <v>267</v>
      </c>
      <c r="N679" s="27" t="str">
        <f>inicioTerminales[[#This Row],[TIPO BUS]]&amp;"-"&amp;inicioTerminales[[#This Row],[MARCA CHASIS]]</f>
        <v>BE-FOTON</v>
      </c>
    </row>
    <row r="680" spans="1:14">
      <c r="A680" s="27" t="s">
        <v>10</v>
      </c>
      <c r="B680" s="27" t="s">
        <v>319</v>
      </c>
      <c r="C680" s="27">
        <v>3058</v>
      </c>
      <c r="D680" s="27" t="s">
        <v>147</v>
      </c>
      <c r="E680" s="27" t="s">
        <v>13</v>
      </c>
      <c r="F680" s="27" t="s">
        <v>149</v>
      </c>
      <c r="G680" s="27" t="str">
        <f>_xlfn.CONCAT(inicioTerminales[[#This Row],[MARCA CHASIS]]," - ", inicioTerminales[[#This Row],[TIPO BUS]])</f>
        <v>FOTON - BE</v>
      </c>
      <c r="H680" s="27" t="s">
        <v>267</v>
      </c>
      <c r="I680" s="52">
        <v>45150</v>
      </c>
      <c r="J680" s="27" t="s">
        <v>1341</v>
      </c>
      <c r="K680" s="27" t="s">
        <v>838</v>
      </c>
      <c r="L680" s="27" t="s">
        <v>1369</v>
      </c>
      <c r="M680" s="27" t="s">
        <v>267</v>
      </c>
      <c r="N680" s="27" t="str">
        <f>inicioTerminales[[#This Row],[TIPO BUS]]&amp;"-"&amp;inicioTerminales[[#This Row],[MARCA CHASIS]]</f>
        <v>BE-FOTON</v>
      </c>
    </row>
    <row r="681" spans="1:14">
      <c r="A681" s="27" t="s">
        <v>10</v>
      </c>
      <c r="B681" s="27" t="s">
        <v>320</v>
      </c>
      <c r="C681" s="27">
        <v>3060</v>
      </c>
      <c r="D681" s="27" t="s">
        <v>147</v>
      </c>
      <c r="E681" s="27" t="s">
        <v>13</v>
      </c>
      <c r="F681" s="27" t="s">
        <v>149</v>
      </c>
      <c r="G681" s="27" t="str">
        <f>_xlfn.CONCAT(inicioTerminales[[#This Row],[MARCA CHASIS]]," - ", inicioTerminales[[#This Row],[TIPO BUS]])</f>
        <v>FOTON - BE</v>
      </c>
      <c r="H681" s="27" t="s">
        <v>267</v>
      </c>
      <c r="I681" s="52">
        <v>45150</v>
      </c>
      <c r="J681" s="27" t="s">
        <v>1341</v>
      </c>
      <c r="K681" s="27" t="s">
        <v>838</v>
      </c>
      <c r="L681" s="27" t="s">
        <v>1369</v>
      </c>
      <c r="M681" s="27" t="s">
        <v>267</v>
      </c>
      <c r="N681" s="27" t="str">
        <f>inicioTerminales[[#This Row],[TIPO BUS]]&amp;"-"&amp;inicioTerminales[[#This Row],[MARCA CHASIS]]</f>
        <v>BE-FOTON</v>
      </c>
    </row>
    <row r="682" spans="1:14">
      <c r="A682" s="27" t="s">
        <v>10</v>
      </c>
      <c r="B682" s="27" t="s">
        <v>321</v>
      </c>
      <c r="C682" s="27">
        <v>3061</v>
      </c>
      <c r="D682" s="27" t="s">
        <v>147</v>
      </c>
      <c r="E682" s="27" t="s">
        <v>13</v>
      </c>
      <c r="F682" s="27" t="s">
        <v>149</v>
      </c>
      <c r="G682" s="27" t="str">
        <f>_xlfn.CONCAT(inicioTerminales[[#This Row],[MARCA CHASIS]]," - ", inicioTerminales[[#This Row],[TIPO BUS]])</f>
        <v>FOTON - BE</v>
      </c>
      <c r="H682" s="27" t="s">
        <v>267</v>
      </c>
      <c r="I682" s="52">
        <v>45150</v>
      </c>
      <c r="J682" s="27" t="s">
        <v>1341</v>
      </c>
      <c r="K682" s="27" t="s">
        <v>838</v>
      </c>
      <c r="L682" s="27" t="s">
        <v>1369</v>
      </c>
      <c r="M682" s="27" t="s">
        <v>267</v>
      </c>
      <c r="N682" s="27" t="str">
        <f>inicioTerminales[[#This Row],[TIPO BUS]]&amp;"-"&amp;inicioTerminales[[#This Row],[MARCA CHASIS]]</f>
        <v>BE-FOTON</v>
      </c>
    </row>
    <row r="683" spans="1:14">
      <c r="A683" s="27" t="s">
        <v>10</v>
      </c>
      <c r="B683" s="27" t="s">
        <v>322</v>
      </c>
      <c r="C683" s="27">
        <v>3062</v>
      </c>
      <c r="D683" s="27" t="s">
        <v>147</v>
      </c>
      <c r="E683" s="27" t="s">
        <v>13</v>
      </c>
      <c r="F683" s="27" t="s">
        <v>149</v>
      </c>
      <c r="G683" s="27" t="str">
        <f>_xlfn.CONCAT(inicioTerminales[[#This Row],[MARCA CHASIS]]," - ", inicioTerminales[[#This Row],[TIPO BUS]])</f>
        <v>FOTON - BE</v>
      </c>
      <c r="H683" s="27" t="s">
        <v>267</v>
      </c>
      <c r="I683" s="52">
        <v>45150</v>
      </c>
      <c r="J683" s="27" t="s">
        <v>1341</v>
      </c>
      <c r="K683" s="27" t="s">
        <v>838</v>
      </c>
      <c r="L683" s="27" t="s">
        <v>1369</v>
      </c>
      <c r="M683" s="27" t="s">
        <v>267</v>
      </c>
      <c r="N683" s="27" t="str">
        <f>inicioTerminales[[#This Row],[TIPO BUS]]&amp;"-"&amp;inicioTerminales[[#This Row],[MARCA CHASIS]]</f>
        <v>BE-FOTON</v>
      </c>
    </row>
    <row r="684" spans="1:14">
      <c r="A684" s="27" t="s">
        <v>10</v>
      </c>
      <c r="B684" s="27" t="s">
        <v>323</v>
      </c>
      <c r="C684" s="27">
        <v>3063</v>
      </c>
      <c r="D684" s="27" t="s">
        <v>147</v>
      </c>
      <c r="E684" s="27" t="s">
        <v>13</v>
      </c>
      <c r="F684" s="27" t="s">
        <v>149</v>
      </c>
      <c r="G684" s="27" t="str">
        <f>_xlfn.CONCAT(inicioTerminales[[#This Row],[MARCA CHASIS]]," - ", inicioTerminales[[#This Row],[TIPO BUS]])</f>
        <v>FOTON - BE</v>
      </c>
      <c r="H684" s="27" t="s">
        <v>267</v>
      </c>
      <c r="I684" s="52">
        <v>45150</v>
      </c>
      <c r="J684" s="27" t="s">
        <v>1341</v>
      </c>
      <c r="K684" s="27" t="s">
        <v>838</v>
      </c>
      <c r="L684" s="27" t="s">
        <v>1369</v>
      </c>
      <c r="M684" s="27" t="s">
        <v>267</v>
      </c>
      <c r="N684" s="27" t="str">
        <f>inicioTerminales[[#This Row],[TIPO BUS]]&amp;"-"&amp;inicioTerminales[[#This Row],[MARCA CHASIS]]</f>
        <v>BE-FOTON</v>
      </c>
    </row>
    <row r="685" spans="1:14">
      <c r="A685" s="27" t="s">
        <v>10</v>
      </c>
      <c r="B685" s="27" t="s">
        <v>324</v>
      </c>
      <c r="C685" s="27">
        <v>3064</v>
      </c>
      <c r="D685" s="27" t="s">
        <v>147</v>
      </c>
      <c r="E685" s="27" t="s">
        <v>13</v>
      </c>
      <c r="F685" s="27" t="s">
        <v>149</v>
      </c>
      <c r="G685" s="27" t="str">
        <f>_xlfn.CONCAT(inicioTerminales[[#This Row],[MARCA CHASIS]]," - ", inicioTerminales[[#This Row],[TIPO BUS]])</f>
        <v>FOTON - BE</v>
      </c>
      <c r="H685" s="27" t="s">
        <v>267</v>
      </c>
      <c r="I685" s="52">
        <v>45150</v>
      </c>
      <c r="J685" s="27" t="s">
        <v>1341</v>
      </c>
      <c r="K685" s="27" t="s">
        <v>838</v>
      </c>
      <c r="L685" s="27" t="s">
        <v>1369</v>
      </c>
      <c r="M685" s="27" t="s">
        <v>267</v>
      </c>
      <c r="N685" s="27" t="str">
        <f>inicioTerminales[[#This Row],[TIPO BUS]]&amp;"-"&amp;inicioTerminales[[#This Row],[MARCA CHASIS]]</f>
        <v>BE-FOTON</v>
      </c>
    </row>
    <row r="686" spans="1:14">
      <c r="A686" s="27" t="s">
        <v>10</v>
      </c>
      <c r="B686" s="27" t="s">
        <v>325</v>
      </c>
      <c r="C686" s="27">
        <v>3073</v>
      </c>
      <c r="D686" s="27" t="s">
        <v>147</v>
      </c>
      <c r="E686" s="27" t="s">
        <v>13</v>
      </c>
      <c r="F686" s="27" t="s">
        <v>149</v>
      </c>
      <c r="G686" s="27" t="str">
        <f>_xlfn.CONCAT(inicioTerminales[[#This Row],[MARCA CHASIS]]," - ", inicioTerminales[[#This Row],[TIPO BUS]])</f>
        <v>FOTON - BE</v>
      </c>
      <c r="H686" s="27" t="s">
        <v>267</v>
      </c>
      <c r="I686" s="52">
        <v>45150</v>
      </c>
      <c r="J686" s="27" t="s">
        <v>1341</v>
      </c>
      <c r="K686" s="27" t="s">
        <v>838</v>
      </c>
      <c r="L686" s="27" t="s">
        <v>1369</v>
      </c>
      <c r="M686" s="27" t="s">
        <v>267</v>
      </c>
      <c r="N686" s="27" t="str">
        <f>inicioTerminales[[#This Row],[TIPO BUS]]&amp;"-"&amp;inicioTerminales[[#This Row],[MARCA CHASIS]]</f>
        <v>BE-FOTON</v>
      </c>
    </row>
    <row r="687" spans="1:14">
      <c r="A687" s="27" t="s">
        <v>10</v>
      </c>
      <c r="B687" s="27" t="s">
        <v>326</v>
      </c>
      <c r="C687" s="27">
        <v>3078</v>
      </c>
      <c r="D687" s="27" t="s">
        <v>147</v>
      </c>
      <c r="E687" s="27" t="s">
        <v>13</v>
      </c>
      <c r="F687" s="27" t="s">
        <v>149</v>
      </c>
      <c r="G687" s="27" t="str">
        <f>_xlfn.CONCAT(inicioTerminales[[#This Row],[MARCA CHASIS]]," - ", inicioTerminales[[#This Row],[TIPO BUS]])</f>
        <v>FOTON - BE</v>
      </c>
      <c r="H687" s="27" t="s">
        <v>267</v>
      </c>
      <c r="I687" s="52">
        <v>45150</v>
      </c>
      <c r="J687" s="27" t="s">
        <v>1341</v>
      </c>
      <c r="K687" s="27" t="s">
        <v>838</v>
      </c>
      <c r="L687" s="27" t="s">
        <v>1369</v>
      </c>
      <c r="M687" s="27" t="s">
        <v>267</v>
      </c>
      <c r="N687" s="27" t="str">
        <f>inicioTerminales[[#This Row],[TIPO BUS]]&amp;"-"&amp;inicioTerminales[[#This Row],[MARCA CHASIS]]</f>
        <v>BE-FOTON</v>
      </c>
    </row>
    <row r="688" spans="1:14">
      <c r="A688" s="27" t="s">
        <v>10</v>
      </c>
      <c r="B688" s="27" t="s">
        <v>327</v>
      </c>
      <c r="C688" s="27">
        <v>3080</v>
      </c>
      <c r="D688" s="27" t="s">
        <v>147</v>
      </c>
      <c r="E688" s="27" t="s">
        <v>13</v>
      </c>
      <c r="F688" s="27" t="s">
        <v>149</v>
      </c>
      <c r="G688" s="27" t="str">
        <f>_xlfn.CONCAT(inicioTerminales[[#This Row],[MARCA CHASIS]]," - ", inicioTerminales[[#This Row],[TIPO BUS]])</f>
        <v>FOTON - BE</v>
      </c>
      <c r="H688" s="27" t="s">
        <v>267</v>
      </c>
      <c r="I688" s="52">
        <v>45150</v>
      </c>
      <c r="J688" s="27" t="s">
        <v>1341</v>
      </c>
      <c r="K688" s="27" t="s">
        <v>838</v>
      </c>
      <c r="L688" s="27" t="s">
        <v>1369</v>
      </c>
      <c r="M688" s="27" t="s">
        <v>267</v>
      </c>
      <c r="N688" s="27" t="str">
        <f>inicioTerminales[[#This Row],[TIPO BUS]]&amp;"-"&amp;inicioTerminales[[#This Row],[MARCA CHASIS]]</f>
        <v>BE-FOTON</v>
      </c>
    </row>
    <row r="689" spans="1:14">
      <c r="A689" s="27" t="s">
        <v>10</v>
      </c>
      <c r="B689" s="27" t="s">
        <v>330</v>
      </c>
      <c r="C689" s="27">
        <v>3084</v>
      </c>
      <c r="D689" s="27" t="s">
        <v>147</v>
      </c>
      <c r="E689" s="27" t="s">
        <v>13</v>
      </c>
      <c r="F689" s="27" t="s">
        <v>149</v>
      </c>
      <c r="G689" s="27" t="str">
        <f>_xlfn.CONCAT(inicioTerminales[[#This Row],[MARCA CHASIS]]," - ", inicioTerminales[[#This Row],[TIPO BUS]])</f>
        <v>FOTON - BE</v>
      </c>
      <c r="H689" s="27" t="s">
        <v>267</v>
      </c>
      <c r="I689" s="52">
        <v>45150</v>
      </c>
      <c r="J689" s="27" t="s">
        <v>1341</v>
      </c>
      <c r="K689" s="27" t="s">
        <v>838</v>
      </c>
      <c r="L689" s="27" t="s">
        <v>1369</v>
      </c>
      <c r="M689" s="27" t="s">
        <v>267</v>
      </c>
      <c r="N689" s="27" t="str">
        <f>inicioTerminales[[#This Row],[TIPO BUS]]&amp;"-"&amp;inicioTerminales[[#This Row],[MARCA CHASIS]]</f>
        <v>BE-FOTON</v>
      </c>
    </row>
    <row r="690" spans="1:14">
      <c r="A690" s="27" t="s">
        <v>10</v>
      </c>
      <c r="B690" s="27" t="s">
        <v>333</v>
      </c>
      <c r="C690" s="27">
        <v>3087</v>
      </c>
      <c r="D690" s="27" t="s">
        <v>147</v>
      </c>
      <c r="E690" s="27" t="s">
        <v>13</v>
      </c>
      <c r="F690" s="27" t="s">
        <v>149</v>
      </c>
      <c r="G690" s="27" t="str">
        <f>_xlfn.CONCAT(inicioTerminales[[#This Row],[MARCA CHASIS]]," - ", inicioTerminales[[#This Row],[TIPO BUS]])</f>
        <v>FOTON - BE</v>
      </c>
      <c r="H690" s="27" t="s">
        <v>267</v>
      </c>
      <c r="I690" s="52">
        <v>45150</v>
      </c>
      <c r="J690" s="27" t="s">
        <v>1341</v>
      </c>
      <c r="K690" s="27" t="s">
        <v>838</v>
      </c>
      <c r="L690" s="27" t="s">
        <v>1369</v>
      </c>
      <c r="M690" s="27" t="s">
        <v>267</v>
      </c>
      <c r="N690" s="27" t="str">
        <f>inicioTerminales[[#This Row],[TIPO BUS]]&amp;"-"&amp;inicioTerminales[[#This Row],[MARCA CHASIS]]</f>
        <v>BE-FOTON</v>
      </c>
    </row>
    <row r="691" spans="1:14">
      <c r="A691" s="27" t="s">
        <v>10</v>
      </c>
      <c r="B691" s="27" t="s">
        <v>334</v>
      </c>
      <c r="C691" s="27">
        <v>3088</v>
      </c>
      <c r="D691" s="27" t="s">
        <v>147</v>
      </c>
      <c r="E691" s="27" t="s">
        <v>13</v>
      </c>
      <c r="F691" s="27" t="s">
        <v>149</v>
      </c>
      <c r="G691" s="27" t="str">
        <f>_xlfn.CONCAT(inicioTerminales[[#This Row],[MARCA CHASIS]]," - ", inicioTerminales[[#This Row],[TIPO BUS]])</f>
        <v>FOTON - BE</v>
      </c>
      <c r="H691" s="27" t="s">
        <v>267</v>
      </c>
      <c r="I691" s="52">
        <v>45150</v>
      </c>
      <c r="J691" s="27" t="s">
        <v>1341</v>
      </c>
      <c r="K691" s="27" t="s">
        <v>838</v>
      </c>
      <c r="L691" s="27" t="s">
        <v>1369</v>
      </c>
      <c r="M691" s="27" t="s">
        <v>267</v>
      </c>
      <c r="N691" s="27" t="str">
        <f>inicioTerminales[[#This Row],[TIPO BUS]]&amp;"-"&amp;inicioTerminales[[#This Row],[MARCA CHASIS]]</f>
        <v>BE-FOTON</v>
      </c>
    </row>
    <row r="692" spans="1:14">
      <c r="A692" s="27" t="s">
        <v>10</v>
      </c>
      <c r="B692" s="27" t="s">
        <v>335</v>
      </c>
      <c r="C692" s="27">
        <v>3089</v>
      </c>
      <c r="D692" s="27" t="s">
        <v>147</v>
      </c>
      <c r="E692" s="27" t="s">
        <v>13</v>
      </c>
      <c r="F692" s="27" t="s">
        <v>149</v>
      </c>
      <c r="G692" s="27" t="str">
        <f>_xlfn.CONCAT(inicioTerminales[[#This Row],[MARCA CHASIS]]," - ", inicioTerminales[[#This Row],[TIPO BUS]])</f>
        <v>FOTON - BE</v>
      </c>
      <c r="H692" s="27" t="s">
        <v>267</v>
      </c>
      <c r="I692" s="52">
        <v>45150</v>
      </c>
      <c r="J692" s="27" t="s">
        <v>1341</v>
      </c>
      <c r="K692" s="27" t="s">
        <v>838</v>
      </c>
      <c r="L692" s="27" t="s">
        <v>1369</v>
      </c>
      <c r="M692" s="27" t="s">
        <v>267</v>
      </c>
      <c r="N692" s="27" t="str">
        <f>inicioTerminales[[#This Row],[TIPO BUS]]&amp;"-"&amp;inicioTerminales[[#This Row],[MARCA CHASIS]]</f>
        <v>BE-FOTON</v>
      </c>
    </row>
    <row r="693" spans="1:14">
      <c r="A693" s="27" t="s">
        <v>10</v>
      </c>
      <c r="B693" s="27" t="s">
        <v>336</v>
      </c>
      <c r="C693" s="27">
        <v>3090</v>
      </c>
      <c r="D693" s="27" t="s">
        <v>147</v>
      </c>
      <c r="E693" s="27" t="s">
        <v>13</v>
      </c>
      <c r="F693" s="27" t="s">
        <v>149</v>
      </c>
      <c r="G693" s="27" t="str">
        <f>_xlfn.CONCAT(inicioTerminales[[#This Row],[MARCA CHASIS]]," - ", inicioTerminales[[#This Row],[TIPO BUS]])</f>
        <v>FOTON - BE</v>
      </c>
      <c r="H693" s="27" t="s">
        <v>267</v>
      </c>
      <c r="I693" s="52">
        <v>45150</v>
      </c>
      <c r="J693" s="27" t="s">
        <v>1341</v>
      </c>
      <c r="K693" s="27" t="s">
        <v>838</v>
      </c>
      <c r="L693" s="27" t="s">
        <v>1369</v>
      </c>
      <c r="M693" s="27" t="s">
        <v>267</v>
      </c>
      <c r="N693" s="27" t="str">
        <f>inicioTerminales[[#This Row],[TIPO BUS]]&amp;"-"&amp;inicioTerminales[[#This Row],[MARCA CHASIS]]</f>
        <v>BE-FOTON</v>
      </c>
    </row>
    <row r="694" spans="1:14">
      <c r="A694" s="27" t="s">
        <v>10</v>
      </c>
      <c r="B694" s="27" t="s">
        <v>337</v>
      </c>
      <c r="C694" s="27">
        <v>3091</v>
      </c>
      <c r="D694" s="27" t="s">
        <v>147</v>
      </c>
      <c r="E694" s="27" t="s">
        <v>13</v>
      </c>
      <c r="F694" s="27" t="s">
        <v>149</v>
      </c>
      <c r="G694" s="27" t="str">
        <f>_xlfn.CONCAT(inicioTerminales[[#This Row],[MARCA CHASIS]]," - ", inicioTerminales[[#This Row],[TIPO BUS]])</f>
        <v>FOTON - BE</v>
      </c>
      <c r="H694" s="27" t="s">
        <v>267</v>
      </c>
      <c r="I694" s="52">
        <v>45150</v>
      </c>
      <c r="J694" s="27" t="s">
        <v>1341</v>
      </c>
      <c r="K694" s="27" t="s">
        <v>838</v>
      </c>
      <c r="L694" s="27" t="s">
        <v>1369</v>
      </c>
      <c r="M694" s="27" t="s">
        <v>267</v>
      </c>
      <c r="N694" s="27" t="str">
        <f>inicioTerminales[[#This Row],[TIPO BUS]]&amp;"-"&amp;inicioTerminales[[#This Row],[MARCA CHASIS]]</f>
        <v>BE-FOTON</v>
      </c>
    </row>
    <row r="695" spans="1:14">
      <c r="A695" s="27" t="s">
        <v>10</v>
      </c>
      <c r="B695" s="27" t="s">
        <v>338</v>
      </c>
      <c r="C695" s="27">
        <v>3092</v>
      </c>
      <c r="D695" s="27" t="s">
        <v>147</v>
      </c>
      <c r="E695" s="27" t="s">
        <v>13</v>
      </c>
      <c r="F695" s="27" t="s">
        <v>149</v>
      </c>
      <c r="G695" s="27" t="str">
        <f>_xlfn.CONCAT(inicioTerminales[[#This Row],[MARCA CHASIS]]," - ", inicioTerminales[[#This Row],[TIPO BUS]])</f>
        <v>FOTON - BE</v>
      </c>
      <c r="H695" s="27" t="s">
        <v>267</v>
      </c>
      <c r="I695" s="52">
        <v>45150</v>
      </c>
      <c r="J695" s="27" t="s">
        <v>1341</v>
      </c>
      <c r="K695" s="27" t="s">
        <v>838</v>
      </c>
      <c r="L695" s="27" t="s">
        <v>1369</v>
      </c>
      <c r="M695" s="27" t="s">
        <v>267</v>
      </c>
      <c r="N695" s="27" t="str">
        <f>inicioTerminales[[#This Row],[TIPO BUS]]&amp;"-"&amp;inicioTerminales[[#This Row],[MARCA CHASIS]]</f>
        <v>BE-FOTON</v>
      </c>
    </row>
    <row r="696" spans="1:14">
      <c r="A696" s="27" t="s">
        <v>10</v>
      </c>
      <c r="B696" s="27" t="s">
        <v>339</v>
      </c>
      <c r="C696" s="27">
        <v>3093</v>
      </c>
      <c r="D696" s="27" t="s">
        <v>147</v>
      </c>
      <c r="E696" s="27" t="s">
        <v>13</v>
      </c>
      <c r="F696" s="27" t="s">
        <v>149</v>
      </c>
      <c r="G696" s="27" t="str">
        <f>_xlfn.CONCAT(inicioTerminales[[#This Row],[MARCA CHASIS]]," - ", inicioTerminales[[#This Row],[TIPO BUS]])</f>
        <v>FOTON - BE</v>
      </c>
      <c r="H696" s="27" t="s">
        <v>267</v>
      </c>
      <c r="I696" s="52">
        <v>45150</v>
      </c>
      <c r="J696" s="27" t="s">
        <v>1341</v>
      </c>
      <c r="K696" s="27" t="s">
        <v>838</v>
      </c>
      <c r="L696" s="27" t="s">
        <v>1369</v>
      </c>
      <c r="M696" s="27" t="s">
        <v>267</v>
      </c>
      <c r="N696" s="27" t="str">
        <f>inicioTerminales[[#This Row],[TIPO BUS]]&amp;"-"&amp;inicioTerminales[[#This Row],[MARCA CHASIS]]</f>
        <v>BE-FOTON</v>
      </c>
    </row>
    <row r="697" spans="1:14">
      <c r="A697" s="27" t="s">
        <v>10</v>
      </c>
      <c r="B697" s="27" t="s">
        <v>340</v>
      </c>
      <c r="C697" s="27">
        <v>3094</v>
      </c>
      <c r="D697" s="27" t="s">
        <v>147</v>
      </c>
      <c r="E697" s="27" t="s">
        <v>13</v>
      </c>
      <c r="F697" s="27" t="s">
        <v>149</v>
      </c>
      <c r="G697" s="27" t="str">
        <f>_xlfn.CONCAT(inicioTerminales[[#This Row],[MARCA CHASIS]]," - ", inicioTerminales[[#This Row],[TIPO BUS]])</f>
        <v>FOTON - BE</v>
      </c>
      <c r="H697" s="27" t="s">
        <v>267</v>
      </c>
      <c r="I697" s="52">
        <v>45150</v>
      </c>
      <c r="J697" s="27" t="s">
        <v>1341</v>
      </c>
      <c r="K697" s="27" t="s">
        <v>838</v>
      </c>
      <c r="L697" s="27" t="s">
        <v>1369</v>
      </c>
      <c r="M697" s="27" t="s">
        <v>267</v>
      </c>
      <c r="N697" s="27" t="str">
        <f>inicioTerminales[[#This Row],[TIPO BUS]]&amp;"-"&amp;inicioTerminales[[#This Row],[MARCA CHASIS]]</f>
        <v>BE-FOTON</v>
      </c>
    </row>
    <row r="698" spans="1:14">
      <c r="A698" s="27" t="s">
        <v>10</v>
      </c>
      <c r="B698" s="27" t="s">
        <v>341</v>
      </c>
      <c r="C698" s="27">
        <v>3095</v>
      </c>
      <c r="D698" s="27" t="s">
        <v>147</v>
      </c>
      <c r="E698" s="27" t="s">
        <v>13</v>
      </c>
      <c r="F698" s="27" t="s">
        <v>149</v>
      </c>
      <c r="G698" s="27" t="str">
        <f>_xlfn.CONCAT(inicioTerminales[[#This Row],[MARCA CHASIS]]," - ", inicioTerminales[[#This Row],[TIPO BUS]])</f>
        <v>FOTON - BE</v>
      </c>
      <c r="H698" s="27" t="s">
        <v>267</v>
      </c>
      <c r="I698" s="52">
        <v>45150</v>
      </c>
      <c r="J698" s="27" t="s">
        <v>1341</v>
      </c>
      <c r="K698" s="27" t="s">
        <v>838</v>
      </c>
      <c r="L698" s="27" t="s">
        <v>1369</v>
      </c>
      <c r="M698" s="27" t="s">
        <v>267</v>
      </c>
      <c r="N698" s="27" t="str">
        <f>inicioTerminales[[#This Row],[TIPO BUS]]&amp;"-"&amp;inicioTerminales[[#This Row],[MARCA CHASIS]]</f>
        <v>BE-FOTON</v>
      </c>
    </row>
    <row r="699" spans="1:14">
      <c r="A699" s="27" t="s">
        <v>10</v>
      </c>
      <c r="B699" s="27" t="s">
        <v>342</v>
      </c>
      <c r="C699" s="27">
        <v>3096</v>
      </c>
      <c r="D699" s="27" t="s">
        <v>147</v>
      </c>
      <c r="E699" s="27" t="s">
        <v>13</v>
      </c>
      <c r="F699" s="27" t="s">
        <v>149</v>
      </c>
      <c r="G699" s="27" t="str">
        <f>_xlfn.CONCAT(inicioTerminales[[#This Row],[MARCA CHASIS]]," - ", inicioTerminales[[#This Row],[TIPO BUS]])</f>
        <v>FOTON - BE</v>
      </c>
      <c r="H699" s="27" t="s">
        <v>267</v>
      </c>
      <c r="I699" s="52">
        <v>45150</v>
      </c>
      <c r="J699" s="27" t="s">
        <v>1341</v>
      </c>
      <c r="K699" s="27" t="s">
        <v>838</v>
      </c>
      <c r="L699" s="27" t="s">
        <v>1369</v>
      </c>
      <c r="M699" s="27" t="s">
        <v>267</v>
      </c>
      <c r="N699" s="27" t="str">
        <f>inicioTerminales[[#This Row],[TIPO BUS]]&amp;"-"&amp;inicioTerminales[[#This Row],[MARCA CHASIS]]</f>
        <v>BE-FOTON</v>
      </c>
    </row>
    <row r="700" spans="1:14">
      <c r="A700" s="27" t="s">
        <v>10</v>
      </c>
      <c r="B700" s="27" t="s">
        <v>344</v>
      </c>
      <c r="C700" s="27">
        <v>3098</v>
      </c>
      <c r="D700" s="27" t="s">
        <v>147</v>
      </c>
      <c r="E700" s="27" t="s">
        <v>13</v>
      </c>
      <c r="F700" s="27" t="s">
        <v>149</v>
      </c>
      <c r="G700" s="27" t="str">
        <f>_xlfn.CONCAT(inicioTerminales[[#This Row],[MARCA CHASIS]]," - ", inicioTerminales[[#This Row],[TIPO BUS]])</f>
        <v>FOTON - BE</v>
      </c>
      <c r="H700" s="27" t="s">
        <v>267</v>
      </c>
      <c r="I700" s="52">
        <v>45150</v>
      </c>
      <c r="J700" s="27" t="s">
        <v>1341</v>
      </c>
      <c r="K700" s="27" t="s">
        <v>838</v>
      </c>
      <c r="L700" s="27" t="s">
        <v>1369</v>
      </c>
      <c r="M700" s="27" t="s">
        <v>267</v>
      </c>
      <c r="N700" s="27" t="str">
        <f>inicioTerminales[[#This Row],[TIPO BUS]]&amp;"-"&amp;inicioTerminales[[#This Row],[MARCA CHASIS]]</f>
        <v>BE-FOTON</v>
      </c>
    </row>
    <row r="701" spans="1:14">
      <c r="A701" s="27" t="s">
        <v>10</v>
      </c>
      <c r="B701" s="27" t="s">
        <v>345</v>
      </c>
      <c r="C701" s="27">
        <v>3099</v>
      </c>
      <c r="D701" s="27" t="s">
        <v>147</v>
      </c>
      <c r="E701" s="27" t="s">
        <v>13</v>
      </c>
      <c r="F701" s="27" t="s">
        <v>149</v>
      </c>
      <c r="G701" s="27" t="str">
        <f>_xlfn.CONCAT(inicioTerminales[[#This Row],[MARCA CHASIS]]," - ", inicioTerminales[[#This Row],[TIPO BUS]])</f>
        <v>FOTON - BE</v>
      </c>
      <c r="H701" s="27" t="s">
        <v>267</v>
      </c>
      <c r="I701" s="52">
        <v>45150</v>
      </c>
      <c r="J701" s="27" t="s">
        <v>1341</v>
      </c>
      <c r="K701" s="27" t="s">
        <v>838</v>
      </c>
      <c r="L701" s="27" t="s">
        <v>1369</v>
      </c>
      <c r="M701" s="27" t="s">
        <v>267</v>
      </c>
      <c r="N701" s="27" t="str">
        <f>inicioTerminales[[#This Row],[TIPO BUS]]&amp;"-"&amp;inicioTerminales[[#This Row],[MARCA CHASIS]]</f>
        <v>BE-FOTON</v>
      </c>
    </row>
    <row r="702" spans="1:14">
      <c r="A702" s="27" t="s">
        <v>10</v>
      </c>
      <c r="B702" s="27" t="s">
        <v>346</v>
      </c>
      <c r="C702" s="27">
        <v>3100</v>
      </c>
      <c r="D702" s="27" t="s">
        <v>147</v>
      </c>
      <c r="E702" s="27" t="s">
        <v>13</v>
      </c>
      <c r="F702" s="27" t="s">
        <v>149</v>
      </c>
      <c r="G702" s="27" t="str">
        <f>_xlfn.CONCAT(inicioTerminales[[#This Row],[MARCA CHASIS]]," - ", inicioTerminales[[#This Row],[TIPO BUS]])</f>
        <v>FOTON - BE</v>
      </c>
      <c r="H702" s="27" t="s">
        <v>267</v>
      </c>
      <c r="I702" s="52">
        <v>45150</v>
      </c>
      <c r="J702" s="27" t="s">
        <v>1341</v>
      </c>
      <c r="K702" s="27" t="s">
        <v>838</v>
      </c>
      <c r="L702" s="27" t="s">
        <v>1369</v>
      </c>
      <c r="M702" s="27" t="s">
        <v>267</v>
      </c>
      <c r="N702" s="27" t="str">
        <f>inicioTerminales[[#This Row],[TIPO BUS]]&amp;"-"&amp;inicioTerminales[[#This Row],[MARCA CHASIS]]</f>
        <v>BE-FOTON</v>
      </c>
    </row>
    <row r="703" spans="1:14">
      <c r="A703" s="27" t="s">
        <v>10</v>
      </c>
      <c r="B703" s="27" t="s">
        <v>347</v>
      </c>
      <c r="C703" s="27">
        <v>3101</v>
      </c>
      <c r="D703" s="27" t="s">
        <v>147</v>
      </c>
      <c r="E703" s="27" t="s">
        <v>13</v>
      </c>
      <c r="F703" s="27" t="s">
        <v>149</v>
      </c>
      <c r="G703" s="27" t="str">
        <f>_xlfn.CONCAT(inicioTerminales[[#This Row],[MARCA CHASIS]]," - ", inicioTerminales[[#This Row],[TIPO BUS]])</f>
        <v>FOTON - BE</v>
      </c>
      <c r="H703" s="27" t="s">
        <v>267</v>
      </c>
      <c r="I703" s="52">
        <v>45150</v>
      </c>
      <c r="J703" s="27" t="s">
        <v>1341</v>
      </c>
      <c r="K703" s="27" t="s">
        <v>838</v>
      </c>
      <c r="L703" s="27" t="s">
        <v>1369</v>
      </c>
      <c r="M703" s="27" t="s">
        <v>267</v>
      </c>
      <c r="N703" s="27" t="str">
        <f>inicioTerminales[[#This Row],[TIPO BUS]]&amp;"-"&amp;inicioTerminales[[#This Row],[MARCA CHASIS]]</f>
        <v>BE-FOTON</v>
      </c>
    </row>
    <row r="704" spans="1:14">
      <c r="A704" s="27" t="s">
        <v>10</v>
      </c>
      <c r="B704" s="27" t="s">
        <v>348</v>
      </c>
      <c r="C704" s="27">
        <v>3102</v>
      </c>
      <c r="D704" s="27" t="s">
        <v>147</v>
      </c>
      <c r="E704" s="27" t="s">
        <v>13</v>
      </c>
      <c r="F704" s="27" t="s">
        <v>149</v>
      </c>
      <c r="G704" s="27" t="str">
        <f>_xlfn.CONCAT(inicioTerminales[[#This Row],[MARCA CHASIS]]," - ", inicioTerminales[[#This Row],[TIPO BUS]])</f>
        <v>FOTON - BE</v>
      </c>
      <c r="H704" s="27" t="s">
        <v>267</v>
      </c>
      <c r="I704" s="52">
        <v>45150</v>
      </c>
      <c r="J704" s="27" t="s">
        <v>1341</v>
      </c>
      <c r="K704" s="27" t="s">
        <v>838</v>
      </c>
      <c r="L704" s="27" t="s">
        <v>1369</v>
      </c>
      <c r="M704" s="27" t="s">
        <v>267</v>
      </c>
      <c r="N704" s="27" t="str">
        <f>inicioTerminales[[#This Row],[TIPO BUS]]&amp;"-"&amp;inicioTerminales[[#This Row],[MARCA CHASIS]]</f>
        <v>BE-FOTON</v>
      </c>
    </row>
    <row r="705" spans="1:14">
      <c r="A705" s="27" t="s">
        <v>10</v>
      </c>
      <c r="B705" s="27" t="s">
        <v>351</v>
      </c>
      <c r="C705" s="27">
        <v>3105</v>
      </c>
      <c r="D705" s="27" t="s">
        <v>147</v>
      </c>
      <c r="E705" s="27" t="s">
        <v>13</v>
      </c>
      <c r="F705" s="27" t="s">
        <v>149</v>
      </c>
      <c r="G705" s="27" t="str">
        <f>_xlfn.CONCAT(inicioTerminales[[#This Row],[MARCA CHASIS]]," - ", inicioTerminales[[#This Row],[TIPO BUS]])</f>
        <v>FOTON - BE</v>
      </c>
      <c r="H705" s="27" t="s">
        <v>267</v>
      </c>
      <c r="I705" s="52">
        <v>45150</v>
      </c>
      <c r="J705" s="27" t="s">
        <v>1341</v>
      </c>
      <c r="K705" s="27" t="s">
        <v>838</v>
      </c>
      <c r="L705" s="27" t="s">
        <v>1369</v>
      </c>
      <c r="M705" s="27" t="s">
        <v>267</v>
      </c>
      <c r="N705" s="27" t="str">
        <f>inicioTerminales[[#This Row],[TIPO BUS]]&amp;"-"&amp;inicioTerminales[[#This Row],[MARCA CHASIS]]</f>
        <v>BE-FOTON</v>
      </c>
    </row>
    <row r="706" spans="1:14">
      <c r="A706" s="27" t="s">
        <v>10</v>
      </c>
      <c r="B706" s="27" t="s">
        <v>352</v>
      </c>
      <c r="C706" s="27">
        <v>3106</v>
      </c>
      <c r="D706" s="27" t="s">
        <v>147</v>
      </c>
      <c r="E706" s="27" t="s">
        <v>13</v>
      </c>
      <c r="F706" s="27" t="s">
        <v>149</v>
      </c>
      <c r="G706" s="27" t="str">
        <f>_xlfn.CONCAT(inicioTerminales[[#This Row],[MARCA CHASIS]]," - ", inicioTerminales[[#This Row],[TIPO BUS]])</f>
        <v>FOTON - BE</v>
      </c>
      <c r="H706" s="27" t="s">
        <v>267</v>
      </c>
      <c r="I706" s="52">
        <v>45150</v>
      </c>
      <c r="J706" s="27" t="s">
        <v>1341</v>
      </c>
      <c r="K706" s="27" t="s">
        <v>838</v>
      </c>
      <c r="L706" s="27" t="s">
        <v>1369</v>
      </c>
      <c r="M706" s="27" t="s">
        <v>267</v>
      </c>
      <c r="N706" s="27" t="str">
        <f>inicioTerminales[[#This Row],[TIPO BUS]]&amp;"-"&amp;inicioTerminales[[#This Row],[MARCA CHASIS]]</f>
        <v>BE-FOTON</v>
      </c>
    </row>
    <row r="707" spans="1:14">
      <c r="A707" s="27" t="s">
        <v>10</v>
      </c>
      <c r="B707" s="27" t="s">
        <v>353</v>
      </c>
      <c r="C707" s="27">
        <v>3107</v>
      </c>
      <c r="D707" s="27" t="s">
        <v>147</v>
      </c>
      <c r="E707" s="27" t="s">
        <v>13</v>
      </c>
      <c r="F707" s="27" t="s">
        <v>149</v>
      </c>
      <c r="G707" s="27" t="str">
        <f>_xlfn.CONCAT(inicioTerminales[[#This Row],[MARCA CHASIS]]," - ", inicioTerminales[[#This Row],[TIPO BUS]])</f>
        <v>FOTON - BE</v>
      </c>
      <c r="H707" s="27" t="s">
        <v>267</v>
      </c>
      <c r="I707" s="52">
        <v>45150</v>
      </c>
      <c r="J707" s="27" t="s">
        <v>1341</v>
      </c>
      <c r="K707" s="27" t="s">
        <v>838</v>
      </c>
      <c r="L707" s="27" t="s">
        <v>1369</v>
      </c>
      <c r="M707" s="27" t="s">
        <v>267</v>
      </c>
      <c r="N707" s="27" t="str">
        <f>inicioTerminales[[#This Row],[TIPO BUS]]&amp;"-"&amp;inicioTerminales[[#This Row],[MARCA CHASIS]]</f>
        <v>BE-FOTON</v>
      </c>
    </row>
    <row r="708" spans="1:14">
      <c r="A708" s="27" t="s">
        <v>10</v>
      </c>
      <c r="B708" s="27" t="s">
        <v>354</v>
      </c>
      <c r="C708" s="27">
        <v>3108</v>
      </c>
      <c r="D708" s="27" t="s">
        <v>147</v>
      </c>
      <c r="E708" s="27" t="s">
        <v>13</v>
      </c>
      <c r="F708" s="27" t="s">
        <v>149</v>
      </c>
      <c r="G708" s="27" t="str">
        <f>_xlfn.CONCAT(inicioTerminales[[#This Row],[MARCA CHASIS]]," - ", inicioTerminales[[#This Row],[TIPO BUS]])</f>
        <v>FOTON - BE</v>
      </c>
      <c r="H708" s="27" t="s">
        <v>267</v>
      </c>
      <c r="I708" s="52">
        <v>45150</v>
      </c>
      <c r="J708" s="27" t="s">
        <v>1341</v>
      </c>
      <c r="K708" s="27" t="s">
        <v>838</v>
      </c>
      <c r="L708" s="27" t="s">
        <v>1369</v>
      </c>
      <c r="M708" s="27" t="s">
        <v>267</v>
      </c>
      <c r="N708" s="27" t="str">
        <f>inicioTerminales[[#This Row],[TIPO BUS]]&amp;"-"&amp;inicioTerminales[[#This Row],[MARCA CHASIS]]</f>
        <v>BE-FOTON</v>
      </c>
    </row>
    <row r="709" spans="1:14">
      <c r="A709" s="27" t="s">
        <v>10</v>
      </c>
      <c r="B709" s="27" t="s">
        <v>355</v>
      </c>
      <c r="C709" s="27">
        <v>3109</v>
      </c>
      <c r="D709" s="27" t="s">
        <v>147</v>
      </c>
      <c r="E709" s="27" t="s">
        <v>13</v>
      </c>
      <c r="F709" s="27" t="s">
        <v>149</v>
      </c>
      <c r="G709" s="27" t="str">
        <f>_xlfn.CONCAT(inicioTerminales[[#This Row],[MARCA CHASIS]]," - ", inicioTerminales[[#This Row],[TIPO BUS]])</f>
        <v>FOTON - BE</v>
      </c>
      <c r="H709" s="27" t="s">
        <v>267</v>
      </c>
      <c r="I709" s="52">
        <v>45150</v>
      </c>
      <c r="J709" s="27" t="s">
        <v>1341</v>
      </c>
      <c r="K709" s="27" t="s">
        <v>838</v>
      </c>
      <c r="L709" s="27" t="s">
        <v>1369</v>
      </c>
      <c r="M709" s="27" t="s">
        <v>267</v>
      </c>
      <c r="N709" s="27" t="str">
        <f>inicioTerminales[[#This Row],[TIPO BUS]]&amp;"-"&amp;inicioTerminales[[#This Row],[MARCA CHASIS]]</f>
        <v>BE-FOTON</v>
      </c>
    </row>
    <row r="710" spans="1:14">
      <c r="A710" s="27" t="s">
        <v>10</v>
      </c>
      <c r="B710" s="27" t="s">
        <v>357</v>
      </c>
      <c r="C710" s="27">
        <v>3111</v>
      </c>
      <c r="D710" s="27" t="s">
        <v>147</v>
      </c>
      <c r="E710" s="27" t="s">
        <v>13</v>
      </c>
      <c r="F710" s="27" t="s">
        <v>149</v>
      </c>
      <c r="G710" s="27" t="str">
        <f>_xlfn.CONCAT(inicioTerminales[[#This Row],[MARCA CHASIS]]," - ", inicioTerminales[[#This Row],[TIPO BUS]])</f>
        <v>FOTON - BE</v>
      </c>
      <c r="H710" s="27" t="s">
        <v>267</v>
      </c>
      <c r="I710" s="52">
        <v>45150</v>
      </c>
      <c r="J710" s="27" t="s">
        <v>1341</v>
      </c>
      <c r="K710" s="27" t="s">
        <v>838</v>
      </c>
      <c r="L710" s="27" t="s">
        <v>1369</v>
      </c>
      <c r="M710" s="27" t="s">
        <v>267</v>
      </c>
      <c r="N710" s="27" t="str">
        <f>inicioTerminales[[#This Row],[TIPO BUS]]&amp;"-"&amp;inicioTerminales[[#This Row],[MARCA CHASIS]]</f>
        <v>BE-FOTON</v>
      </c>
    </row>
    <row r="711" spans="1:14">
      <c r="A711" s="27" t="s">
        <v>10</v>
      </c>
      <c r="B711" s="27" t="s">
        <v>358</v>
      </c>
      <c r="C711" s="27">
        <v>3112</v>
      </c>
      <c r="D711" s="27" t="s">
        <v>147</v>
      </c>
      <c r="E711" s="27" t="s">
        <v>13</v>
      </c>
      <c r="F711" s="27" t="s">
        <v>149</v>
      </c>
      <c r="G711" s="27" t="str">
        <f>_xlfn.CONCAT(inicioTerminales[[#This Row],[MARCA CHASIS]]," - ", inicioTerminales[[#This Row],[TIPO BUS]])</f>
        <v>FOTON - BE</v>
      </c>
      <c r="H711" s="27" t="s">
        <v>267</v>
      </c>
      <c r="I711" s="52">
        <v>45150</v>
      </c>
      <c r="J711" s="27" t="s">
        <v>1341</v>
      </c>
      <c r="K711" s="27" t="s">
        <v>838</v>
      </c>
      <c r="L711" s="27" t="s">
        <v>1369</v>
      </c>
      <c r="M711" s="27" t="s">
        <v>267</v>
      </c>
      <c r="N711" s="27" t="str">
        <f>inicioTerminales[[#This Row],[TIPO BUS]]&amp;"-"&amp;inicioTerminales[[#This Row],[MARCA CHASIS]]</f>
        <v>BE-FOTON</v>
      </c>
    </row>
    <row r="712" spans="1:14">
      <c r="A712" s="27" t="s">
        <v>10</v>
      </c>
      <c r="B712" s="27" t="s">
        <v>360</v>
      </c>
      <c r="C712" s="27">
        <v>3114</v>
      </c>
      <c r="D712" s="27" t="s">
        <v>147</v>
      </c>
      <c r="E712" s="27" t="s">
        <v>13</v>
      </c>
      <c r="F712" s="27" t="s">
        <v>149</v>
      </c>
      <c r="G712" s="27" t="str">
        <f>_xlfn.CONCAT(inicioTerminales[[#This Row],[MARCA CHASIS]]," - ", inicioTerminales[[#This Row],[TIPO BUS]])</f>
        <v>FOTON - BE</v>
      </c>
      <c r="H712" s="27" t="s">
        <v>267</v>
      </c>
      <c r="I712" s="52">
        <v>45150</v>
      </c>
      <c r="J712" s="27" t="s">
        <v>1341</v>
      </c>
      <c r="K712" s="27" t="s">
        <v>838</v>
      </c>
      <c r="L712" s="27" t="s">
        <v>1369</v>
      </c>
      <c r="M712" s="27" t="s">
        <v>267</v>
      </c>
      <c r="N712" s="27" t="str">
        <f>inicioTerminales[[#This Row],[TIPO BUS]]&amp;"-"&amp;inicioTerminales[[#This Row],[MARCA CHASIS]]</f>
        <v>BE-FOTON</v>
      </c>
    </row>
    <row r="713" spans="1:14">
      <c r="A713" s="27" t="s">
        <v>10</v>
      </c>
      <c r="B713" s="27" t="s">
        <v>361</v>
      </c>
      <c r="C713" s="27">
        <v>3115</v>
      </c>
      <c r="D713" s="27" t="s">
        <v>147</v>
      </c>
      <c r="E713" s="27" t="s">
        <v>13</v>
      </c>
      <c r="F713" s="27" t="s">
        <v>149</v>
      </c>
      <c r="G713" s="27" t="str">
        <f>_xlfn.CONCAT(inicioTerminales[[#This Row],[MARCA CHASIS]]," - ", inicioTerminales[[#This Row],[TIPO BUS]])</f>
        <v>FOTON - BE</v>
      </c>
      <c r="H713" s="27" t="s">
        <v>267</v>
      </c>
      <c r="I713" s="52">
        <v>45150</v>
      </c>
      <c r="J713" s="27" t="s">
        <v>1341</v>
      </c>
      <c r="K713" s="27" t="s">
        <v>838</v>
      </c>
      <c r="L713" s="27" t="s">
        <v>1369</v>
      </c>
      <c r="M713" s="27" t="s">
        <v>267</v>
      </c>
      <c r="N713" s="27" t="str">
        <f>inicioTerminales[[#This Row],[TIPO BUS]]&amp;"-"&amp;inicioTerminales[[#This Row],[MARCA CHASIS]]</f>
        <v>BE-FOTON</v>
      </c>
    </row>
    <row r="714" spans="1:14">
      <c r="A714" s="27" t="s">
        <v>10</v>
      </c>
      <c r="B714" s="27" t="s">
        <v>363</v>
      </c>
      <c r="C714" s="27">
        <v>3117</v>
      </c>
      <c r="D714" s="27" t="s">
        <v>147</v>
      </c>
      <c r="E714" s="27" t="s">
        <v>13</v>
      </c>
      <c r="F714" s="27" t="s">
        <v>149</v>
      </c>
      <c r="G714" s="27" t="str">
        <f>_xlfn.CONCAT(inicioTerminales[[#This Row],[MARCA CHASIS]]," - ", inicioTerminales[[#This Row],[TIPO BUS]])</f>
        <v>FOTON - BE</v>
      </c>
      <c r="H714" s="27" t="s">
        <v>267</v>
      </c>
      <c r="I714" s="52">
        <v>45150</v>
      </c>
      <c r="J714" s="27" t="s">
        <v>1341</v>
      </c>
      <c r="K714" s="27" t="s">
        <v>838</v>
      </c>
      <c r="L714" s="27" t="s">
        <v>1369</v>
      </c>
      <c r="M714" s="27" t="s">
        <v>267</v>
      </c>
      <c r="N714" s="27" t="str">
        <f>inicioTerminales[[#This Row],[TIPO BUS]]&amp;"-"&amp;inicioTerminales[[#This Row],[MARCA CHASIS]]</f>
        <v>BE-FOTON</v>
      </c>
    </row>
    <row r="715" spans="1:14">
      <c r="A715" s="27" t="s">
        <v>10</v>
      </c>
      <c r="B715" s="27" t="s">
        <v>364</v>
      </c>
      <c r="C715" s="27">
        <v>3118</v>
      </c>
      <c r="D715" s="27" t="s">
        <v>147</v>
      </c>
      <c r="E715" s="27" t="s">
        <v>13</v>
      </c>
      <c r="F715" s="27" t="s">
        <v>149</v>
      </c>
      <c r="G715" s="27" t="str">
        <f>_xlfn.CONCAT(inicioTerminales[[#This Row],[MARCA CHASIS]]," - ", inicioTerminales[[#This Row],[TIPO BUS]])</f>
        <v>FOTON - BE</v>
      </c>
      <c r="H715" s="27" t="s">
        <v>267</v>
      </c>
      <c r="I715" s="52">
        <v>45150</v>
      </c>
      <c r="J715" s="27" t="s">
        <v>1341</v>
      </c>
      <c r="K715" s="27" t="s">
        <v>838</v>
      </c>
      <c r="L715" s="27" t="s">
        <v>1369</v>
      </c>
      <c r="M715" s="27" t="s">
        <v>267</v>
      </c>
      <c r="N715" s="27" t="str">
        <f>inicioTerminales[[#This Row],[TIPO BUS]]&amp;"-"&amp;inicioTerminales[[#This Row],[MARCA CHASIS]]</f>
        <v>BE-FOTON</v>
      </c>
    </row>
    <row r="716" spans="1:14">
      <c r="A716" s="27" t="s">
        <v>10</v>
      </c>
      <c r="B716" s="27" t="s">
        <v>365</v>
      </c>
      <c r="C716" s="27">
        <v>3119</v>
      </c>
      <c r="D716" s="27" t="s">
        <v>147</v>
      </c>
      <c r="E716" s="27" t="s">
        <v>13</v>
      </c>
      <c r="F716" s="27" t="s">
        <v>149</v>
      </c>
      <c r="G716" s="27" t="str">
        <f>_xlfn.CONCAT(inicioTerminales[[#This Row],[MARCA CHASIS]]," - ", inicioTerminales[[#This Row],[TIPO BUS]])</f>
        <v>FOTON - BE</v>
      </c>
      <c r="H716" s="27" t="s">
        <v>267</v>
      </c>
      <c r="I716" s="52">
        <v>45150</v>
      </c>
      <c r="J716" s="27" t="s">
        <v>1341</v>
      </c>
      <c r="K716" s="27" t="s">
        <v>838</v>
      </c>
      <c r="L716" s="27" t="s">
        <v>1369</v>
      </c>
      <c r="M716" s="27" t="s">
        <v>267</v>
      </c>
      <c r="N716" s="27" t="str">
        <f>inicioTerminales[[#This Row],[TIPO BUS]]&amp;"-"&amp;inicioTerminales[[#This Row],[MARCA CHASIS]]</f>
        <v>BE-FOTON</v>
      </c>
    </row>
    <row r="717" spans="1:14">
      <c r="A717" s="27" t="s">
        <v>10</v>
      </c>
      <c r="B717" s="27" t="s">
        <v>366</v>
      </c>
      <c r="C717" s="27">
        <v>3120</v>
      </c>
      <c r="D717" s="27" t="s">
        <v>147</v>
      </c>
      <c r="E717" s="27" t="s">
        <v>13</v>
      </c>
      <c r="F717" s="27" t="s">
        <v>149</v>
      </c>
      <c r="G717" s="27" t="str">
        <f>_xlfn.CONCAT(inicioTerminales[[#This Row],[MARCA CHASIS]]," - ", inicioTerminales[[#This Row],[TIPO BUS]])</f>
        <v>FOTON - BE</v>
      </c>
      <c r="H717" s="27" t="s">
        <v>267</v>
      </c>
      <c r="I717" s="52">
        <v>45150</v>
      </c>
      <c r="J717" s="27" t="s">
        <v>1341</v>
      </c>
      <c r="K717" s="27" t="s">
        <v>838</v>
      </c>
      <c r="L717" s="27" t="s">
        <v>1369</v>
      </c>
      <c r="M717" s="27" t="s">
        <v>267</v>
      </c>
      <c r="N717" s="27" t="str">
        <f>inicioTerminales[[#This Row],[TIPO BUS]]&amp;"-"&amp;inicioTerminales[[#This Row],[MARCA CHASIS]]</f>
        <v>BE-FOTON</v>
      </c>
    </row>
    <row r="718" spans="1:14">
      <c r="A718" s="27" t="s">
        <v>10</v>
      </c>
      <c r="B718" s="27" t="s">
        <v>367</v>
      </c>
      <c r="C718" s="27">
        <v>3121</v>
      </c>
      <c r="D718" s="27" t="s">
        <v>147</v>
      </c>
      <c r="E718" s="27" t="s">
        <v>13</v>
      </c>
      <c r="F718" s="27" t="s">
        <v>149</v>
      </c>
      <c r="G718" s="27" t="str">
        <f>_xlfn.CONCAT(inicioTerminales[[#This Row],[MARCA CHASIS]]," - ", inicioTerminales[[#This Row],[TIPO BUS]])</f>
        <v>FOTON - BE</v>
      </c>
      <c r="H718" s="27" t="s">
        <v>267</v>
      </c>
      <c r="I718" s="52">
        <v>45150</v>
      </c>
      <c r="J718" s="27" t="s">
        <v>1341</v>
      </c>
      <c r="K718" s="27" t="s">
        <v>838</v>
      </c>
      <c r="L718" s="27" t="s">
        <v>1369</v>
      </c>
      <c r="M718" s="27" t="s">
        <v>267</v>
      </c>
      <c r="N718" s="27" t="str">
        <f>inicioTerminales[[#This Row],[TIPO BUS]]&amp;"-"&amp;inicioTerminales[[#This Row],[MARCA CHASIS]]</f>
        <v>BE-FOTON</v>
      </c>
    </row>
    <row r="719" spans="1:14">
      <c r="A719" s="27" t="s">
        <v>10</v>
      </c>
      <c r="B719" s="27" t="s">
        <v>368</v>
      </c>
      <c r="C719" s="27">
        <v>3122</v>
      </c>
      <c r="D719" s="27" t="s">
        <v>147</v>
      </c>
      <c r="E719" s="27" t="s">
        <v>13</v>
      </c>
      <c r="F719" s="27" t="s">
        <v>149</v>
      </c>
      <c r="G719" s="27" t="str">
        <f>_xlfn.CONCAT(inicioTerminales[[#This Row],[MARCA CHASIS]]," - ", inicioTerminales[[#This Row],[TIPO BUS]])</f>
        <v>FOTON - BE</v>
      </c>
      <c r="H719" s="27" t="s">
        <v>267</v>
      </c>
      <c r="I719" s="52">
        <v>45150</v>
      </c>
      <c r="J719" s="27" t="s">
        <v>1341</v>
      </c>
      <c r="K719" s="27" t="s">
        <v>838</v>
      </c>
      <c r="L719" s="27" t="s">
        <v>1369</v>
      </c>
      <c r="M719" s="27" t="s">
        <v>267</v>
      </c>
      <c r="N719" s="27" t="str">
        <f>inicioTerminales[[#This Row],[TIPO BUS]]&amp;"-"&amp;inicioTerminales[[#This Row],[MARCA CHASIS]]</f>
        <v>BE-FOTON</v>
      </c>
    </row>
    <row r="720" spans="1:14">
      <c r="A720" s="27" t="s">
        <v>10</v>
      </c>
      <c r="B720" s="27" t="s">
        <v>369</v>
      </c>
      <c r="C720" s="27">
        <v>3123</v>
      </c>
      <c r="D720" s="27" t="s">
        <v>147</v>
      </c>
      <c r="E720" s="27" t="s">
        <v>13</v>
      </c>
      <c r="F720" s="27" t="s">
        <v>149</v>
      </c>
      <c r="G720" s="27" t="str">
        <f>_xlfn.CONCAT(inicioTerminales[[#This Row],[MARCA CHASIS]]," - ", inicioTerminales[[#This Row],[TIPO BUS]])</f>
        <v>FOTON - BE</v>
      </c>
      <c r="H720" s="27" t="s">
        <v>267</v>
      </c>
      <c r="I720" s="52">
        <v>45150</v>
      </c>
      <c r="J720" s="27" t="s">
        <v>1341</v>
      </c>
      <c r="K720" s="27" t="s">
        <v>838</v>
      </c>
      <c r="L720" s="27" t="s">
        <v>1369</v>
      </c>
      <c r="M720" s="27" t="s">
        <v>267</v>
      </c>
      <c r="N720" s="27" t="str">
        <f>inicioTerminales[[#This Row],[TIPO BUS]]&amp;"-"&amp;inicioTerminales[[#This Row],[MARCA CHASIS]]</f>
        <v>BE-FOTON</v>
      </c>
    </row>
    <row r="721" spans="1:14">
      <c r="A721" s="27" t="s">
        <v>10</v>
      </c>
      <c r="B721" s="27" t="s">
        <v>370</v>
      </c>
      <c r="C721" s="27">
        <v>3124</v>
      </c>
      <c r="D721" s="27" t="s">
        <v>147</v>
      </c>
      <c r="E721" s="27" t="s">
        <v>13</v>
      </c>
      <c r="F721" s="27" t="s">
        <v>149</v>
      </c>
      <c r="G721" s="27" t="str">
        <f>_xlfn.CONCAT(inicioTerminales[[#This Row],[MARCA CHASIS]]," - ", inicioTerminales[[#This Row],[TIPO BUS]])</f>
        <v>FOTON - BE</v>
      </c>
      <c r="H721" s="27" t="s">
        <v>267</v>
      </c>
      <c r="I721" s="52">
        <v>45150</v>
      </c>
      <c r="J721" s="27" t="s">
        <v>1341</v>
      </c>
      <c r="K721" s="27" t="s">
        <v>838</v>
      </c>
      <c r="L721" s="27" t="s">
        <v>1369</v>
      </c>
      <c r="M721" s="27" t="s">
        <v>267</v>
      </c>
      <c r="N721" s="27" t="str">
        <f>inicioTerminales[[#This Row],[TIPO BUS]]&amp;"-"&amp;inicioTerminales[[#This Row],[MARCA CHASIS]]</f>
        <v>BE-FOTON</v>
      </c>
    </row>
    <row r="722" spans="1:14">
      <c r="A722" s="27" t="s">
        <v>10</v>
      </c>
      <c r="B722" s="27" t="s">
        <v>371</v>
      </c>
      <c r="C722" s="27">
        <v>3125</v>
      </c>
      <c r="D722" s="27" t="s">
        <v>147</v>
      </c>
      <c r="E722" s="27" t="s">
        <v>13</v>
      </c>
      <c r="F722" s="27" t="s">
        <v>149</v>
      </c>
      <c r="G722" s="27" t="str">
        <f>_xlfn.CONCAT(inicioTerminales[[#This Row],[MARCA CHASIS]]," - ", inicioTerminales[[#This Row],[TIPO BUS]])</f>
        <v>FOTON - BE</v>
      </c>
      <c r="H722" s="27" t="s">
        <v>267</v>
      </c>
      <c r="I722" s="52">
        <v>45150</v>
      </c>
      <c r="J722" s="27" t="s">
        <v>1341</v>
      </c>
      <c r="K722" s="27" t="s">
        <v>838</v>
      </c>
      <c r="L722" s="27" t="s">
        <v>1369</v>
      </c>
      <c r="M722" s="27" t="s">
        <v>267</v>
      </c>
      <c r="N722" s="27" t="str">
        <f>inicioTerminales[[#This Row],[TIPO BUS]]&amp;"-"&amp;inicioTerminales[[#This Row],[MARCA CHASIS]]</f>
        <v>BE-FOTON</v>
      </c>
    </row>
    <row r="723" spans="1:14">
      <c r="A723" s="27" t="s">
        <v>10</v>
      </c>
      <c r="B723" s="27" t="s">
        <v>372</v>
      </c>
      <c r="C723" s="27">
        <v>3126</v>
      </c>
      <c r="D723" s="27" t="s">
        <v>147</v>
      </c>
      <c r="E723" s="27" t="s">
        <v>13</v>
      </c>
      <c r="F723" s="27" t="s">
        <v>149</v>
      </c>
      <c r="G723" s="27" t="str">
        <f>_xlfn.CONCAT(inicioTerminales[[#This Row],[MARCA CHASIS]]," - ", inicioTerminales[[#This Row],[TIPO BUS]])</f>
        <v>FOTON - BE</v>
      </c>
      <c r="H723" s="27" t="s">
        <v>267</v>
      </c>
      <c r="I723" s="52">
        <v>45150</v>
      </c>
      <c r="J723" s="27" t="s">
        <v>1341</v>
      </c>
      <c r="K723" s="27" t="s">
        <v>838</v>
      </c>
      <c r="L723" s="27" t="s">
        <v>1369</v>
      </c>
      <c r="M723" s="27" t="s">
        <v>267</v>
      </c>
      <c r="N723" s="27" t="str">
        <f>inicioTerminales[[#This Row],[TIPO BUS]]&amp;"-"&amp;inicioTerminales[[#This Row],[MARCA CHASIS]]</f>
        <v>BE-FOTON</v>
      </c>
    </row>
    <row r="724" spans="1:14">
      <c r="A724" s="27" t="s">
        <v>10</v>
      </c>
      <c r="B724" s="27" t="s">
        <v>394</v>
      </c>
      <c r="C724" s="27">
        <v>3127</v>
      </c>
      <c r="D724" s="27" t="s">
        <v>147</v>
      </c>
      <c r="E724" s="27" t="s">
        <v>25</v>
      </c>
      <c r="F724" s="27" t="s">
        <v>149</v>
      </c>
      <c r="G724" s="27" t="str">
        <f>_xlfn.CONCAT(inicioTerminales[[#This Row],[MARCA CHASIS]]," - ", inicioTerminales[[#This Row],[TIPO BUS]])</f>
        <v>FOTON - BE</v>
      </c>
      <c r="H724" s="27" t="s">
        <v>267</v>
      </c>
      <c r="I724" s="52">
        <v>45700</v>
      </c>
      <c r="J724" s="27" t="s">
        <v>830</v>
      </c>
      <c r="K724" s="27" t="s">
        <v>838</v>
      </c>
      <c r="L724" s="27" t="s">
        <v>1369</v>
      </c>
      <c r="M724" s="27" t="s">
        <v>267</v>
      </c>
      <c r="N724" s="27" t="str">
        <f>inicioTerminales[[#This Row],[TIPO BUS]]&amp;"-"&amp;inicioTerminales[[#This Row],[MARCA CHASIS]]</f>
        <v>BE-FOTON</v>
      </c>
    </row>
    <row r="725" spans="1:14">
      <c r="A725" s="27" t="s">
        <v>10</v>
      </c>
      <c r="B725" s="27" t="s">
        <v>395</v>
      </c>
      <c r="C725" s="27">
        <v>3128</v>
      </c>
      <c r="D725" s="27" t="s">
        <v>147</v>
      </c>
      <c r="E725" s="27" t="s">
        <v>25</v>
      </c>
      <c r="F725" s="27" t="s">
        <v>149</v>
      </c>
      <c r="G725" s="27" t="str">
        <f>_xlfn.CONCAT(inicioTerminales[[#This Row],[MARCA CHASIS]]," - ", inicioTerminales[[#This Row],[TIPO BUS]])</f>
        <v>FOTON - BE</v>
      </c>
      <c r="H725" s="27" t="s">
        <v>267</v>
      </c>
      <c r="I725" s="52">
        <v>45692</v>
      </c>
      <c r="J725" s="27" t="s">
        <v>830</v>
      </c>
      <c r="K725" s="27" t="s">
        <v>838</v>
      </c>
      <c r="L725" s="27" t="s">
        <v>1369</v>
      </c>
      <c r="M725" s="27" t="s">
        <v>267</v>
      </c>
      <c r="N725" s="27" t="str">
        <f>inicioTerminales[[#This Row],[TIPO BUS]]&amp;"-"&amp;inicioTerminales[[#This Row],[MARCA CHASIS]]</f>
        <v>BE-FOTON</v>
      </c>
    </row>
    <row r="726" spans="1:14">
      <c r="A726" s="27" t="s">
        <v>10</v>
      </c>
      <c r="B726" s="27" t="s">
        <v>396</v>
      </c>
      <c r="C726" s="27">
        <v>3129</v>
      </c>
      <c r="D726" s="27" t="s">
        <v>147</v>
      </c>
      <c r="E726" s="27" t="s">
        <v>25</v>
      </c>
      <c r="F726" s="27" t="s">
        <v>149</v>
      </c>
      <c r="G726" s="27" t="str">
        <f>_xlfn.CONCAT(inicioTerminales[[#This Row],[MARCA CHASIS]]," - ", inicioTerminales[[#This Row],[TIPO BUS]])</f>
        <v>FOTON - BE</v>
      </c>
      <c r="H726" s="27" t="s">
        <v>267</v>
      </c>
      <c r="I726" s="52">
        <v>45700</v>
      </c>
      <c r="J726" s="27" t="s">
        <v>830</v>
      </c>
      <c r="K726" s="27" t="s">
        <v>838</v>
      </c>
      <c r="L726" s="27" t="s">
        <v>1369</v>
      </c>
      <c r="M726" s="27" t="s">
        <v>267</v>
      </c>
      <c r="N726" s="27" t="str">
        <f>inicioTerminales[[#This Row],[TIPO BUS]]&amp;"-"&amp;inicioTerminales[[#This Row],[MARCA CHASIS]]</f>
        <v>BE-FOTON</v>
      </c>
    </row>
    <row r="727" spans="1:14">
      <c r="A727" s="27" t="s">
        <v>10</v>
      </c>
      <c r="B727" s="27" t="s">
        <v>397</v>
      </c>
      <c r="C727" s="27">
        <v>3130</v>
      </c>
      <c r="D727" s="27" t="s">
        <v>147</v>
      </c>
      <c r="E727" s="27" t="s">
        <v>25</v>
      </c>
      <c r="F727" s="27" t="s">
        <v>149</v>
      </c>
      <c r="G727" s="27" t="str">
        <f>_xlfn.CONCAT(inicioTerminales[[#This Row],[MARCA CHASIS]]," - ", inicioTerminales[[#This Row],[TIPO BUS]])</f>
        <v>FOTON - BE</v>
      </c>
      <c r="H727" s="27" t="s">
        <v>267</v>
      </c>
      <c r="I727" s="52">
        <v>45692</v>
      </c>
      <c r="J727" s="27" t="s">
        <v>830</v>
      </c>
      <c r="K727" s="27" t="s">
        <v>838</v>
      </c>
      <c r="L727" s="27" t="s">
        <v>1369</v>
      </c>
      <c r="M727" s="27" t="s">
        <v>267</v>
      </c>
      <c r="N727" s="27" t="str">
        <f>inicioTerminales[[#This Row],[TIPO BUS]]&amp;"-"&amp;inicioTerminales[[#This Row],[MARCA CHASIS]]</f>
        <v>BE-FOTON</v>
      </c>
    </row>
    <row r="728" spans="1:14">
      <c r="A728" s="27" t="s">
        <v>10</v>
      </c>
      <c r="B728" s="27" t="s">
        <v>398</v>
      </c>
      <c r="C728" s="27">
        <v>3131</v>
      </c>
      <c r="D728" s="27" t="s">
        <v>147</v>
      </c>
      <c r="E728" s="27" t="s">
        <v>25</v>
      </c>
      <c r="F728" s="27" t="s">
        <v>149</v>
      </c>
      <c r="G728" s="27" t="str">
        <f>_xlfn.CONCAT(inicioTerminales[[#This Row],[MARCA CHASIS]]," - ", inicioTerminales[[#This Row],[TIPO BUS]])</f>
        <v>FOTON - BE</v>
      </c>
      <c r="H728" s="27" t="s">
        <v>267</v>
      </c>
      <c r="I728" s="52">
        <v>45693</v>
      </c>
      <c r="J728" s="27" t="s">
        <v>830</v>
      </c>
      <c r="K728" s="27" t="s">
        <v>838</v>
      </c>
      <c r="L728" s="27" t="s">
        <v>1369</v>
      </c>
      <c r="M728" s="27" t="s">
        <v>267</v>
      </c>
      <c r="N728" s="27" t="str">
        <f>inicioTerminales[[#This Row],[TIPO BUS]]&amp;"-"&amp;inicioTerminales[[#This Row],[MARCA CHASIS]]</f>
        <v>BE-FOTON</v>
      </c>
    </row>
    <row r="729" spans="1:14">
      <c r="A729" s="27" t="s">
        <v>10</v>
      </c>
      <c r="B729" s="27" t="s">
        <v>399</v>
      </c>
      <c r="C729" s="27">
        <v>3132</v>
      </c>
      <c r="D729" s="27" t="s">
        <v>147</v>
      </c>
      <c r="E729" s="27" t="s">
        <v>25</v>
      </c>
      <c r="F729" s="27" t="s">
        <v>149</v>
      </c>
      <c r="G729" s="27" t="str">
        <f>_xlfn.CONCAT(inicioTerminales[[#This Row],[MARCA CHASIS]]," - ", inicioTerminales[[#This Row],[TIPO BUS]])</f>
        <v>FOTON - BE</v>
      </c>
      <c r="H729" s="27" t="s">
        <v>267</v>
      </c>
      <c r="I729" s="52">
        <v>45692</v>
      </c>
      <c r="J729" s="27" t="s">
        <v>830</v>
      </c>
      <c r="K729" s="27" t="s">
        <v>838</v>
      </c>
      <c r="L729" s="27" t="s">
        <v>1369</v>
      </c>
      <c r="M729" s="27" t="s">
        <v>267</v>
      </c>
      <c r="N729" s="27" t="str">
        <f>inicioTerminales[[#This Row],[TIPO BUS]]&amp;"-"&amp;inicioTerminales[[#This Row],[MARCA CHASIS]]</f>
        <v>BE-FOTON</v>
      </c>
    </row>
    <row r="730" spans="1:14">
      <c r="A730" s="27" t="s">
        <v>10</v>
      </c>
      <c r="B730" s="27" t="s">
        <v>258</v>
      </c>
      <c r="C730" s="27">
        <v>3133</v>
      </c>
      <c r="D730" s="27" t="s">
        <v>147</v>
      </c>
      <c r="E730" s="27" t="s">
        <v>25</v>
      </c>
      <c r="F730" s="27" t="s">
        <v>149</v>
      </c>
      <c r="G730" s="27" t="str">
        <f>_xlfn.CONCAT(inicioTerminales[[#This Row],[MARCA CHASIS]]," - ", inicioTerminales[[#This Row],[TIPO BUS]])</f>
        <v>FOTON - BE</v>
      </c>
      <c r="H730" s="27" t="s">
        <v>130</v>
      </c>
      <c r="I730" s="52">
        <v>45695</v>
      </c>
      <c r="J730" s="27" t="s">
        <v>830</v>
      </c>
      <c r="K730" s="27" t="s">
        <v>836</v>
      </c>
      <c r="L730" s="27" t="s">
        <v>130</v>
      </c>
      <c r="M730" s="27" t="s">
        <v>130</v>
      </c>
      <c r="N730" s="27" t="str">
        <f>inicioTerminales[[#This Row],[TIPO BUS]]&amp;"-"&amp;inicioTerminales[[#This Row],[MARCA CHASIS]]</f>
        <v>BE-FOTON</v>
      </c>
    </row>
    <row r="731" spans="1:14">
      <c r="A731" s="27" t="s">
        <v>10</v>
      </c>
      <c r="B731" s="27" t="s">
        <v>259</v>
      </c>
      <c r="C731" s="27">
        <v>3134</v>
      </c>
      <c r="D731" s="27" t="s">
        <v>147</v>
      </c>
      <c r="E731" s="27" t="s">
        <v>25</v>
      </c>
      <c r="F731" s="27" t="s">
        <v>149</v>
      </c>
      <c r="G731" s="27" t="str">
        <f>_xlfn.CONCAT(inicioTerminales[[#This Row],[MARCA CHASIS]]," - ", inicioTerminales[[#This Row],[TIPO BUS]])</f>
        <v>FOTON - BE</v>
      </c>
      <c r="H731" s="27" t="s">
        <v>130</v>
      </c>
      <c r="I731" s="52">
        <v>45695</v>
      </c>
      <c r="J731" s="27" t="s">
        <v>830</v>
      </c>
      <c r="K731" s="27" t="s">
        <v>836</v>
      </c>
      <c r="L731" s="27" t="s">
        <v>130</v>
      </c>
      <c r="M731" s="27" t="s">
        <v>130</v>
      </c>
      <c r="N731" s="27" t="str">
        <f>inicioTerminales[[#This Row],[TIPO BUS]]&amp;"-"&amp;inicioTerminales[[#This Row],[MARCA CHASIS]]</f>
        <v>BE-FOTON</v>
      </c>
    </row>
    <row r="732" spans="1:14">
      <c r="A732" s="27" t="s">
        <v>10</v>
      </c>
      <c r="B732" s="27" t="s">
        <v>260</v>
      </c>
      <c r="C732" s="27">
        <v>3135</v>
      </c>
      <c r="D732" s="27" t="s">
        <v>147</v>
      </c>
      <c r="E732" s="27" t="s">
        <v>25</v>
      </c>
      <c r="F732" s="27" t="s">
        <v>149</v>
      </c>
      <c r="G732" s="27" t="str">
        <f>_xlfn.CONCAT(inicioTerminales[[#This Row],[MARCA CHASIS]]," - ", inicioTerminales[[#This Row],[TIPO BUS]])</f>
        <v>FOTON - BE</v>
      </c>
      <c r="H732" s="27" t="s">
        <v>130</v>
      </c>
      <c r="I732" s="52">
        <v>45701</v>
      </c>
      <c r="J732" s="27" t="s">
        <v>830</v>
      </c>
      <c r="K732" s="27" t="s">
        <v>836</v>
      </c>
      <c r="L732" s="27" t="s">
        <v>130</v>
      </c>
      <c r="M732" s="27" t="s">
        <v>130</v>
      </c>
      <c r="N732" s="27" t="str">
        <f>inicioTerminales[[#This Row],[TIPO BUS]]&amp;"-"&amp;inicioTerminales[[#This Row],[MARCA CHASIS]]</f>
        <v>BE-FOTON</v>
      </c>
    </row>
    <row r="733" spans="1:14">
      <c r="A733" s="27" t="s">
        <v>10</v>
      </c>
      <c r="B733" s="27" t="s">
        <v>261</v>
      </c>
      <c r="C733" s="27">
        <v>3136</v>
      </c>
      <c r="D733" s="27" t="s">
        <v>147</v>
      </c>
      <c r="E733" s="27" t="s">
        <v>25</v>
      </c>
      <c r="F733" s="27" t="s">
        <v>149</v>
      </c>
      <c r="G733" s="27" t="str">
        <f>_xlfn.CONCAT(inicioTerminales[[#This Row],[MARCA CHASIS]]," - ", inicioTerminales[[#This Row],[TIPO BUS]])</f>
        <v>FOTON - BE</v>
      </c>
      <c r="H733" s="27" t="s">
        <v>130</v>
      </c>
      <c r="I733" s="52">
        <v>45695</v>
      </c>
      <c r="J733" s="27" t="s">
        <v>830</v>
      </c>
      <c r="K733" s="27" t="s">
        <v>836</v>
      </c>
      <c r="L733" s="27" t="s">
        <v>130</v>
      </c>
      <c r="M733" s="27" t="s">
        <v>130</v>
      </c>
      <c r="N733" s="27" t="str">
        <f>inicioTerminales[[#This Row],[TIPO BUS]]&amp;"-"&amp;inicioTerminales[[#This Row],[MARCA CHASIS]]</f>
        <v>BE-FOTON</v>
      </c>
    </row>
    <row r="734" spans="1:14">
      <c r="A734" s="27" t="s">
        <v>10</v>
      </c>
      <c r="B734" s="27" t="s">
        <v>262</v>
      </c>
      <c r="C734" s="27">
        <v>3137</v>
      </c>
      <c r="D734" s="27" t="s">
        <v>147</v>
      </c>
      <c r="E734" s="27" t="s">
        <v>25</v>
      </c>
      <c r="F734" s="27" t="s">
        <v>149</v>
      </c>
      <c r="G734" s="27" t="str">
        <f>_xlfn.CONCAT(inicioTerminales[[#This Row],[MARCA CHASIS]]," - ", inicioTerminales[[#This Row],[TIPO BUS]])</f>
        <v>FOTON - BE</v>
      </c>
      <c r="H734" s="27" t="s">
        <v>130</v>
      </c>
      <c r="I734" s="52">
        <v>45695</v>
      </c>
      <c r="J734" s="27" t="s">
        <v>830</v>
      </c>
      <c r="K734" s="27" t="s">
        <v>836</v>
      </c>
      <c r="L734" s="27" t="s">
        <v>130</v>
      </c>
      <c r="M734" s="27" t="s">
        <v>130</v>
      </c>
      <c r="N734" s="27" t="str">
        <f>inicioTerminales[[#This Row],[TIPO BUS]]&amp;"-"&amp;inicioTerminales[[#This Row],[MARCA CHASIS]]</f>
        <v>BE-FOTON</v>
      </c>
    </row>
    <row r="735" spans="1:14">
      <c r="A735" s="27" t="s">
        <v>10</v>
      </c>
      <c r="B735" s="27" t="s">
        <v>263</v>
      </c>
      <c r="C735" s="27">
        <v>3138</v>
      </c>
      <c r="D735" s="27" t="s">
        <v>147</v>
      </c>
      <c r="E735" s="27" t="s">
        <v>25</v>
      </c>
      <c r="F735" s="27" t="s">
        <v>149</v>
      </c>
      <c r="G735" s="27" t="str">
        <f>_xlfn.CONCAT(inicioTerminales[[#This Row],[MARCA CHASIS]]," - ", inicioTerminales[[#This Row],[TIPO BUS]])</f>
        <v>FOTON - BE</v>
      </c>
      <c r="H735" s="27" t="s">
        <v>130</v>
      </c>
      <c r="I735" s="52">
        <v>45695</v>
      </c>
      <c r="J735" s="27" t="s">
        <v>830</v>
      </c>
      <c r="K735" s="27" t="s">
        <v>836</v>
      </c>
      <c r="L735" s="27" t="s">
        <v>130</v>
      </c>
      <c r="M735" s="27" t="s">
        <v>130</v>
      </c>
      <c r="N735" s="27" t="str">
        <f>inicioTerminales[[#This Row],[TIPO BUS]]&amp;"-"&amp;inicioTerminales[[#This Row],[MARCA CHASIS]]</f>
        <v>BE-FOTON</v>
      </c>
    </row>
    <row r="736" spans="1:14">
      <c r="A736" s="27" t="s">
        <v>10</v>
      </c>
      <c r="B736" s="27" t="s">
        <v>264</v>
      </c>
      <c r="C736" s="27">
        <v>3139</v>
      </c>
      <c r="D736" s="27" t="s">
        <v>147</v>
      </c>
      <c r="E736" s="27" t="s">
        <v>25</v>
      </c>
      <c r="F736" s="27" t="s">
        <v>149</v>
      </c>
      <c r="G736" s="27" t="str">
        <f>_xlfn.CONCAT(inicioTerminales[[#This Row],[MARCA CHASIS]]," - ", inicioTerminales[[#This Row],[TIPO BUS]])</f>
        <v>FOTON - BE</v>
      </c>
      <c r="H736" s="27" t="s">
        <v>130</v>
      </c>
      <c r="I736" s="52">
        <v>45702</v>
      </c>
      <c r="J736" s="27" t="s">
        <v>830</v>
      </c>
      <c r="K736" s="27" t="s">
        <v>836</v>
      </c>
      <c r="L736" s="27" t="s">
        <v>130</v>
      </c>
      <c r="M736" s="27" t="s">
        <v>130</v>
      </c>
      <c r="N736" s="27" t="str">
        <f>inicioTerminales[[#This Row],[TIPO BUS]]&amp;"-"&amp;inicioTerminales[[#This Row],[MARCA CHASIS]]</f>
        <v>BE-FOTON</v>
      </c>
    </row>
    <row r="737" spans="1:14">
      <c r="A737" s="27" t="s">
        <v>10</v>
      </c>
      <c r="B737" s="27" t="s">
        <v>265</v>
      </c>
      <c r="C737" s="27">
        <v>3140</v>
      </c>
      <c r="D737" s="27" t="s">
        <v>147</v>
      </c>
      <c r="E737" s="27" t="s">
        <v>25</v>
      </c>
      <c r="F737" s="27" t="s">
        <v>149</v>
      </c>
      <c r="G737" s="27" t="str">
        <f>_xlfn.CONCAT(inicioTerminales[[#This Row],[MARCA CHASIS]]," - ", inicioTerminales[[#This Row],[TIPO BUS]])</f>
        <v>FOTON - BE</v>
      </c>
      <c r="H737" s="27" t="s">
        <v>130</v>
      </c>
      <c r="I737" s="52">
        <v>45702</v>
      </c>
      <c r="J737" s="27" t="s">
        <v>830</v>
      </c>
      <c r="K737" s="27" t="s">
        <v>836</v>
      </c>
      <c r="L737" s="27" t="s">
        <v>130</v>
      </c>
      <c r="M737" s="27" t="s">
        <v>130</v>
      </c>
      <c r="N737" s="27" t="str">
        <f>inicioTerminales[[#This Row],[TIPO BUS]]&amp;"-"&amp;inicioTerminales[[#This Row],[MARCA CHASIS]]</f>
        <v>BE-FOTON</v>
      </c>
    </row>
    <row r="738" spans="1:14">
      <c r="A738" s="27" t="s">
        <v>421</v>
      </c>
      <c r="B738" s="27" t="s">
        <v>806</v>
      </c>
      <c r="C738" s="27">
        <v>7191</v>
      </c>
      <c r="D738" s="27" t="s">
        <v>147</v>
      </c>
      <c r="E738" s="27" t="s">
        <v>25</v>
      </c>
      <c r="F738" s="27" t="s">
        <v>149</v>
      </c>
      <c r="G738" s="27" t="str">
        <f>_xlfn.CONCAT(inicioTerminales[[#This Row],[MARCA CHASIS]]," - ", inicioTerminales[[#This Row],[TIPO BUS]])</f>
        <v>FOTON - BE</v>
      </c>
      <c r="H738" s="27" t="s">
        <v>674</v>
      </c>
      <c r="I738" s="52">
        <v>45693</v>
      </c>
      <c r="J738" s="27" t="s">
        <v>830</v>
      </c>
      <c r="K738" s="27" t="s">
        <v>840</v>
      </c>
      <c r="L738" s="27" t="s">
        <v>674</v>
      </c>
      <c r="M738" s="27" t="s">
        <v>674</v>
      </c>
      <c r="N738" s="27" t="str">
        <f>inicioTerminales[[#This Row],[TIPO BUS]]&amp;"-"&amp;inicioTerminales[[#This Row],[MARCA CHASIS]]</f>
        <v>BE-FOTON</v>
      </c>
    </row>
    <row r="739" spans="1:14">
      <c r="A739" s="27" t="s">
        <v>421</v>
      </c>
      <c r="B739" s="27" t="s">
        <v>807</v>
      </c>
      <c r="C739" s="27">
        <v>7192</v>
      </c>
      <c r="D739" s="27" t="s">
        <v>147</v>
      </c>
      <c r="E739" s="27" t="s">
        <v>25</v>
      </c>
      <c r="F739" s="27" t="s">
        <v>149</v>
      </c>
      <c r="G739" s="27" t="str">
        <f>_xlfn.CONCAT(inicioTerminales[[#This Row],[MARCA CHASIS]]," - ", inicioTerminales[[#This Row],[TIPO BUS]])</f>
        <v>FOTON - BE</v>
      </c>
      <c r="H739" s="27" t="s">
        <v>674</v>
      </c>
      <c r="I739" s="52">
        <v>45696</v>
      </c>
      <c r="J739" s="27" t="s">
        <v>830</v>
      </c>
      <c r="K739" s="27" t="s">
        <v>840</v>
      </c>
      <c r="L739" s="27" t="s">
        <v>674</v>
      </c>
      <c r="M739" s="27" t="s">
        <v>674</v>
      </c>
      <c r="N739" s="27" t="str">
        <f>inicioTerminales[[#This Row],[TIPO BUS]]&amp;"-"&amp;inicioTerminales[[#This Row],[MARCA CHASIS]]</f>
        <v>BE-FOTON</v>
      </c>
    </row>
    <row r="740" spans="1:14">
      <c r="A740" s="27" t="s">
        <v>421</v>
      </c>
      <c r="B740" s="27" t="s">
        <v>808</v>
      </c>
      <c r="C740" s="27">
        <v>7193</v>
      </c>
      <c r="D740" s="27" t="s">
        <v>147</v>
      </c>
      <c r="E740" s="27" t="s">
        <v>25</v>
      </c>
      <c r="F740" s="27" t="s">
        <v>149</v>
      </c>
      <c r="G740" s="27" t="str">
        <f>_xlfn.CONCAT(inicioTerminales[[#This Row],[MARCA CHASIS]]," - ", inicioTerminales[[#This Row],[TIPO BUS]])</f>
        <v>FOTON - BE</v>
      </c>
      <c r="H740" s="27" t="s">
        <v>674</v>
      </c>
      <c r="I740" s="52">
        <v>45693</v>
      </c>
      <c r="J740" s="27" t="s">
        <v>830</v>
      </c>
      <c r="K740" s="27" t="s">
        <v>840</v>
      </c>
      <c r="L740" s="27" t="s">
        <v>674</v>
      </c>
      <c r="M740" s="27" t="s">
        <v>674</v>
      </c>
      <c r="N740" s="27" t="str">
        <f>inicioTerminales[[#This Row],[TIPO BUS]]&amp;"-"&amp;inicioTerminales[[#This Row],[MARCA CHASIS]]</f>
        <v>BE-FOTON</v>
      </c>
    </row>
    <row r="741" spans="1:14">
      <c r="A741" s="27" t="s">
        <v>421</v>
      </c>
      <c r="B741" s="27" t="s">
        <v>809</v>
      </c>
      <c r="C741" s="27">
        <v>7194</v>
      </c>
      <c r="D741" s="27" t="s">
        <v>147</v>
      </c>
      <c r="E741" s="27" t="s">
        <v>25</v>
      </c>
      <c r="F741" s="27" t="s">
        <v>149</v>
      </c>
      <c r="G741" s="27" t="str">
        <f>_xlfn.CONCAT(inicioTerminales[[#This Row],[MARCA CHASIS]]," - ", inicioTerminales[[#This Row],[TIPO BUS]])</f>
        <v>FOTON - BE</v>
      </c>
      <c r="H741" s="27" t="s">
        <v>674</v>
      </c>
      <c r="I741" s="52">
        <v>45696</v>
      </c>
      <c r="J741" s="27" t="s">
        <v>830</v>
      </c>
      <c r="K741" s="27" t="s">
        <v>840</v>
      </c>
      <c r="L741" s="27" t="s">
        <v>674</v>
      </c>
      <c r="M741" s="27" t="s">
        <v>674</v>
      </c>
      <c r="N741" s="27" t="str">
        <f>inicioTerminales[[#This Row],[TIPO BUS]]&amp;"-"&amp;inicioTerminales[[#This Row],[MARCA CHASIS]]</f>
        <v>BE-FOTON</v>
      </c>
    </row>
    <row r="742" spans="1:14">
      <c r="A742" s="27" t="s">
        <v>421</v>
      </c>
      <c r="B742" s="27" t="s">
        <v>810</v>
      </c>
      <c r="C742" s="27">
        <v>7195</v>
      </c>
      <c r="D742" s="27" t="s">
        <v>147</v>
      </c>
      <c r="E742" s="27" t="s">
        <v>25</v>
      </c>
      <c r="F742" s="27" t="s">
        <v>149</v>
      </c>
      <c r="G742" s="27" t="str">
        <f>_xlfn.CONCAT(inicioTerminales[[#This Row],[MARCA CHASIS]]," - ", inicioTerminales[[#This Row],[TIPO BUS]])</f>
        <v>FOTON - BE</v>
      </c>
      <c r="H742" s="27" t="s">
        <v>674</v>
      </c>
      <c r="I742" s="52">
        <v>45693</v>
      </c>
      <c r="J742" s="27" t="s">
        <v>830</v>
      </c>
      <c r="K742" s="27" t="s">
        <v>840</v>
      </c>
      <c r="L742" s="27" t="s">
        <v>674</v>
      </c>
      <c r="M742" s="27" t="s">
        <v>674</v>
      </c>
      <c r="N742" s="27" t="str">
        <f>inicioTerminales[[#This Row],[TIPO BUS]]&amp;"-"&amp;inicioTerminales[[#This Row],[MARCA CHASIS]]</f>
        <v>BE-FOTON</v>
      </c>
    </row>
    <row r="743" spans="1:14">
      <c r="A743" s="27" t="s">
        <v>421</v>
      </c>
      <c r="B743" s="27" t="s">
        <v>811</v>
      </c>
      <c r="C743" s="27">
        <v>7196</v>
      </c>
      <c r="D743" s="27" t="s">
        <v>147</v>
      </c>
      <c r="E743" s="27" t="s">
        <v>25</v>
      </c>
      <c r="F743" s="27" t="s">
        <v>149</v>
      </c>
      <c r="G743" s="27" t="str">
        <f>_xlfn.CONCAT(inicioTerminales[[#This Row],[MARCA CHASIS]]," - ", inicioTerminales[[#This Row],[TIPO BUS]])</f>
        <v>FOTON - BE</v>
      </c>
      <c r="H743" s="27" t="s">
        <v>674</v>
      </c>
      <c r="I743" s="52">
        <v>45692</v>
      </c>
      <c r="J743" s="27" t="s">
        <v>830</v>
      </c>
      <c r="K743" s="27" t="s">
        <v>840</v>
      </c>
      <c r="L743" s="27" t="s">
        <v>674</v>
      </c>
      <c r="M743" s="27" t="s">
        <v>674</v>
      </c>
      <c r="N743" s="27" t="str">
        <f>inicioTerminales[[#This Row],[TIPO BUS]]&amp;"-"&amp;inicioTerminales[[#This Row],[MARCA CHASIS]]</f>
        <v>BE-FOTON</v>
      </c>
    </row>
    <row r="744" spans="1:14">
      <c r="A744" s="27" t="s">
        <v>421</v>
      </c>
      <c r="B744" s="27" t="s">
        <v>660</v>
      </c>
      <c r="C744" s="27">
        <v>7197</v>
      </c>
      <c r="D744" s="27" t="s">
        <v>147</v>
      </c>
      <c r="E744" s="27" t="s">
        <v>25</v>
      </c>
      <c r="F744" s="27" t="s">
        <v>149</v>
      </c>
      <c r="G744" s="27" t="str">
        <f>_xlfn.CONCAT(inicioTerminales[[#This Row],[MARCA CHASIS]]," - ", inicioTerminales[[#This Row],[TIPO BUS]])</f>
        <v>FOTON - BE</v>
      </c>
      <c r="H744" s="27" t="s">
        <v>493</v>
      </c>
      <c r="I744" s="52">
        <v>45695</v>
      </c>
      <c r="J744" s="27" t="s">
        <v>830</v>
      </c>
      <c r="K744" s="27" t="s">
        <v>841</v>
      </c>
      <c r="L744" s="27" t="s">
        <v>493</v>
      </c>
      <c r="M744" s="27" t="s">
        <v>493</v>
      </c>
      <c r="N744" s="27" t="str">
        <f>inicioTerminales[[#This Row],[TIPO BUS]]&amp;"-"&amp;inicioTerminales[[#This Row],[MARCA CHASIS]]</f>
        <v>BE-FOTON</v>
      </c>
    </row>
    <row r="745" spans="1:14">
      <c r="A745" s="27" t="s">
        <v>421</v>
      </c>
      <c r="B745" s="27" t="s">
        <v>661</v>
      </c>
      <c r="C745" s="27">
        <v>7198</v>
      </c>
      <c r="D745" s="27" t="s">
        <v>147</v>
      </c>
      <c r="E745" s="27" t="s">
        <v>13</v>
      </c>
      <c r="F745" s="27" t="s">
        <v>149</v>
      </c>
      <c r="G745" s="27" t="str">
        <f>_xlfn.CONCAT(inicioTerminales[[#This Row],[MARCA CHASIS]]," - ", inicioTerminales[[#This Row],[TIPO BUS]])</f>
        <v>FOTON - BE</v>
      </c>
      <c r="H745" s="27" t="s">
        <v>493</v>
      </c>
      <c r="I745" s="52">
        <v>45694</v>
      </c>
      <c r="J745" s="27" t="s">
        <v>830</v>
      </c>
      <c r="K745" s="27" t="s">
        <v>841</v>
      </c>
      <c r="L745" s="27" t="s">
        <v>493</v>
      </c>
      <c r="M745" s="27" t="s">
        <v>493</v>
      </c>
      <c r="N745" s="27" t="str">
        <f>inicioTerminales[[#This Row],[TIPO BUS]]&amp;"-"&amp;inicioTerminales[[#This Row],[MARCA CHASIS]]</f>
        <v>BE-FOTON</v>
      </c>
    </row>
    <row r="746" spans="1:14">
      <c r="A746" s="27" t="s">
        <v>421</v>
      </c>
      <c r="B746" s="27" t="s">
        <v>662</v>
      </c>
      <c r="C746" s="27">
        <v>7199</v>
      </c>
      <c r="D746" s="27" t="s">
        <v>147</v>
      </c>
      <c r="E746" s="27" t="s">
        <v>13</v>
      </c>
      <c r="F746" s="27" t="s">
        <v>149</v>
      </c>
      <c r="G746" s="27" t="str">
        <f>_xlfn.CONCAT(inicioTerminales[[#This Row],[MARCA CHASIS]]," - ", inicioTerminales[[#This Row],[TIPO BUS]])</f>
        <v>FOTON - BE</v>
      </c>
      <c r="H746" s="27" t="s">
        <v>493</v>
      </c>
      <c r="I746" s="52">
        <v>45695</v>
      </c>
      <c r="J746" s="27" t="s">
        <v>830</v>
      </c>
      <c r="K746" s="27" t="s">
        <v>841</v>
      </c>
      <c r="L746" s="27" t="s">
        <v>493</v>
      </c>
      <c r="M746" s="27" t="s">
        <v>493</v>
      </c>
      <c r="N746" s="27" t="str">
        <f>inicioTerminales[[#This Row],[TIPO BUS]]&amp;"-"&amp;inicioTerminales[[#This Row],[MARCA CHASIS]]</f>
        <v>BE-FOTON</v>
      </c>
    </row>
    <row r="747" spans="1:14">
      <c r="A747" s="27" t="s">
        <v>10</v>
      </c>
      <c r="B747" s="27" t="s">
        <v>401</v>
      </c>
      <c r="C747" s="27">
        <v>2114</v>
      </c>
      <c r="D747" s="27" t="s">
        <v>285</v>
      </c>
      <c r="E747" s="27" t="s">
        <v>25</v>
      </c>
      <c r="F747" s="27" t="s">
        <v>36</v>
      </c>
      <c r="G747" s="27" t="str">
        <f>_xlfn.CONCAT(inicioTerminales[[#This Row],[MARCA CHASIS]]," - ", inicioTerminales[[#This Row],[TIPO BUS]])</f>
        <v>SCANIA - BPAL</v>
      </c>
      <c r="H747" s="27" t="s">
        <v>267</v>
      </c>
      <c r="I747" s="52">
        <v>45735</v>
      </c>
      <c r="J747" s="27" t="s">
        <v>830</v>
      </c>
      <c r="K747" s="27" t="s">
        <v>838</v>
      </c>
      <c r="L747" s="27" t="s">
        <v>267</v>
      </c>
      <c r="M747" s="27" t="s">
        <v>267</v>
      </c>
      <c r="N747" s="27" t="str">
        <f>inicioTerminales[[#This Row],[TIPO BUS]]&amp;"-"&amp;inicioTerminales[[#This Row],[MARCA CHASIS]]</f>
        <v>BPAL-SCANIA</v>
      </c>
    </row>
    <row r="748" spans="1:14">
      <c r="A748" s="27" t="s">
        <v>10</v>
      </c>
      <c r="B748" s="27" t="s">
        <v>402</v>
      </c>
      <c r="C748" s="27">
        <v>2115</v>
      </c>
      <c r="D748" s="27" t="s">
        <v>285</v>
      </c>
      <c r="E748" s="27" t="s">
        <v>13</v>
      </c>
      <c r="F748" s="27" t="s">
        <v>36</v>
      </c>
      <c r="G748" s="27" t="str">
        <f>_xlfn.CONCAT(inicioTerminales[[#This Row],[MARCA CHASIS]]," - ", inicioTerminales[[#This Row],[TIPO BUS]])</f>
        <v>SCANIA - BPAL</v>
      </c>
      <c r="H748" s="27" t="s">
        <v>267</v>
      </c>
      <c r="I748" s="52">
        <v>45730</v>
      </c>
      <c r="J748" s="27" t="s">
        <v>830</v>
      </c>
      <c r="K748" s="27" t="s">
        <v>838</v>
      </c>
      <c r="L748" s="27" t="s">
        <v>267</v>
      </c>
      <c r="M748" s="27" t="s">
        <v>267</v>
      </c>
      <c r="N748" s="27" t="str">
        <f>inicioTerminales[[#This Row],[TIPO BUS]]&amp;"-"&amp;inicioTerminales[[#This Row],[MARCA CHASIS]]</f>
        <v>BPAL-SCANIA</v>
      </c>
    </row>
    <row r="749" spans="1:14">
      <c r="A749" s="27" t="s">
        <v>10</v>
      </c>
      <c r="B749" s="27" t="s">
        <v>403</v>
      </c>
      <c r="C749" s="27">
        <v>2116</v>
      </c>
      <c r="D749" s="27" t="s">
        <v>285</v>
      </c>
      <c r="E749" s="27" t="s">
        <v>13</v>
      </c>
      <c r="F749" s="27" t="s">
        <v>36</v>
      </c>
      <c r="G749" s="27" t="str">
        <f>_xlfn.CONCAT(inicioTerminales[[#This Row],[MARCA CHASIS]]," - ", inicioTerminales[[#This Row],[TIPO BUS]])</f>
        <v>SCANIA - BPAL</v>
      </c>
      <c r="H749" s="27" t="s">
        <v>267</v>
      </c>
      <c r="I749" s="52">
        <v>45730</v>
      </c>
      <c r="J749" s="27" t="s">
        <v>830</v>
      </c>
      <c r="K749" s="27" t="s">
        <v>838</v>
      </c>
      <c r="L749" s="27" t="s">
        <v>267</v>
      </c>
      <c r="M749" s="27" t="s">
        <v>267</v>
      </c>
      <c r="N749" s="27" t="str">
        <f>inicioTerminales[[#This Row],[TIPO BUS]]&amp;"-"&amp;inicioTerminales[[#This Row],[MARCA CHASIS]]</f>
        <v>BPAL-SCANIA</v>
      </c>
    </row>
    <row r="750" spans="1:14">
      <c r="A750" s="27" t="s">
        <v>10</v>
      </c>
      <c r="B750" s="27" t="s">
        <v>223</v>
      </c>
      <c r="C750" s="27">
        <v>3141</v>
      </c>
      <c r="D750" s="27" t="s">
        <v>147</v>
      </c>
      <c r="E750" s="27" t="s">
        <v>25</v>
      </c>
      <c r="F750" s="27" t="s">
        <v>149</v>
      </c>
      <c r="G750" s="27" t="str">
        <f>_xlfn.CONCAT(inicioTerminales[[#This Row],[MARCA CHASIS]]," - ", inicioTerminales[[#This Row],[TIPO BUS]])</f>
        <v>FOTON - BE</v>
      </c>
      <c r="H750" s="27" t="s">
        <v>130</v>
      </c>
      <c r="I750" s="52">
        <v>46122</v>
      </c>
      <c r="J750" s="27" t="s">
        <v>1341</v>
      </c>
      <c r="K750" s="27" t="s">
        <v>836</v>
      </c>
      <c r="L750" s="27" t="s">
        <v>130</v>
      </c>
      <c r="M750" s="27" t="s">
        <v>130</v>
      </c>
      <c r="N750" s="27" t="str">
        <f>inicioTerminales[[#This Row],[TIPO BUS]]&amp;"-"&amp;inicioTerminales[[#This Row],[MARCA CHASIS]]</f>
        <v>BE-FOTON</v>
      </c>
    </row>
  </sheetData>
  <pageMargins left="0.75" right="0.75" top="1" bottom="1" header="0.5" footer="0.5"/>
  <pageSetup orientation="portrait" r:id="rId1"/>
  <tableParts count="2">
    <tablePart r:id="rId2"/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2A252-F3AE-4A60-ABD5-A73694311887}">
  <sheetPr codeName="Hoja20"/>
  <dimension ref="A1:Z99"/>
  <sheetViews>
    <sheetView topLeftCell="A27" workbookViewId="0">
      <selection activeCell="C47" sqref="C47:C82"/>
    </sheetView>
  </sheetViews>
  <sheetFormatPr baseColWidth="10" defaultColWidth="11.42578125" defaultRowHeight="15"/>
  <cols>
    <col min="1" max="1" width="17.42578125" bestFit="1" customWidth="1"/>
    <col min="2" max="2" width="20" customWidth="1"/>
    <col min="3" max="3" width="19" bestFit="1" customWidth="1"/>
    <col min="4" max="4" width="19" customWidth="1"/>
    <col min="5" max="5" width="17.140625" customWidth="1"/>
    <col min="6" max="6" width="12.28515625" bestFit="1" customWidth="1"/>
    <col min="7" max="7" width="14.85546875" customWidth="1"/>
    <col min="8" max="8" width="9.5703125" bestFit="1" customWidth="1"/>
    <col min="9" max="10" width="14.85546875" customWidth="1"/>
    <col min="12" max="12" width="18.28515625" bestFit="1" customWidth="1"/>
    <col min="14" max="14" width="20.5703125" bestFit="1" customWidth="1"/>
    <col min="25" max="25" width="15.42578125" customWidth="1"/>
  </cols>
  <sheetData>
    <row r="1" spans="1:26" ht="15.75" thickBot="1">
      <c r="B1" t="s">
        <v>1374</v>
      </c>
      <c r="C1" s="130">
        <v>45427.457638888889</v>
      </c>
      <c r="D1" s="130"/>
      <c r="L1" s="402" t="s">
        <v>1375</v>
      </c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  <c r="Y1" s="402"/>
      <c r="Z1" s="402"/>
    </row>
    <row r="2" spans="1:26" ht="15.75" thickBot="1">
      <c r="A2" s="131" t="s">
        <v>865</v>
      </c>
      <c r="B2" s="131" t="s">
        <v>1376</v>
      </c>
      <c r="C2" s="132" t="s">
        <v>1377</v>
      </c>
      <c r="D2" s="132" t="s">
        <v>1378</v>
      </c>
      <c r="E2" s="132" t="s">
        <v>1379</v>
      </c>
      <c r="F2" s="132" t="s">
        <v>1380</v>
      </c>
      <c r="G2" s="132" t="s">
        <v>1381</v>
      </c>
      <c r="H2" s="132" t="s">
        <v>1382</v>
      </c>
      <c r="I2" s="132" t="s">
        <v>1383</v>
      </c>
      <c r="J2" s="132" t="s">
        <v>1384</v>
      </c>
      <c r="L2" s="33"/>
      <c r="O2" s="48" t="s">
        <v>854</v>
      </c>
      <c r="P2" s="48" t="s">
        <v>855</v>
      </c>
      <c r="Q2" s="48" t="s">
        <v>856</v>
      </c>
      <c r="R2" s="48" t="s">
        <v>857</v>
      </c>
      <c r="S2" s="48" t="s">
        <v>858</v>
      </c>
      <c r="T2" s="48" t="s">
        <v>859</v>
      </c>
      <c r="U2" s="48" t="s">
        <v>860</v>
      </c>
      <c r="V2" s="48" t="s">
        <v>861</v>
      </c>
      <c r="W2" s="48" t="s">
        <v>863</v>
      </c>
    </row>
    <row r="3" spans="1:26" ht="15.75" thickBot="1">
      <c r="A3" s="133" t="s">
        <v>130</v>
      </c>
      <c r="B3" s="133" t="s">
        <v>1385</v>
      </c>
      <c r="C3" s="134" t="s">
        <v>12</v>
      </c>
      <c r="D3" s="134" t="s">
        <v>12</v>
      </c>
      <c r="E3" s="135">
        <v>0</v>
      </c>
      <c r="F3" s="396">
        <v>68</v>
      </c>
      <c r="G3" s="135">
        <v>0</v>
      </c>
      <c r="H3" s="396">
        <v>61</v>
      </c>
      <c r="I3" s="135">
        <v>0</v>
      </c>
      <c r="J3" s="135" t="e">
        <v>#REF!</v>
      </c>
      <c r="L3" s="33"/>
      <c r="M3" s="403" t="s">
        <v>864</v>
      </c>
      <c r="N3" s="405" t="s">
        <v>865</v>
      </c>
      <c r="O3" s="136" t="s">
        <v>866</v>
      </c>
      <c r="P3" s="407" t="s">
        <v>867</v>
      </c>
      <c r="Q3" s="408"/>
      <c r="R3" s="409"/>
      <c r="S3" s="410" t="s">
        <v>868</v>
      </c>
      <c r="T3" s="408"/>
      <c r="U3" s="411"/>
      <c r="V3" s="137" t="s">
        <v>869</v>
      </c>
      <c r="W3" s="138" t="s">
        <v>870</v>
      </c>
      <c r="X3" s="412" t="s">
        <v>871</v>
      </c>
      <c r="Y3" s="414" t="s">
        <v>1386</v>
      </c>
    </row>
    <row r="4" spans="1:26" ht="15.75" thickBot="1">
      <c r="A4" s="133" t="s">
        <v>130</v>
      </c>
      <c r="B4" s="133" t="s">
        <v>1385</v>
      </c>
      <c r="C4" s="134" t="s">
        <v>1387</v>
      </c>
      <c r="D4" s="134" t="s">
        <v>147</v>
      </c>
      <c r="E4" s="135">
        <v>18</v>
      </c>
      <c r="F4" s="391"/>
      <c r="G4" s="135">
        <v>17</v>
      </c>
      <c r="H4" s="391"/>
      <c r="I4" s="135">
        <v>18</v>
      </c>
      <c r="J4" s="135" t="e">
        <v>#REF!</v>
      </c>
      <c r="L4" s="33"/>
      <c r="M4" s="404"/>
      <c r="N4" s="406"/>
      <c r="O4" s="139" t="s">
        <v>147</v>
      </c>
      <c r="P4" s="140" t="s">
        <v>12</v>
      </c>
      <c r="Q4" s="141" t="s">
        <v>34</v>
      </c>
      <c r="R4" s="142" t="s">
        <v>38</v>
      </c>
      <c r="S4" s="143" t="s">
        <v>34</v>
      </c>
      <c r="T4" s="141" t="s">
        <v>285</v>
      </c>
      <c r="U4" s="144" t="s">
        <v>38</v>
      </c>
      <c r="V4" s="145" t="s">
        <v>34</v>
      </c>
      <c r="W4" s="146" t="s">
        <v>147</v>
      </c>
      <c r="X4" s="413"/>
      <c r="Y4" s="415"/>
    </row>
    <row r="5" spans="1:26" ht="15.75" thickBot="1">
      <c r="A5" s="133" t="s">
        <v>130</v>
      </c>
      <c r="B5" s="133" t="s">
        <v>1385</v>
      </c>
      <c r="C5" s="147" t="s">
        <v>1388</v>
      </c>
      <c r="D5" s="147" t="s">
        <v>147</v>
      </c>
      <c r="E5" s="148">
        <v>23</v>
      </c>
      <c r="F5" s="391"/>
      <c r="G5" s="148">
        <v>23</v>
      </c>
      <c r="H5" s="391"/>
      <c r="I5" s="148">
        <v>23</v>
      </c>
      <c r="J5" s="135" t="e">
        <v>#REF!</v>
      </c>
      <c r="L5" s="149" t="s">
        <v>15</v>
      </c>
      <c r="M5" s="398" t="s">
        <v>880</v>
      </c>
      <c r="N5" s="150" t="s">
        <v>845</v>
      </c>
      <c r="O5" s="151" t="e">
        <f>COUNTIFS(#REF!,$L5,#REF!,O$2,#REF!,"&lt;&gt;FS")</f>
        <v>#REF!</v>
      </c>
      <c r="P5" s="152" t="e">
        <f>COUNTIFS(#REF!,$L5,#REF!,P$2,#REF!,"&lt;&gt;FS")</f>
        <v>#REF!</v>
      </c>
      <c r="Q5" s="153" t="e">
        <f>COUNTIFS(#REF!,$L5,#REF!,Q$2,#REF!,"&lt;&gt;FS")</f>
        <v>#REF!</v>
      </c>
      <c r="R5" s="154" t="e">
        <f>COUNTIFS(#REF!,$L5,#REF!,R$2,#REF!,"&lt;&gt;FS")</f>
        <v>#REF!</v>
      </c>
      <c r="S5" s="155" t="e">
        <f>COUNTIFS(#REF!,$L5,#REF!,S$2,#REF!,"&lt;&gt;FS")</f>
        <v>#REF!</v>
      </c>
      <c r="T5" s="153" t="e">
        <f>COUNTIFS(#REF!,$L5,#REF!,T$2,#REF!,"&lt;&gt;FS")</f>
        <v>#REF!</v>
      </c>
      <c r="U5" s="156" t="e">
        <f>COUNTIFS(#REF!,$L5,#REF!,U$2,#REF!,"&lt;&gt;FS")</f>
        <v>#REF!</v>
      </c>
      <c r="V5" s="157" t="e">
        <f>COUNTIFS(#REF!,$L5,#REF!,V$2,#REF!,"&lt;&gt;FS")</f>
        <v>#REF!</v>
      </c>
      <c r="W5" s="151" t="e">
        <f>COUNTIFS(#REF!,$L5,#REF!,W$2,#REF!,"&lt;&gt;FS")</f>
        <v>#REF!</v>
      </c>
      <c r="X5" s="157" t="e">
        <f>SUM(O5:W5)</f>
        <v>#REF!</v>
      </c>
      <c r="Y5" s="158">
        <v>0</v>
      </c>
    </row>
    <row r="6" spans="1:26" ht="15.75" thickBot="1">
      <c r="A6" s="133" t="s">
        <v>130</v>
      </c>
      <c r="B6" s="133" t="s">
        <v>1385</v>
      </c>
      <c r="C6" s="134" t="s">
        <v>1389</v>
      </c>
      <c r="D6" s="134" t="s">
        <v>34</v>
      </c>
      <c r="E6" s="135">
        <v>0</v>
      </c>
      <c r="F6" s="391"/>
      <c r="G6" s="135">
        <v>0</v>
      </c>
      <c r="H6" s="391"/>
      <c r="I6" s="135">
        <v>0</v>
      </c>
      <c r="J6" s="135" t="e">
        <v>#REF!</v>
      </c>
      <c r="L6" s="149" t="s">
        <v>130</v>
      </c>
      <c r="M6" s="398"/>
      <c r="N6" s="150" t="s">
        <v>851</v>
      </c>
      <c r="O6" s="159" t="e">
        <f>COUNTIFS(#REF!,$L6,#REF!,O$2,#REF!,"&lt;&gt;FS")</f>
        <v>#REF!</v>
      </c>
      <c r="P6" s="160" t="e">
        <f>COUNTIFS(#REF!,$L6,#REF!,P$2,#REF!,"&lt;&gt;FS")</f>
        <v>#REF!</v>
      </c>
      <c r="Q6" s="6" t="e">
        <f>COUNTIFS(#REF!,$L6,#REF!,Q$2,#REF!,"&lt;&gt;FS")</f>
        <v>#REF!</v>
      </c>
      <c r="R6" s="161" t="e">
        <f>COUNTIFS(#REF!,$L6,#REF!,R$2,#REF!,"&lt;&gt;FS")</f>
        <v>#REF!</v>
      </c>
      <c r="S6" s="50" t="e">
        <f>COUNTIFS(#REF!,$L6,#REF!,S$2,#REF!,"&lt;&gt;FS")</f>
        <v>#REF!</v>
      </c>
      <c r="T6" s="6" t="e">
        <f>COUNTIFS(#REF!,$L6,#REF!,T$2,#REF!,"&lt;&gt;FS")</f>
        <v>#REF!</v>
      </c>
      <c r="U6" s="162" t="e">
        <f>COUNTIFS(#REF!,$L6,#REF!,U$2,#REF!,"&lt;&gt;FS")</f>
        <v>#REF!</v>
      </c>
      <c r="V6" s="163" t="e">
        <f>COUNTIFS(#REF!,$L6,#REF!,V$2,#REF!,"&lt;&gt;FS")</f>
        <v>#REF!</v>
      </c>
      <c r="W6" s="159" t="e">
        <f>COUNTIFS(#REF!,$L6,#REF!,W$2,#REF!,"&lt;&gt;FS")</f>
        <v>#REF!</v>
      </c>
      <c r="X6" s="163" t="e">
        <f t="shared" ref="X6:X11" si="0">SUM(O6:W6)</f>
        <v>#REF!</v>
      </c>
      <c r="Y6" s="164">
        <v>2</v>
      </c>
    </row>
    <row r="7" spans="1:26" ht="15.75" thickBot="1">
      <c r="A7" s="133" t="s">
        <v>130</v>
      </c>
      <c r="B7" s="133" t="s">
        <v>1385</v>
      </c>
      <c r="C7" s="134" t="s">
        <v>285</v>
      </c>
      <c r="D7" s="134" t="s">
        <v>285</v>
      </c>
      <c r="E7" s="135">
        <v>0</v>
      </c>
      <c r="F7" s="391"/>
      <c r="G7" s="135">
        <v>0</v>
      </c>
      <c r="H7" s="391"/>
      <c r="I7" s="135">
        <v>0</v>
      </c>
      <c r="J7" s="135" t="e">
        <v>#REF!</v>
      </c>
      <c r="L7" s="48" t="s">
        <v>267</v>
      </c>
      <c r="M7" s="398"/>
      <c r="N7" s="150" t="s">
        <v>876</v>
      </c>
      <c r="O7" s="159" t="e">
        <f>COUNTIFS(#REF!,$L7,#REF!,O$2,#REF!,"&lt;&gt;FS")</f>
        <v>#REF!</v>
      </c>
      <c r="P7" s="160" t="e">
        <f>COUNTIFS(#REF!,$L7,#REF!,P$2,#REF!,"&lt;&gt;FS")</f>
        <v>#REF!</v>
      </c>
      <c r="Q7" s="6" t="e">
        <f>COUNTIFS(#REF!,$L7,#REF!,Q$2,#REF!,"&lt;&gt;FS")</f>
        <v>#REF!</v>
      </c>
      <c r="R7" s="161" t="e">
        <f>COUNTIFS(#REF!,$L7,#REF!,R$2,#REF!,"&lt;&gt;FS")</f>
        <v>#REF!</v>
      </c>
      <c r="S7" s="50" t="e">
        <f>COUNTIFS(#REF!,$L7,#REF!,S$2,#REF!,"&lt;&gt;FS")</f>
        <v>#REF!</v>
      </c>
      <c r="T7" s="6" t="e">
        <f>COUNTIFS(#REF!,$L7,#REF!,T$2,#REF!,"&lt;&gt;FS")</f>
        <v>#REF!</v>
      </c>
      <c r="U7" s="162" t="e">
        <f>COUNTIFS(#REF!,$L7,#REF!,U$2,#REF!,"&lt;&gt;FS")</f>
        <v>#REF!</v>
      </c>
      <c r="V7" s="163" t="e">
        <f>COUNTIFS(#REF!,$L7,#REF!,V$2,#REF!,"&lt;&gt;FS")</f>
        <v>#REF!</v>
      </c>
      <c r="W7" s="159" t="e">
        <f>COUNTIFS(#REF!,$L7,#REF!,W$2,#REF!,"&lt;&gt;FS")</f>
        <v>#REF!</v>
      </c>
      <c r="X7" s="163" t="e">
        <f t="shared" si="0"/>
        <v>#REF!</v>
      </c>
      <c r="Y7" s="164">
        <v>3</v>
      </c>
    </row>
    <row r="8" spans="1:26" ht="15.75" thickBot="1">
      <c r="A8" s="133" t="s">
        <v>130</v>
      </c>
      <c r="B8" s="133" t="s">
        <v>1385</v>
      </c>
      <c r="C8" s="134" t="s">
        <v>1390</v>
      </c>
      <c r="D8" s="134" t="s">
        <v>38</v>
      </c>
      <c r="E8" s="135">
        <v>27</v>
      </c>
      <c r="F8" s="392"/>
      <c r="G8" s="135">
        <v>21</v>
      </c>
      <c r="H8" s="392"/>
      <c r="I8" s="135">
        <v>27</v>
      </c>
      <c r="J8" s="135" t="e">
        <v>#REF!</v>
      </c>
      <c r="L8" s="149" t="s">
        <v>89</v>
      </c>
      <c r="M8" s="398"/>
      <c r="N8" s="150" t="s">
        <v>889</v>
      </c>
      <c r="O8" s="159" t="e">
        <f>COUNTIFS(#REF!,$L8,#REF!,O$2,#REF!,"&lt;&gt;FS")</f>
        <v>#REF!</v>
      </c>
      <c r="P8" s="160" t="e">
        <f>COUNTIFS(#REF!,$L8,#REF!,P$2,#REF!,"&lt;&gt;FS")</f>
        <v>#REF!</v>
      </c>
      <c r="Q8" s="6" t="e">
        <f>COUNTIFS(#REF!,$L8,#REF!,Q$2,#REF!,"&lt;&gt;FS")</f>
        <v>#REF!</v>
      </c>
      <c r="R8" s="161" t="e">
        <f>COUNTIFS(#REF!,$L8,#REF!,R$2,#REF!,"&lt;&gt;FS")</f>
        <v>#REF!</v>
      </c>
      <c r="S8" s="50" t="e">
        <f>COUNTIFS(#REF!,$L8,#REF!,S$2,#REF!,"&lt;&gt;FS")</f>
        <v>#REF!</v>
      </c>
      <c r="T8" s="6" t="e">
        <f>COUNTIFS(#REF!,$L8,#REF!,T$2,#REF!,"&lt;&gt;FS")</f>
        <v>#REF!</v>
      </c>
      <c r="U8" s="162" t="e">
        <f>COUNTIFS(#REF!,$L8,#REF!,U$2,#REF!,"&lt;&gt;FS")</f>
        <v>#REF!</v>
      </c>
      <c r="V8" s="163" t="e">
        <f>COUNTIFS(#REF!,$L8,#REF!,V$2,#REF!,"&lt;&gt;FS")</f>
        <v>#REF!</v>
      </c>
      <c r="W8" s="159" t="e">
        <f>COUNTIFS(#REF!,$L8,#REF!,W$2,#REF!,"&lt;&gt;FS")</f>
        <v>#REF!</v>
      </c>
      <c r="X8" s="163" t="e">
        <f t="shared" si="0"/>
        <v>#REF!</v>
      </c>
      <c r="Y8" s="164">
        <v>0</v>
      </c>
    </row>
    <row r="9" spans="1:26" ht="15.75" thickBot="1">
      <c r="A9" s="165" t="s">
        <v>130</v>
      </c>
      <c r="B9" s="165" t="s">
        <v>1391</v>
      </c>
      <c r="C9" s="166" t="s">
        <v>12</v>
      </c>
      <c r="D9" s="166" t="s">
        <v>12</v>
      </c>
      <c r="E9" s="167">
        <v>8</v>
      </c>
      <c r="F9" s="393">
        <v>38</v>
      </c>
      <c r="G9" s="167">
        <v>8</v>
      </c>
      <c r="H9" s="393">
        <v>39</v>
      </c>
      <c r="I9" s="167">
        <v>8</v>
      </c>
      <c r="J9" s="167" t="e">
        <v>#REF!</v>
      </c>
      <c r="L9" s="149" t="s">
        <v>423</v>
      </c>
      <c r="M9" s="399" t="s">
        <v>891</v>
      </c>
      <c r="N9" s="168" t="s">
        <v>885</v>
      </c>
      <c r="O9" s="159" t="e">
        <f>COUNTIFS(#REF!,$L9,#REF!,O$2,#REF!,"&lt;&gt;FS")</f>
        <v>#REF!</v>
      </c>
      <c r="P9" s="160" t="e">
        <f>COUNTIFS(#REF!,$L9,#REF!,P$2,#REF!,"&lt;&gt;FS")</f>
        <v>#REF!</v>
      </c>
      <c r="Q9" s="6" t="e">
        <f>COUNTIFS(#REF!,$L9,#REF!,Q$2,#REF!,"&lt;&gt;FS")</f>
        <v>#REF!</v>
      </c>
      <c r="R9" s="161" t="e">
        <f>COUNTIFS(#REF!,$L9,#REF!,R$2,#REF!,"&lt;&gt;FS")</f>
        <v>#REF!</v>
      </c>
      <c r="S9" s="50" t="e">
        <f>COUNTIFS(#REF!,$L9,#REF!,S$2,#REF!,"&lt;&gt;FS")</f>
        <v>#REF!</v>
      </c>
      <c r="T9" s="6" t="e">
        <f>COUNTIFS(#REF!,$L9,#REF!,T$2,#REF!,"&lt;&gt;FS")</f>
        <v>#REF!</v>
      </c>
      <c r="U9" s="162" t="e">
        <f>COUNTIFS(#REF!,$L9,#REF!,U$2,#REF!,"&lt;&gt;FS")</f>
        <v>#REF!</v>
      </c>
      <c r="V9" s="163" t="e">
        <f>COUNTIFS(#REF!,$L9,#REF!,V$2,#REF!,"&lt;&gt;FS")</f>
        <v>#REF!</v>
      </c>
      <c r="W9" s="159" t="e">
        <f>COUNTIFS(#REF!,$L9,#REF!,W$2,#REF!,"&lt;&gt;FS")</f>
        <v>#REF!</v>
      </c>
      <c r="X9" s="163" t="e">
        <f t="shared" si="0"/>
        <v>#REF!</v>
      </c>
      <c r="Y9" s="164">
        <v>2</v>
      </c>
    </row>
    <row r="10" spans="1:26" ht="15.75" thickBot="1">
      <c r="A10" s="165" t="s">
        <v>130</v>
      </c>
      <c r="B10" s="165" t="s">
        <v>1391</v>
      </c>
      <c r="C10" s="166" t="s">
        <v>1387</v>
      </c>
      <c r="D10" s="166" t="s">
        <v>147</v>
      </c>
      <c r="E10" s="167">
        <v>9</v>
      </c>
      <c r="F10" s="394"/>
      <c r="G10" s="167">
        <v>10</v>
      </c>
      <c r="H10" s="394"/>
      <c r="I10" s="167">
        <v>10</v>
      </c>
      <c r="J10" s="167" t="e">
        <v>#REF!</v>
      </c>
      <c r="L10" s="149" t="s">
        <v>493</v>
      </c>
      <c r="M10" s="399"/>
      <c r="N10" s="168" t="s">
        <v>849</v>
      </c>
      <c r="O10" s="159" t="e">
        <f>COUNTIFS(#REF!,$L10,#REF!,O$2,#REF!,"&lt;&gt;FS")</f>
        <v>#REF!</v>
      </c>
      <c r="P10" s="160" t="e">
        <f>COUNTIFS(#REF!,$L10,#REF!,P$2,#REF!,"&lt;&gt;FS")</f>
        <v>#REF!</v>
      </c>
      <c r="Q10" s="6" t="e">
        <f>COUNTIFS(#REF!,$L10,#REF!,Q$2,#REF!,"&lt;&gt;FS")</f>
        <v>#REF!</v>
      </c>
      <c r="R10" s="161" t="e">
        <f>COUNTIFS(#REF!,$L10,#REF!,R$2,#REF!,"&lt;&gt;FS")</f>
        <v>#REF!</v>
      </c>
      <c r="S10" s="50" t="e">
        <f>COUNTIFS(#REF!,$L10,#REF!,S$2,#REF!,"&lt;&gt;FS")</f>
        <v>#REF!</v>
      </c>
      <c r="T10" s="6" t="e">
        <f>COUNTIFS(#REF!,$L10,#REF!,T$2,#REF!,"&lt;&gt;FS")</f>
        <v>#REF!</v>
      </c>
      <c r="U10" s="162" t="e">
        <f>COUNTIFS(#REF!,$L10,#REF!,U$2,#REF!,"&lt;&gt;FS")</f>
        <v>#REF!</v>
      </c>
      <c r="V10" s="163" t="e">
        <f>COUNTIFS(#REF!,$L10,#REF!,V$2,#REF!,"&lt;&gt;FS")</f>
        <v>#REF!</v>
      </c>
      <c r="W10" s="159" t="e">
        <f>COUNTIFS(#REF!,$L10,#REF!,W$2,#REF!,"&lt;&gt;FS")</f>
        <v>#REF!</v>
      </c>
      <c r="X10" s="163" t="e">
        <f t="shared" si="0"/>
        <v>#REF!</v>
      </c>
      <c r="Y10" s="164">
        <v>2</v>
      </c>
    </row>
    <row r="11" spans="1:26" ht="15.75" thickBot="1">
      <c r="A11" s="165" t="s">
        <v>130</v>
      </c>
      <c r="B11" s="165" t="s">
        <v>1391</v>
      </c>
      <c r="C11" s="166" t="s">
        <v>1389</v>
      </c>
      <c r="D11" s="166" t="s">
        <v>34</v>
      </c>
      <c r="E11" s="167">
        <v>21</v>
      </c>
      <c r="F11" s="394"/>
      <c r="G11" s="167">
        <v>21</v>
      </c>
      <c r="H11" s="394"/>
      <c r="I11" s="167">
        <v>21</v>
      </c>
      <c r="J11" s="167" t="e">
        <v>#REF!</v>
      </c>
      <c r="L11" s="149" t="s">
        <v>674</v>
      </c>
      <c r="M11" s="399"/>
      <c r="N11" s="168" t="s">
        <v>853</v>
      </c>
      <c r="O11" s="169" t="e">
        <f>COUNTIFS(#REF!,$L11,#REF!,O$2,#REF!,"&lt;&gt;FS")</f>
        <v>#REF!</v>
      </c>
      <c r="P11" s="170" t="e">
        <f>COUNTIFS(#REF!,$L11,#REF!,P$2,#REF!,"&lt;&gt;FS")</f>
        <v>#REF!</v>
      </c>
      <c r="Q11" s="46" t="e">
        <f>COUNTIFS(#REF!,$L11,#REF!,Q$2,#REF!,"&lt;&gt;FS")</f>
        <v>#REF!</v>
      </c>
      <c r="R11" s="171" t="e">
        <f>COUNTIFS(#REF!,$L11,#REF!,R$2,#REF!,"&lt;&gt;FS")</f>
        <v>#REF!</v>
      </c>
      <c r="S11" s="114" t="e">
        <f>COUNTIFS(#REF!,$L11,#REF!,S$2,#REF!,"&lt;&gt;FS")</f>
        <v>#REF!</v>
      </c>
      <c r="T11" s="46" t="e">
        <f>COUNTIFS(#REF!,$L11,#REF!,T$2,#REF!,"&lt;&gt;FS")</f>
        <v>#REF!</v>
      </c>
      <c r="U11" s="172" t="e">
        <f>COUNTIFS(#REF!,$L11,#REF!,U$2,#REF!,"&lt;&gt;FS")</f>
        <v>#REF!</v>
      </c>
      <c r="V11" s="173" t="e">
        <f>COUNTIFS(#REF!,$L11,#REF!,V$2,#REF!,"&lt;&gt;FS")</f>
        <v>#REF!</v>
      </c>
      <c r="W11" s="169" t="e">
        <f>COUNTIFS(#REF!,$L11,#REF!,W$2,#REF!,"&lt;&gt;FS")</f>
        <v>#REF!</v>
      </c>
      <c r="X11" s="173" t="e">
        <f t="shared" si="0"/>
        <v>#REF!</v>
      </c>
      <c r="Y11" s="174">
        <v>0</v>
      </c>
    </row>
    <row r="12" spans="1:26" ht="15.75" thickBot="1">
      <c r="A12" s="165" t="s">
        <v>130</v>
      </c>
      <c r="B12" s="165" t="s">
        <v>1391</v>
      </c>
      <c r="C12" s="166" t="s">
        <v>285</v>
      </c>
      <c r="D12" s="166" t="s">
        <v>285</v>
      </c>
      <c r="E12" s="167">
        <v>0</v>
      </c>
      <c r="F12" s="394"/>
      <c r="G12" s="167">
        <v>0</v>
      </c>
      <c r="H12" s="394"/>
      <c r="I12" s="167">
        <v>0</v>
      </c>
      <c r="J12" s="167" t="e">
        <v>#REF!</v>
      </c>
      <c r="L12" s="27"/>
      <c r="M12" s="400" t="s">
        <v>871</v>
      </c>
      <c r="N12" s="401"/>
      <c r="O12" s="175" t="e">
        <f>SUM(O5:O11)</f>
        <v>#REF!</v>
      </c>
      <c r="P12" s="176" t="e">
        <f t="shared" ref="P12:W12" si="1">SUM(P5:P11)</f>
        <v>#REF!</v>
      </c>
      <c r="Q12" s="177" t="e">
        <f t="shared" si="1"/>
        <v>#REF!</v>
      </c>
      <c r="R12" s="178" t="e">
        <f t="shared" si="1"/>
        <v>#REF!</v>
      </c>
      <c r="S12" s="179" t="e">
        <f t="shared" si="1"/>
        <v>#REF!</v>
      </c>
      <c r="T12" s="177" t="e">
        <f t="shared" si="1"/>
        <v>#REF!</v>
      </c>
      <c r="U12" s="180" t="e">
        <f t="shared" si="1"/>
        <v>#REF!</v>
      </c>
      <c r="V12" s="181" t="e">
        <f t="shared" si="1"/>
        <v>#REF!</v>
      </c>
      <c r="W12" s="182" t="e">
        <f t="shared" si="1"/>
        <v>#REF!</v>
      </c>
      <c r="X12" s="183" t="e">
        <f>SUM(O12:W12)</f>
        <v>#REF!</v>
      </c>
      <c r="Y12" s="184">
        <f>SUM(Y5:Y11)</f>
        <v>9</v>
      </c>
    </row>
    <row r="13" spans="1:26" ht="15.75" thickBot="1">
      <c r="A13" s="165" t="s">
        <v>130</v>
      </c>
      <c r="B13" s="165" t="s">
        <v>1391</v>
      </c>
      <c r="C13" s="166" t="s">
        <v>1390</v>
      </c>
      <c r="D13" s="166" t="s">
        <v>38</v>
      </c>
      <c r="E13" s="167">
        <v>0</v>
      </c>
      <c r="F13" s="397"/>
      <c r="G13" s="167">
        <v>0</v>
      </c>
      <c r="H13" s="397"/>
      <c r="I13" s="167">
        <v>0</v>
      </c>
      <c r="J13" s="167" t="e">
        <v>#REF!</v>
      </c>
    </row>
    <row r="14" spans="1:26" ht="15.75" thickBot="1">
      <c r="A14" s="185" t="s">
        <v>15</v>
      </c>
      <c r="B14" s="185" t="s">
        <v>1392</v>
      </c>
      <c r="C14" s="134" t="s">
        <v>12</v>
      </c>
      <c r="D14" s="134" t="s">
        <v>12</v>
      </c>
      <c r="E14" s="135">
        <v>7</v>
      </c>
      <c r="F14" s="390">
        <v>50</v>
      </c>
      <c r="G14" s="135">
        <v>9</v>
      </c>
      <c r="H14" s="390">
        <v>52</v>
      </c>
      <c r="I14" s="135">
        <v>9</v>
      </c>
      <c r="J14" s="135" t="e">
        <v>#REF!</v>
      </c>
    </row>
    <row r="15" spans="1:26" ht="15.75" thickBot="1">
      <c r="A15" s="185" t="s">
        <v>15</v>
      </c>
      <c r="B15" s="185" t="s">
        <v>1392</v>
      </c>
      <c r="C15" s="134" t="s">
        <v>1387</v>
      </c>
      <c r="D15" s="134" t="s">
        <v>147</v>
      </c>
      <c r="E15" s="135">
        <v>0</v>
      </c>
      <c r="F15" s="391"/>
      <c r="G15" s="135">
        <v>0</v>
      </c>
      <c r="H15" s="391"/>
      <c r="I15" s="135">
        <v>0</v>
      </c>
      <c r="J15" s="135" t="e">
        <v>#REF!</v>
      </c>
    </row>
    <row r="16" spans="1:26" ht="15.75" thickBot="1">
      <c r="A16" s="185" t="s">
        <v>15</v>
      </c>
      <c r="B16" s="185" t="s">
        <v>1392</v>
      </c>
      <c r="C16" s="134" t="s">
        <v>1389</v>
      </c>
      <c r="D16" s="134" t="s">
        <v>34</v>
      </c>
      <c r="E16" s="135">
        <v>11</v>
      </c>
      <c r="F16" s="391"/>
      <c r="G16" s="135">
        <v>11</v>
      </c>
      <c r="H16" s="391"/>
      <c r="I16" s="135">
        <v>11</v>
      </c>
      <c r="J16" s="135" t="e">
        <v>#REF!</v>
      </c>
    </row>
    <row r="17" spans="1:10" ht="15.75" thickBot="1">
      <c r="A17" s="185" t="s">
        <v>15</v>
      </c>
      <c r="B17" s="185" t="s">
        <v>1392</v>
      </c>
      <c r="C17" s="147" t="s">
        <v>1393</v>
      </c>
      <c r="D17" s="147" t="s">
        <v>34</v>
      </c>
      <c r="E17" s="148">
        <v>12</v>
      </c>
      <c r="F17" s="391"/>
      <c r="G17" s="148">
        <v>12</v>
      </c>
      <c r="H17" s="391"/>
      <c r="I17" s="135">
        <v>12</v>
      </c>
      <c r="J17" s="135" t="e">
        <v>#REF!</v>
      </c>
    </row>
    <row r="18" spans="1:10" ht="15.75" thickBot="1">
      <c r="A18" s="185" t="s">
        <v>15</v>
      </c>
      <c r="B18" s="185" t="s">
        <v>1392</v>
      </c>
      <c r="C18" s="134" t="s">
        <v>285</v>
      </c>
      <c r="D18" s="134" t="s">
        <v>285</v>
      </c>
      <c r="E18" s="135">
        <v>0</v>
      </c>
      <c r="F18" s="391"/>
      <c r="G18" s="135">
        <v>0</v>
      </c>
      <c r="H18" s="391"/>
      <c r="I18" s="135">
        <v>0</v>
      </c>
      <c r="J18" s="135" t="e">
        <v>#REF!</v>
      </c>
    </row>
    <row r="19" spans="1:10" ht="15.75" thickBot="1">
      <c r="A19" s="185" t="s">
        <v>15</v>
      </c>
      <c r="B19" s="185" t="s">
        <v>1392</v>
      </c>
      <c r="C19" s="134" t="s">
        <v>1390</v>
      </c>
      <c r="D19" s="134" t="s">
        <v>38</v>
      </c>
      <c r="E19" s="135">
        <v>20</v>
      </c>
      <c r="F19" s="392"/>
      <c r="G19" s="135">
        <v>20</v>
      </c>
      <c r="H19" s="392"/>
      <c r="I19" s="135">
        <v>20</v>
      </c>
      <c r="J19" s="135" t="e">
        <v>#REF!</v>
      </c>
    </row>
    <row r="20" spans="1:10" ht="15.75" thickBot="1">
      <c r="A20" s="165" t="s">
        <v>89</v>
      </c>
      <c r="B20" s="165" t="s">
        <v>1394</v>
      </c>
      <c r="C20" s="166" t="s">
        <v>12</v>
      </c>
      <c r="D20" s="166" t="s">
        <v>12</v>
      </c>
      <c r="E20" s="167">
        <v>0</v>
      </c>
      <c r="F20" s="393">
        <v>25</v>
      </c>
      <c r="G20" s="167">
        <v>0</v>
      </c>
      <c r="H20" s="393">
        <v>21</v>
      </c>
      <c r="I20" s="167">
        <v>0</v>
      </c>
      <c r="J20" s="167" t="e">
        <v>#REF!</v>
      </c>
    </row>
    <row r="21" spans="1:10" ht="15.75" thickBot="1">
      <c r="A21" s="165" t="s">
        <v>89</v>
      </c>
      <c r="B21" s="165" t="s">
        <v>1394</v>
      </c>
      <c r="C21" s="166" t="s">
        <v>1387</v>
      </c>
      <c r="D21" s="166" t="s">
        <v>147</v>
      </c>
      <c r="E21" s="167">
        <v>0</v>
      </c>
      <c r="F21" s="394"/>
      <c r="G21" s="167">
        <v>0</v>
      </c>
      <c r="H21" s="394"/>
      <c r="I21" s="167">
        <v>0</v>
      </c>
      <c r="J21" s="167" t="e">
        <v>#REF!</v>
      </c>
    </row>
    <row r="22" spans="1:10" ht="15.75" thickBot="1">
      <c r="A22" s="165" t="s">
        <v>89</v>
      </c>
      <c r="B22" s="165" t="s">
        <v>1394</v>
      </c>
      <c r="C22" s="166" t="s">
        <v>1389</v>
      </c>
      <c r="D22" s="166" t="s">
        <v>34</v>
      </c>
      <c r="E22" s="167">
        <v>6</v>
      </c>
      <c r="F22" s="394"/>
      <c r="G22" s="167">
        <v>7</v>
      </c>
      <c r="H22" s="394"/>
      <c r="I22" s="167">
        <v>7</v>
      </c>
      <c r="J22" s="167" t="e">
        <v>#REF!</v>
      </c>
    </row>
    <row r="23" spans="1:10" ht="15.75" thickBot="1">
      <c r="A23" s="165" t="s">
        <v>89</v>
      </c>
      <c r="B23" s="165" t="s">
        <v>1394</v>
      </c>
      <c r="C23" s="166" t="s">
        <v>285</v>
      </c>
      <c r="D23" s="166" t="s">
        <v>285</v>
      </c>
      <c r="E23" s="167">
        <v>0</v>
      </c>
      <c r="F23" s="394"/>
      <c r="G23" s="167">
        <v>0</v>
      </c>
      <c r="H23" s="394"/>
      <c r="I23" s="167">
        <v>0</v>
      </c>
      <c r="J23" s="167" t="e">
        <v>#REF!</v>
      </c>
    </row>
    <row r="24" spans="1:10" ht="15.75" thickBot="1">
      <c r="A24" s="165" t="s">
        <v>89</v>
      </c>
      <c r="B24" s="165" t="s">
        <v>1394</v>
      </c>
      <c r="C24" s="166" t="s">
        <v>1390</v>
      </c>
      <c r="D24" s="166" t="s">
        <v>38</v>
      </c>
      <c r="E24" s="167">
        <v>19</v>
      </c>
      <c r="F24" s="395"/>
      <c r="G24" s="167">
        <v>14</v>
      </c>
      <c r="H24" s="395"/>
      <c r="I24" s="167">
        <v>19</v>
      </c>
      <c r="J24" s="167" t="e">
        <v>#REF!</v>
      </c>
    </row>
    <row r="25" spans="1:10" ht="15.75" thickBot="1">
      <c r="A25" s="133" t="s">
        <v>267</v>
      </c>
      <c r="B25" s="133" t="s">
        <v>1395</v>
      </c>
      <c r="C25" s="134" t="s">
        <v>12</v>
      </c>
      <c r="D25" s="134" t="s">
        <v>12</v>
      </c>
      <c r="E25" s="135">
        <v>15</v>
      </c>
      <c r="F25" s="396">
        <v>133</v>
      </c>
      <c r="G25" s="135">
        <v>15</v>
      </c>
      <c r="H25" s="396">
        <v>124</v>
      </c>
      <c r="I25" s="135">
        <v>15</v>
      </c>
      <c r="J25" s="135" t="e">
        <v>#REF!</v>
      </c>
    </row>
    <row r="26" spans="1:10" ht="15.75" thickBot="1">
      <c r="A26" s="133" t="s">
        <v>267</v>
      </c>
      <c r="B26" s="133" t="s">
        <v>1395</v>
      </c>
      <c r="C26" s="134" t="s">
        <v>1387</v>
      </c>
      <c r="D26" s="134" t="s">
        <v>147</v>
      </c>
      <c r="E26" s="135">
        <v>55</v>
      </c>
      <c r="F26" s="391"/>
      <c r="G26" s="135">
        <v>50</v>
      </c>
      <c r="H26" s="391"/>
      <c r="I26" s="135">
        <v>55</v>
      </c>
      <c r="J26" s="135" t="e">
        <v>#REF!</v>
      </c>
    </row>
    <row r="27" spans="1:10" ht="15.75" thickBot="1">
      <c r="A27" s="133" t="s">
        <v>267</v>
      </c>
      <c r="B27" s="133" t="s">
        <v>1395</v>
      </c>
      <c r="C27" s="134" t="s">
        <v>1389</v>
      </c>
      <c r="D27" s="134" t="s">
        <v>34</v>
      </c>
      <c r="E27" s="135">
        <v>37</v>
      </c>
      <c r="F27" s="391"/>
      <c r="G27" s="135">
        <v>34</v>
      </c>
      <c r="H27" s="391"/>
      <c r="I27" s="135">
        <v>37</v>
      </c>
      <c r="J27" s="135" t="e">
        <v>#REF!</v>
      </c>
    </row>
    <row r="28" spans="1:10" ht="15.75" thickBot="1">
      <c r="A28" s="133" t="s">
        <v>267</v>
      </c>
      <c r="B28" s="133" t="s">
        <v>1395</v>
      </c>
      <c r="C28" s="134" t="s">
        <v>285</v>
      </c>
      <c r="D28" s="134" t="s">
        <v>285</v>
      </c>
      <c r="E28" s="135">
        <v>26</v>
      </c>
      <c r="F28" s="391"/>
      <c r="G28" s="135">
        <v>25</v>
      </c>
      <c r="H28" s="391"/>
      <c r="I28" s="135">
        <v>26</v>
      </c>
      <c r="J28" s="135" t="e">
        <v>#REF!</v>
      </c>
    </row>
    <row r="29" spans="1:10" ht="15.75" thickBot="1">
      <c r="A29" s="133" t="s">
        <v>267</v>
      </c>
      <c r="B29" s="133" t="s">
        <v>1395</v>
      </c>
      <c r="C29" s="134" t="s">
        <v>1390</v>
      </c>
      <c r="D29" s="134" t="s">
        <v>38</v>
      </c>
      <c r="E29" s="135">
        <v>0</v>
      </c>
      <c r="F29" s="392"/>
      <c r="G29" s="135">
        <v>0</v>
      </c>
      <c r="H29" s="392"/>
      <c r="I29" s="135">
        <v>0</v>
      </c>
      <c r="J29" s="135" t="e">
        <v>#REF!</v>
      </c>
    </row>
    <row r="30" spans="1:10" ht="15.75" thickBot="1">
      <c r="A30" s="165" t="s">
        <v>423</v>
      </c>
      <c r="B30" s="165" t="s">
        <v>1396</v>
      </c>
      <c r="C30" s="166" t="s">
        <v>12</v>
      </c>
      <c r="D30" s="166" t="s">
        <v>12</v>
      </c>
      <c r="E30" s="167">
        <v>4</v>
      </c>
      <c r="F30" s="393">
        <v>52</v>
      </c>
      <c r="G30" s="167">
        <v>5</v>
      </c>
      <c r="H30" s="393">
        <v>53</v>
      </c>
      <c r="I30" s="167">
        <v>5</v>
      </c>
      <c r="J30" s="167" t="e">
        <v>#REF!</v>
      </c>
    </row>
    <row r="31" spans="1:10" ht="15.75" thickBot="1">
      <c r="A31" s="165" t="s">
        <v>423</v>
      </c>
      <c r="B31" s="165" t="s">
        <v>1396</v>
      </c>
      <c r="C31" s="166" t="s">
        <v>1387</v>
      </c>
      <c r="D31" s="166" t="s">
        <v>147</v>
      </c>
      <c r="E31" s="167">
        <v>0</v>
      </c>
      <c r="F31" s="394"/>
      <c r="G31" s="167">
        <v>0</v>
      </c>
      <c r="H31" s="394"/>
      <c r="I31" s="167">
        <v>0</v>
      </c>
      <c r="J31" s="167" t="e">
        <v>#REF!</v>
      </c>
    </row>
    <row r="32" spans="1:10" ht="15.75" thickBot="1">
      <c r="A32" s="165" t="s">
        <v>423</v>
      </c>
      <c r="B32" s="165" t="s">
        <v>1396</v>
      </c>
      <c r="C32" s="166" t="s">
        <v>1389</v>
      </c>
      <c r="D32" s="166" t="s">
        <v>34</v>
      </c>
      <c r="E32" s="167">
        <v>37</v>
      </c>
      <c r="F32" s="394"/>
      <c r="G32" s="167">
        <v>36</v>
      </c>
      <c r="H32" s="394"/>
      <c r="I32" s="167">
        <v>37</v>
      </c>
      <c r="J32" s="167" t="e">
        <v>#REF!</v>
      </c>
    </row>
    <row r="33" spans="1:10" ht="15.75" thickBot="1">
      <c r="A33" s="165" t="s">
        <v>423</v>
      </c>
      <c r="B33" s="165" t="s">
        <v>1396</v>
      </c>
      <c r="C33" s="166" t="s">
        <v>285</v>
      </c>
      <c r="D33" s="166" t="s">
        <v>285</v>
      </c>
      <c r="E33" s="167">
        <v>11</v>
      </c>
      <c r="F33" s="394"/>
      <c r="G33" s="167">
        <v>12</v>
      </c>
      <c r="H33" s="394"/>
      <c r="I33" s="167">
        <v>12</v>
      </c>
      <c r="J33" s="167" t="e">
        <v>#REF!</v>
      </c>
    </row>
    <row r="34" spans="1:10" ht="15.75" thickBot="1">
      <c r="A34" s="165" t="s">
        <v>423</v>
      </c>
      <c r="B34" s="165" t="s">
        <v>1396</v>
      </c>
      <c r="C34" s="166" t="s">
        <v>1390</v>
      </c>
      <c r="D34" s="166" t="s">
        <v>38</v>
      </c>
      <c r="E34" s="167">
        <v>0</v>
      </c>
      <c r="F34" s="395"/>
      <c r="G34" s="167">
        <v>0</v>
      </c>
      <c r="H34" s="395"/>
      <c r="I34" s="167">
        <v>0</v>
      </c>
      <c r="J34" s="167" t="e">
        <v>#REF!</v>
      </c>
    </row>
    <row r="35" spans="1:10" ht="15.75" thickBot="1">
      <c r="A35" s="133" t="s">
        <v>493</v>
      </c>
      <c r="B35" s="133" t="s">
        <v>1397</v>
      </c>
      <c r="C35" s="134" t="s">
        <v>12</v>
      </c>
      <c r="D35" s="134" t="s">
        <v>12</v>
      </c>
      <c r="E35" s="135">
        <v>13</v>
      </c>
      <c r="F35" s="396">
        <v>141</v>
      </c>
      <c r="G35" s="135">
        <v>13</v>
      </c>
      <c r="H35" s="396">
        <v>147</v>
      </c>
      <c r="I35" s="135">
        <v>13</v>
      </c>
      <c r="J35" s="135" t="e">
        <v>#REF!</v>
      </c>
    </row>
    <row r="36" spans="1:10" ht="15.75" thickBot="1">
      <c r="A36" s="133" t="s">
        <v>493</v>
      </c>
      <c r="B36" s="133" t="s">
        <v>1397</v>
      </c>
      <c r="C36" s="134" t="s">
        <v>1387</v>
      </c>
      <c r="D36" s="134" t="s">
        <v>147</v>
      </c>
      <c r="E36" s="135">
        <v>71</v>
      </c>
      <c r="F36" s="391"/>
      <c r="G36" s="135">
        <v>75</v>
      </c>
      <c r="H36" s="391"/>
      <c r="I36" s="135">
        <v>75</v>
      </c>
      <c r="J36" s="135" t="e">
        <v>#REF!</v>
      </c>
    </row>
    <row r="37" spans="1:10" ht="15.75" thickBot="1">
      <c r="A37" s="133" t="s">
        <v>493</v>
      </c>
      <c r="B37" s="133" t="s">
        <v>1397</v>
      </c>
      <c r="C37" s="134" t="s">
        <v>1389</v>
      </c>
      <c r="D37" s="134" t="s">
        <v>34</v>
      </c>
      <c r="E37" s="135">
        <v>57</v>
      </c>
      <c r="F37" s="391"/>
      <c r="G37" s="135">
        <v>59</v>
      </c>
      <c r="H37" s="391"/>
      <c r="I37" s="135">
        <v>59</v>
      </c>
      <c r="J37" s="135" t="e">
        <v>#REF!</v>
      </c>
    </row>
    <row r="38" spans="1:10" ht="15.75" thickBot="1">
      <c r="A38" s="133" t="s">
        <v>493</v>
      </c>
      <c r="B38" s="133" t="s">
        <v>1397</v>
      </c>
      <c r="C38" s="134" t="s">
        <v>285</v>
      </c>
      <c r="D38" s="134" t="s">
        <v>285</v>
      </c>
      <c r="E38" s="135">
        <v>0</v>
      </c>
      <c r="F38" s="391"/>
      <c r="G38" s="135">
        <v>0</v>
      </c>
      <c r="H38" s="391"/>
      <c r="I38" s="135">
        <v>0</v>
      </c>
      <c r="J38" s="135" t="e">
        <v>#REF!</v>
      </c>
    </row>
    <row r="39" spans="1:10" ht="15.75" thickBot="1">
      <c r="A39" s="133" t="s">
        <v>493</v>
      </c>
      <c r="B39" s="133" t="s">
        <v>1397</v>
      </c>
      <c r="C39" s="134" t="s">
        <v>1390</v>
      </c>
      <c r="D39" s="134" t="s">
        <v>38</v>
      </c>
      <c r="E39" s="135">
        <v>0</v>
      </c>
      <c r="F39" s="392"/>
      <c r="G39" s="135">
        <v>0</v>
      </c>
      <c r="H39" s="392"/>
      <c r="I39" s="135">
        <v>0</v>
      </c>
      <c r="J39" s="135" t="e">
        <v>#REF!</v>
      </c>
    </row>
    <row r="40" spans="1:10" ht="15.75" thickBot="1">
      <c r="A40" s="165" t="s">
        <v>674</v>
      </c>
      <c r="B40" s="165" t="s">
        <v>1398</v>
      </c>
      <c r="C40" s="166" t="s">
        <v>12</v>
      </c>
      <c r="D40" s="166" t="s">
        <v>12</v>
      </c>
      <c r="E40" s="167">
        <v>0</v>
      </c>
      <c r="F40" s="393">
        <v>129</v>
      </c>
      <c r="G40" s="167">
        <v>0</v>
      </c>
      <c r="H40" s="393">
        <v>124</v>
      </c>
      <c r="I40" s="167">
        <v>0</v>
      </c>
      <c r="J40" s="167" t="e">
        <v>#REF!</v>
      </c>
    </row>
    <row r="41" spans="1:10" ht="15.75" thickBot="1">
      <c r="A41" s="165" t="s">
        <v>674</v>
      </c>
      <c r="B41" s="165" t="s">
        <v>1398</v>
      </c>
      <c r="C41" s="166" t="s">
        <v>1387</v>
      </c>
      <c r="D41" s="166" t="s">
        <v>147</v>
      </c>
      <c r="E41" s="167">
        <v>89</v>
      </c>
      <c r="F41" s="394"/>
      <c r="G41" s="167">
        <v>88</v>
      </c>
      <c r="H41" s="394"/>
      <c r="I41" s="167">
        <v>89</v>
      </c>
      <c r="J41" s="167" t="e">
        <v>#REF!</v>
      </c>
    </row>
    <row r="42" spans="1:10" ht="15.75" thickBot="1">
      <c r="A42" s="165" t="s">
        <v>674</v>
      </c>
      <c r="B42" s="165" t="s">
        <v>1398</v>
      </c>
      <c r="C42" s="166" t="s">
        <v>1389</v>
      </c>
      <c r="D42" s="166" t="s">
        <v>34</v>
      </c>
      <c r="E42" s="167">
        <v>40</v>
      </c>
      <c r="F42" s="394"/>
      <c r="G42" s="167">
        <v>36</v>
      </c>
      <c r="H42" s="394"/>
      <c r="I42" s="167">
        <v>40</v>
      </c>
      <c r="J42" s="167" t="e">
        <v>#REF!</v>
      </c>
    </row>
    <row r="43" spans="1:10" ht="15.75" thickBot="1">
      <c r="A43" s="165" t="s">
        <v>674</v>
      </c>
      <c r="B43" s="165" t="s">
        <v>1398</v>
      </c>
      <c r="C43" s="166" t="s">
        <v>285</v>
      </c>
      <c r="D43" s="166" t="s">
        <v>285</v>
      </c>
      <c r="E43" s="167">
        <v>0</v>
      </c>
      <c r="F43" s="394"/>
      <c r="G43" s="167">
        <v>0</v>
      </c>
      <c r="H43" s="394"/>
      <c r="I43" s="167">
        <v>0</v>
      </c>
      <c r="J43" s="167" t="e">
        <v>#REF!</v>
      </c>
    </row>
    <row r="44" spans="1:10" ht="15.75" thickBot="1">
      <c r="A44" s="165" t="s">
        <v>674</v>
      </c>
      <c r="B44" s="165" t="s">
        <v>1398</v>
      </c>
      <c r="C44" s="166" t="s">
        <v>1390</v>
      </c>
      <c r="D44" s="166" t="s">
        <v>38</v>
      </c>
      <c r="E44" s="167">
        <v>0</v>
      </c>
      <c r="F44" s="395"/>
      <c r="G44" s="167">
        <v>0</v>
      </c>
      <c r="H44" s="395"/>
      <c r="I44" s="167">
        <v>0</v>
      </c>
      <c r="J44" s="167" t="e">
        <v>#REF!</v>
      </c>
    </row>
    <row r="45" spans="1:10" ht="15.75">
      <c r="A45" s="186"/>
      <c r="B45" s="186"/>
    </row>
    <row r="47" spans="1:10">
      <c r="A47" s="187" t="s">
        <v>865</v>
      </c>
      <c r="B47" s="187" t="s">
        <v>1376</v>
      </c>
      <c r="C47" s="187" t="s">
        <v>1378</v>
      </c>
      <c r="D47" s="187" t="s">
        <v>1383</v>
      </c>
      <c r="E47" s="187" t="s">
        <v>1384</v>
      </c>
      <c r="F47" s="188" t="s">
        <v>1399</v>
      </c>
    </row>
    <row r="48" spans="1:10">
      <c r="A48" s="187" t="s">
        <v>130</v>
      </c>
      <c r="B48" s="187" t="s">
        <v>1385</v>
      </c>
      <c r="C48" s="187" t="s">
        <v>12</v>
      </c>
      <c r="D48" s="187">
        <v>8</v>
      </c>
      <c r="E48" s="187" t="e">
        <v>#REF!</v>
      </c>
      <c r="F48" s="187" t="e">
        <f>Tabla13[[#This Row],[FOB/FR]]-Tabla13[[#This Row],[MÁXIMO PATIO]]</f>
        <v>#REF!</v>
      </c>
    </row>
    <row r="49" spans="1:6">
      <c r="A49" s="187" t="s">
        <v>130</v>
      </c>
      <c r="B49" s="187" t="s">
        <v>1385</v>
      </c>
      <c r="C49" s="187" t="s">
        <v>147</v>
      </c>
      <c r="D49" s="187">
        <v>50</v>
      </c>
      <c r="E49" s="187" t="e">
        <v>#REF!</v>
      </c>
      <c r="F49" s="187" t="e">
        <f>Tabla13[[#This Row],[FOB/FR]]-Tabla13[[#This Row],[MÁXIMO PATIO]]</f>
        <v>#REF!</v>
      </c>
    </row>
    <row r="50" spans="1:6">
      <c r="A50" s="187" t="s">
        <v>130</v>
      </c>
      <c r="B50" s="187" t="s">
        <v>1385</v>
      </c>
      <c r="C50" s="187" t="s">
        <v>34</v>
      </c>
      <c r="D50" s="187">
        <v>21</v>
      </c>
      <c r="E50" s="187" t="e">
        <v>#REF!</v>
      </c>
      <c r="F50" s="187" t="e">
        <f>Tabla13[[#This Row],[FOB/FR]]-Tabla13[[#This Row],[MÁXIMO PATIO]]</f>
        <v>#REF!</v>
      </c>
    </row>
    <row r="51" spans="1:6">
      <c r="A51" s="187" t="s">
        <v>130</v>
      </c>
      <c r="B51" s="187" t="s">
        <v>1385</v>
      </c>
      <c r="C51" s="187" t="s">
        <v>285</v>
      </c>
      <c r="D51" s="187">
        <v>0</v>
      </c>
      <c r="E51" s="187" t="e">
        <v>#REF!</v>
      </c>
      <c r="F51" s="187" t="e">
        <f>Tabla13[[#This Row],[FOB/FR]]-Tabla13[[#This Row],[MÁXIMO PATIO]]</f>
        <v>#REF!</v>
      </c>
    </row>
    <row r="52" spans="1:6">
      <c r="A52" s="187" t="s">
        <v>130</v>
      </c>
      <c r="B52" s="187" t="s">
        <v>1385</v>
      </c>
      <c r="C52" s="187" t="s">
        <v>38</v>
      </c>
      <c r="D52" s="187">
        <v>27</v>
      </c>
      <c r="E52" s="187" t="e">
        <v>#REF!</v>
      </c>
      <c r="F52" s="187" t="e">
        <f>Tabla13[[#This Row],[FOB/FR]]-Tabla13[[#This Row],[MÁXIMO PATIO]]</f>
        <v>#REF!</v>
      </c>
    </row>
    <row r="53" spans="1:6">
      <c r="A53" s="187" t="s">
        <v>15</v>
      </c>
      <c r="B53" s="187" t="s">
        <v>1392</v>
      </c>
      <c r="C53" s="187" t="s">
        <v>12</v>
      </c>
      <c r="D53" s="187">
        <v>9</v>
      </c>
      <c r="E53" s="187" t="e">
        <v>#REF!</v>
      </c>
      <c r="F53" s="187" t="e">
        <f>Tabla13[[#This Row],[FOB/FR]]-Tabla13[[#This Row],[MÁXIMO PATIO]]</f>
        <v>#REF!</v>
      </c>
    </row>
    <row r="54" spans="1:6">
      <c r="A54" s="187" t="s">
        <v>15</v>
      </c>
      <c r="B54" s="187" t="s">
        <v>1392</v>
      </c>
      <c r="C54" s="187" t="s">
        <v>147</v>
      </c>
      <c r="D54" s="187">
        <v>0</v>
      </c>
      <c r="E54" s="187" t="e">
        <v>#REF!</v>
      </c>
      <c r="F54" s="187" t="e">
        <f>Tabla13[[#This Row],[FOB/FR]]-Tabla13[[#This Row],[MÁXIMO PATIO]]</f>
        <v>#REF!</v>
      </c>
    </row>
    <row r="55" spans="1:6">
      <c r="A55" s="187" t="s">
        <v>15</v>
      </c>
      <c r="B55" s="187" t="s">
        <v>1392</v>
      </c>
      <c r="C55" s="187" t="s">
        <v>34</v>
      </c>
      <c r="D55" s="187">
        <v>23</v>
      </c>
      <c r="E55" s="187" t="e">
        <v>#REF!</v>
      </c>
      <c r="F55" s="187" t="e">
        <f>Tabla13[[#This Row],[FOB/FR]]-Tabla13[[#This Row],[MÁXIMO PATIO]]</f>
        <v>#REF!</v>
      </c>
    </row>
    <row r="56" spans="1:6">
      <c r="A56" s="187" t="s">
        <v>15</v>
      </c>
      <c r="B56" s="187" t="s">
        <v>1392</v>
      </c>
      <c r="C56" s="187" t="s">
        <v>285</v>
      </c>
      <c r="D56" s="187">
        <v>0</v>
      </c>
      <c r="E56" s="187" t="e">
        <v>#REF!</v>
      </c>
      <c r="F56" s="187" t="e">
        <f>Tabla13[[#This Row],[FOB/FR]]-Tabla13[[#This Row],[MÁXIMO PATIO]]</f>
        <v>#REF!</v>
      </c>
    </row>
    <row r="57" spans="1:6">
      <c r="A57" s="187" t="s">
        <v>15</v>
      </c>
      <c r="B57" s="187" t="s">
        <v>1392</v>
      </c>
      <c r="C57" s="187" t="s">
        <v>38</v>
      </c>
      <c r="D57" s="187">
        <v>20</v>
      </c>
      <c r="E57" s="187" t="e">
        <v>#REF!</v>
      </c>
      <c r="F57" s="187" t="e">
        <f>Tabla13[[#This Row],[FOB/FR]]-Tabla13[[#This Row],[MÁXIMO PATIO]]</f>
        <v>#REF!</v>
      </c>
    </row>
    <row r="58" spans="1:6">
      <c r="A58" s="187" t="s">
        <v>89</v>
      </c>
      <c r="B58" s="187" t="s">
        <v>1394</v>
      </c>
      <c r="C58" s="187" t="s">
        <v>12</v>
      </c>
      <c r="D58" s="187">
        <v>0</v>
      </c>
      <c r="E58" s="187" t="e">
        <v>#REF!</v>
      </c>
      <c r="F58" s="187" t="e">
        <f>Tabla13[[#This Row],[FOB/FR]]-Tabla13[[#This Row],[MÁXIMO PATIO]]</f>
        <v>#REF!</v>
      </c>
    </row>
    <row r="59" spans="1:6">
      <c r="A59" s="187" t="s">
        <v>89</v>
      </c>
      <c r="B59" s="187" t="s">
        <v>1394</v>
      </c>
      <c r="C59" s="187" t="s">
        <v>147</v>
      </c>
      <c r="D59" s="187">
        <v>0</v>
      </c>
      <c r="E59" s="187" t="e">
        <v>#REF!</v>
      </c>
      <c r="F59" s="187" t="e">
        <f>Tabla13[[#This Row],[FOB/FR]]-Tabla13[[#This Row],[MÁXIMO PATIO]]</f>
        <v>#REF!</v>
      </c>
    </row>
    <row r="60" spans="1:6">
      <c r="A60" s="187" t="s">
        <v>89</v>
      </c>
      <c r="B60" s="187" t="s">
        <v>1394</v>
      </c>
      <c r="C60" s="187" t="s">
        <v>34</v>
      </c>
      <c r="D60" s="187">
        <v>7</v>
      </c>
      <c r="E60" s="187" t="e">
        <v>#REF!</v>
      </c>
      <c r="F60" s="187" t="e">
        <f>Tabla13[[#This Row],[FOB/FR]]-Tabla13[[#This Row],[MÁXIMO PATIO]]</f>
        <v>#REF!</v>
      </c>
    </row>
    <row r="61" spans="1:6">
      <c r="A61" s="187" t="s">
        <v>89</v>
      </c>
      <c r="B61" s="187" t="s">
        <v>1394</v>
      </c>
      <c r="C61" s="187" t="s">
        <v>285</v>
      </c>
      <c r="D61" s="187">
        <v>0</v>
      </c>
      <c r="E61" s="187" t="e">
        <v>#REF!</v>
      </c>
      <c r="F61" s="187" t="e">
        <f>Tabla13[[#This Row],[FOB/FR]]-Tabla13[[#This Row],[MÁXIMO PATIO]]</f>
        <v>#REF!</v>
      </c>
    </row>
    <row r="62" spans="1:6">
      <c r="A62" s="187" t="s">
        <v>89</v>
      </c>
      <c r="B62" s="187" t="s">
        <v>1394</v>
      </c>
      <c r="C62" s="187" t="s">
        <v>38</v>
      </c>
      <c r="D62" s="187">
        <v>19</v>
      </c>
      <c r="E62" s="187" t="e">
        <v>#REF!</v>
      </c>
      <c r="F62" s="187" t="e">
        <f>Tabla13[[#This Row],[FOB/FR]]-Tabla13[[#This Row],[MÁXIMO PATIO]]</f>
        <v>#REF!</v>
      </c>
    </row>
    <row r="63" spans="1:6">
      <c r="A63" s="187" t="s">
        <v>267</v>
      </c>
      <c r="B63" s="187" t="s">
        <v>1395</v>
      </c>
      <c r="C63" s="187" t="s">
        <v>12</v>
      </c>
      <c r="D63" s="187">
        <v>15</v>
      </c>
      <c r="E63" s="187" t="e">
        <v>#REF!</v>
      </c>
      <c r="F63" s="187" t="e">
        <f>Tabla13[[#This Row],[FOB/FR]]-Tabla13[[#This Row],[MÁXIMO PATIO]]</f>
        <v>#REF!</v>
      </c>
    </row>
    <row r="64" spans="1:6">
      <c r="A64" s="187" t="s">
        <v>267</v>
      </c>
      <c r="B64" s="187" t="s">
        <v>1395</v>
      </c>
      <c r="C64" s="187" t="s">
        <v>147</v>
      </c>
      <c r="D64" s="187">
        <v>55</v>
      </c>
      <c r="E64" s="187" t="e">
        <v>#REF!</v>
      </c>
      <c r="F64" s="187" t="e">
        <f>Tabla13[[#This Row],[FOB/FR]]-Tabla13[[#This Row],[MÁXIMO PATIO]]</f>
        <v>#REF!</v>
      </c>
    </row>
    <row r="65" spans="1:6">
      <c r="A65" s="187" t="s">
        <v>267</v>
      </c>
      <c r="B65" s="187" t="s">
        <v>1395</v>
      </c>
      <c r="C65" s="187" t="s">
        <v>34</v>
      </c>
      <c r="D65" s="187">
        <v>37</v>
      </c>
      <c r="E65" s="187" t="e">
        <v>#REF!</v>
      </c>
      <c r="F65" s="187" t="e">
        <f>Tabla13[[#This Row],[FOB/FR]]-Tabla13[[#This Row],[MÁXIMO PATIO]]</f>
        <v>#REF!</v>
      </c>
    </row>
    <row r="66" spans="1:6">
      <c r="A66" s="187" t="s">
        <v>267</v>
      </c>
      <c r="B66" s="187" t="s">
        <v>1395</v>
      </c>
      <c r="C66" s="187" t="s">
        <v>285</v>
      </c>
      <c r="D66" s="187">
        <v>26</v>
      </c>
      <c r="E66" s="187" t="e">
        <v>#REF!</v>
      </c>
      <c r="F66" s="187" t="e">
        <f>Tabla13[[#This Row],[FOB/FR]]-Tabla13[[#This Row],[MÁXIMO PATIO]]</f>
        <v>#REF!</v>
      </c>
    </row>
    <row r="67" spans="1:6">
      <c r="A67" s="187" t="s">
        <v>267</v>
      </c>
      <c r="B67" s="187" t="s">
        <v>1395</v>
      </c>
      <c r="C67" s="187" t="s">
        <v>38</v>
      </c>
      <c r="D67" s="187">
        <v>0</v>
      </c>
      <c r="E67" s="187" t="e">
        <v>#REF!</v>
      </c>
      <c r="F67" s="187" t="e">
        <f>Tabla13[[#This Row],[FOB/FR]]-Tabla13[[#This Row],[MÁXIMO PATIO]]</f>
        <v>#REF!</v>
      </c>
    </row>
    <row r="68" spans="1:6">
      <c r="A68" s="187" t="s">
        <v>423</v>
      </c>
      <c r="B68" s="187" t="s">
        <v>1396</v>
      </c>
      <c r="C68" s="187" t="s">
        <v>12</v>
      </c>
      <c r="D68" s="187">
        <v>5</v>
      </c>
      <c r="E68" s="187" t="e">
        <v>#REF!</v>
      </c>
      <c r="F68" s="187" t="e">
        <f>Tabla13[[#This Row],[FOB/FR]]-Tabla13[[#This Row],[MÁXIMO PATIO]]</f>
        <v>#REF!</v>
      </c>
    </row>
    <row r="69" spans="1:6">
      <c r="A69" s="187" t="s">
        <v>423</v>
      </c>
      <c r="B69" s="187" t="s">
        <v>1396</v>
      </c>
      <c r="C69" s="187" t="s">
        <v>147</v>
      </c>
      <c r="D69" s="187">
        <v>0</v>
      </c>
      <c r="E69" s="187" t="e">
        <v>#REF!</v>
      </c>
      <c r="F69" s="187" t="e">
        <f>Tabla13[[#This Row],[FOB/FR]]-Tabla13[[#This Row],[MÁXIMO PATIO]]</f>
        <v>#REF!</v>
      </c>
    </row>
    <row r="70" spans="1:6">
      <c r="A70" s="187" t="s">
        <v>423</v>
      </c>
      <c r="B70" s="187" t="s">
        <v>1396</v>
      </c>
      <c r="C70" s="187" t="s">
        <v>34</v>
      </c>
      <c r="D70" s="187">
        <v>37</v>
      </c>
      <c r="E70" s="187" t="e">
        <v>#REF!</v>
      </c>
      <c r="F70" s="187" t="e">
        <f>Tabla13[[#This Row],[FOB/FR]]-Tabla13[[#This Row],[MÁXIMO PATIO]]</f>
        <v>#REF!</v>
      </c>
    </row>
    <row r="71" spans="1:6">
      <c r="A71" s="187" t="s">
        <v>423</v>
      </c>
      <c r="B71" s="187" t="s">
        <v>1396</v>
      </c>
      <c r="C71" s="187" t="s">
        <v>285</v>
      </c>
      <c r="D71" s="187">
        <v>12</v>
      </c>
      <c r="E71" s="187" t="e">
        <v>#REF!</v>
      </c>
      <c r="F71" s="187" t="e">
        <f>Tabla13[[#This Row],[FOB/FR]]-Tabla13[[#This Row],[MÁXIMO PATIO]]</f>
        <v>#REF!</v>
      </c>
    </row>
    <row r="72" spans="1:6">
      <c r="A72" s="187" t="s">
        <v>423</v>
      </c>
      <c r="B72" s="187" t="s">
        <v>1396</v>
      </c>
      <c r="C72" s="187" t="s">
        <v>38</v>
      </c>
      <c r="D72" s="187">
        <v>0</v>
      </c>
      <c r="E72" s="187" t="e">
        <v>#REF!</v>
      </c>
      <c r="F72" s="187" t="e">
        <f>Tabla13[[#This Row],[FOB/FR]]-Tabla13[[#This Row],[MÁXIMO PATIO]]</f>
        <v>#REF!</v>
      </c>
    </row>
    <row r="73" spans="1:6">
      <c r="A73" s="187" t="s">
        <v>493</v>
      </c>
      <c r="B73" s="187" t="s">
        <v>1397</v>
      </c>
      <c r="C73" s="187" t="s">
        <v>12</v>
      </c>
      <c r="D73" s="187">
        <v>13</v>
      </c>
      <c r="E73" s="187" t="e">
        <v>#REF!</v>
      </c>
      <c r="F73" s="187" t="e">
        <f>Tabla13[[#This Row],[FOB/FR]]-Tabla13[[#This Row],[MÁXIMO PATIO]]</f>
        <v>#REF!</v>
      </c>
    </row>
    <row r="74" spans="1:6">
      <c r="A74" s="187" t="s">
        <v>493</v>
      </c>
      <c r="B74" s="187" t="s">
        <v>1397</v>
      </c>
      <c r="C74" s="187" t="s">
        <v>147</v>
      </c>
      <c r="D74" s="187">
        <v>75</v>
      </c>
      <c r="E74" s="187" t="e">
        <v>#REF!</v>
      </c>
      <c r="F74" s="187" t="e">
        <f>Tabla13[[#This Row],[FOB/FR]]-Tabla13[[#This Row],[MÁXIMO PATIO]]</f>
        <v>#REF!</v>
      </c>
    </row>
    <row r="75" spans="1:6">
      <c r="A75" s="187" t="s">
        <v>493</v>
      </c>
      <c r="B75" s="187" t="s">
        <v>1397</v>
      </c>
      <c r="C75" s="187" t="s">
        <v>34</v>
      </c>
      <c r="D75" s="187">
        <v>59</v>
      </c>
      <c r="E75" s="187" t="e">
        <v>#REF!</v>
      </c>
      <c r="F75" s="187" t="e">
        <f>Tabla13[[#This Row],[FOB/FR]]-Tabla13[[#This Row],[MÁXIMO PATIO]]</f>
        <v>#REF!</v>
      </c>
    </row>
    <row r="76" spans="1:6">
      <c r="A76" s="187" t="s">
        <v>493</v>
      </c>
      <c r="B76" s="187" t="s">
        <v>1397</v>
      </c>
      <c r="C76" s="187" t="s">
        <v>285</v>
      </c>
      <c r="D76" s="187">
        <v>0</v>
      </c>
      <c r="E76" s="187" t="e">
        <v>#REF!</v>
      </c>
      <c r="F76" s="187" t="e">
        <f>Tabla13[[#This Row],[FOB/FR]]-Tabla13[[#This Row],[MÁXIMO PATIO]]</f>
        <v>#REF!</v>
      </c>
    </row>
    <row r="77" spans="1:6">
      <c r="A77" s="187" t="s">
        <v>493</v>
      </c>
      <c r="B77" s="187" t="s">
        <v>1397</v>
      </c>
      <c r="C77" s="187" t="s">
        <v>38</v>
      </c>
      <c r="D77" s="187">
        <v>0</v>
      </c>
      <c r="E77" s="187" t="e">
        <v>#REF!</v>
      </c>
      <c r="F77" s="187" t="e">
        <f>Tabla13[[#This Row],[FOB/FR]]-Tabla13[[#This Row],[MÁXIMO PATIO]]</f>
        <v>#REF!</v>
      </c>
    </row>
    <row r="78" spans="1:6">
      <c r="A78" s="187" t="s">
        <v>674</v>
      </c>
      <c r="B78" s="187" t="s">
        <v>1398</v>
      </c>
      <c r="C78" s="187" t="s">
        <v>12</v>
      </c>
      <c r="D78" s="187">
        <v>0</v>
      </c>
      <c r="E78" s="187" t="e">
        <v>#REF!</v>
      </c>
      <c r="F78" s="187" t="e">
        <f>Tabla13[[#This Row],[FOB/FR]]-Tabla13[[#This Row],[MÁXIMO PATIO]]</f>
        <v>#REF!</v>
      </c>
    </row>
    <row r="79" spans="1:6">
      <c r="A79" s="187" t="s">
        <v>674</v>
      </c>
      <c r="B79" s="187" t="s">
        <v>1398</v>
      </c>
      <c r="C79" s="187" t="s">
        <v>147</v>
      </c>
      <c r="D79" s="187">
        <v>89</v>
      </c>
      <c r="E79" s="187" t="e">
        <v>#REF!</v>
      </c>
      <c r="F79" s="187" t="e">
        <f>Tabla13[[#This Row],[FOB/FR]]-Tabla13[[#This Row],[MÁXIMO PATIO]]</f>
        <v>#REF!</v>
      </c>
    </row>
    <row r="80" spans="1:6">
      <c r="A80" s="187" t="s">
        <v>674</v>
      </c>
      <c r="B80" s="187" t="s">
        <v>1398</v>
      </c>
      <c r="C80" s="187" t="s">
        <v>34</v>
      </c>
      <c r="D80" s="187">
        <v>40</v>
      </c>
      <c r="E80" s="187" t="e">
        <v>#REF!</v>
      </c>
      <c r="F80" s="187" t="e">
        <f>Tabla13[[#This Row],[FOB/FR]]-Tabla13[[#This Row],[MÁXIMO PATIO]]</f>
        <v>#REF!</v>
      </c>
    </row>
    <row r="81" spans="1:6">
      <c r="A81" s="187" t="s">
        <v>674</v>
      </c>
      <c r="B81" s="187" t="s">
        <v>1398</v>
      </c>
      <c r="C81" s="187" t="s">
        <v>285</v>
      </c>
      <c r="D81" s="187">
        <v>0</v>
      </c>
      <c r="E81" s="187" t="e">
        <v>#REF!</v>
      </c>
      <c r="F81" s="187" t="e">
        <f>Tabla13[[#This Row],[FOB/FR]]-Tabla13[[#This Row],[MÁXIMO PATIO]]</f>
        <v>#REF!</v>
      </c>
    </row>
    <row r="82" spans="1:6">
      <c r="A82" s="187" t="s">
        <v>674</v>
      </c>
      <c r="B82" s="187" t="s">
        <v>1398</v>
      </c>
      <c r="C82" s="187" t="s">
        <v>38</v>
      </c>
      <c r="D82" s="187">
        <v>0</v>
      </c>
      <c r="E82" s="187" t="e">
        <v>#REF!</v>
      </c>
      <c r="F82" s="187" t="e">
        <f>Tabla13[[#This Row],[FOB/FR]]-Tabla13[[#This Row],[MÁXIMO PATIO]]</f>
        <v>#REF!</v>
      </c>
    </row>
    <row r="83" spans="1:6">
      <c r="A83" s="187" t="s">
        <v>871</v>
      </c>
      <c r="B83" s="187"/>
      <c r="C83" s="187"/>
      <c r="D83" s="187">
        <f>SUBTOTAL(109,Tabla13[MÁXIMO PATIO])</f>
        <v>647</v>
      </c>
      <c r="E83" s="187" t="e">
        <f>SUBTOTAL(109,Tabla13[FOB/FR])</f>
        <v>#REF!</v>
      </c>
      <c r="F83" s="187" t="e">
        <f>SUBTOTAL(109,Tabla13[Diferencia])</f>
        <v>#REF!</v>
      </c>
    </row>
    <row r="95" spans="1:6">
      <c r="A95" s="189" t="s">
        <v>865</v>
      </c>
      <c r="B95" s="189" t="s">
        <v>1376</v>
      </c>
      <c r="C95" s="189" t="s">
        <v>1378</v>
      </c>
      <c r="D95" s="189" t="s">
        <v>1383</v>
      </c>
      <c r="E95" s="189" t="s">
        <v>1384</v>
      </c>
      <c r="F95" s="189" t="s">
        <v>1399</v>
      </c>
    </row>
    <row r="96" spans="1:6">
      <c r="A96" s="5" t="s">
        <v>130</v>
      </c>
      <c r="B96" s="5" t="s">
        <v>1385</v>
      </c>
      <c r="C96" s="5" t="s">
        <v>34</v>
      </c>
      <c r="D96" s="5">
        <v>21</v>
      </c>
      <c r="E96" s="5">
        <v>18</v>
      </c>
      <c r="F96" s="5">
        <v>-3</v>
      </c>
    </row>
    <row r="97" spans="1:6">
      <c r="A97" s="5" t="s">
        <v>15</v>
      </c>
      <c r="B97" s="5" t="s">
        <v>1392</v>
      </c>
      <c r="C97" s="5" t="s">
        <v>38</v>
      </c>
      <c r="D97" s="5">
        <v>20</v>
      </c>
      <c r="E97" s="5">
        <v>19</v>
      </c>
      <c r="F97" s="5">
        <v>-1</v>
      </c>
    </row>
    <row r="98" spans="1:6">
      <c r="A98" s="5" t="s">
        <v>267</v>
      </c>
      <c r="B98" s="5" t="s">
        <v>1395</v>
      </c>
      <c r="C98" s="5" t="s">
        <v>34</v>
      </c>
      <c r="D98" s="5">
        <v>37</v>
      </c>
      <c r="E98" s="5">
        <v>22</v>
      </c>
      <c r="F98" s="5">
        <v>-15</v>
      </c>
    </row>
    <row r="99" spans="1:6">
      <c r="A99" s="5" t="s">
        <v>674</v>
      </c>
      <c r="B99" s="5" t="s">
        <v>1398</v>
      </c>
      <c r="C99" s="5" t="s">
        <v>34</v>
      </c>
      <c r="D99" s="5">
        <v>40</v>
      </c>
      <c r="E99" s="5">
        <v>36</v>
      </c>
      <c r="F99" s="5">
        <v>-4</v>
      </c>
    </row>
  </sheetData>
  <mergeCells count="26">
    <mergeCell ref="M5:M8"/>
    <mergeCell ref="M9:M11"/>
    <mergeCell ref="M12:N12"/>
    <mergeCell ref="L1:Z1"/>
    <mergeCell ref="M3:M4"/>
    <mergeCell ref="N3:N4"/>
    <mergeCell ref="P3:R3"/>
    <mergeCell ref="S3:U3"/>
    <mergeCell ref="X3:X4"/>
    <mergeCell ref="Y3:Y4"/>
    <mergeCell ref="F35:F39"/>
    <mergeCell ref="H35:H39"/>
    <mergeCell ref="F40:F44"/>
    <mergeCell ref="H40:H44"/>
    <mergeCell ref="F25:F29"/>
    <mergeCell ref="H25:H29"/>
    <mergeCell ref="F30:F34"/>
    <mergeCell ref="H30:H34"/>
    <mergeCell ref="F14:F19"/>
    <mergeCell ref="H14:H19"/>
    <mergeCell ref="F20:F24"/>
    <mergeCell ref="H20:H24"/>
    <mergeCell ref="F3:F8"/>
    <mergeCell ref="H3:H8"/>
    <mergeCell ref="F9:F13"/>
    <mergeCell ref="H9:H13"/>
  </mergeCell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6606-D469-45CF-A50B-5DD0D8C51074}">
  <sheetPr codeName="Hoja12"/>
  <dimension ref="B1:S38"/>
  <sheetViews>
    <sheetView showGridLines="0" zoomScale="115" zoomScaleNormal="115" workbookViewId="0">
      <selection activeCell="A15" sqref="A15"/>
    </sheetView>
  </sheetViews>
  <sheetFormatPr baseColWidth="10" defaultColWidth="11.42578125" defaultRowHeight="15"/>
  <cols>
    <col min="2" max="2" width="12.85546875" bestFit="1" customWidth="1"/>
    <col min="3" max="18" width="7" customWidth="1"/>
  </cols>
  <sheetData>
    <row r="1" spans="2:19">
      <c r="B1" t="s">
        <v>1400</v>
      </c>
    </row>
    <row r="2" spans="2:19">
      <c r="M2" s="35">
        <v>45003</v>
      </c>
      <c r="O2" t="s">
        <v>1401</v>
      </c>
    </row>
    <row r="3" spans="2:19" ht="30">
      <c r="B3" s="20" t="s">
        <v>1402</v>
      </c>
      <c r="C3" s="420" t="s">
        <v>845</v>
      </c>
      <c r="D3" s="421"/>
      <c r="E3" s="420" t="s">
        <v>1366</v>
      </c>
      <c r="F3" s="421"/>
      <c r="G3" s="426" t="s">
        <v>851</v>
      </c>
      <c r="H3" s="427"/>
      <c r="I3" s="420" t="s">
        <v>1403</v>
      </c>
      <c r="J3" s="421"/>
      <c r="K3" s="418" t="s">
        <v>1367</v>
      </c>
      <c r="L3" s="419"/>
      <c r="M3" s="418" t="s">
        <v>849</v>
      </c>
      <c r="N3" s="419"/>
      <c r="O3" s="418" t="s">
        <v>853</v>
      </c>
      <c r="P3" s="419"/>
      <c r="Q3" s="420" t="s">
        <v>1369</v>
      </c>
      <c r="R3" s="421"/>
    </row>
    <row r="4" spans="2:19">
      <c r="B4" s="21" t="s">
        <v>869</v>
      </c>
      <c r="C4" s="22">
        <f>IF(COUNTIFS(ALRET[MARCA CHASIS],Operación!B4,ALRET[TIPO BUS],Operación!D4)=0,"-",COUNTIFS(ALRET[MARCA CHASIS],Operación!B4,ALRET[TIPO BUS],Operación!D4))</f>
        <v>28</v>
      </c>
      <c r="D4" s="12" t="s">
        <v>34</v>
      </c>
      <c r="E4" s="22">
        <f>IF(COUNTIFS(ALSMG[MARCA CHASIS],Operación!B4,ALSMG[TIPO BUS],Operación!F4)=0,"-",COUNTIFS(ALSMG[MARCA CHASIS],Operación!B4,ALSMG[TIPO BUS],Operación!F4))</f>
        <v>9</v>
      </c>
      <c r="F4" s="12" t="s">
        <v>34</v>
      </c>
      <c r="G4" s="23" t="str">
        <f>IF(COUNTIFS(ALCON[MARCA CHASIS],Operación!B4,ALCON[TIPO BUS],Operación!H4)=0,"-",COUNTIFS(ALCON[MARCA CHASIS],Operación!B4,ALCON[TIPO BUS],Operación!H4))</f>
        <v>-</v>
      </c>
      <c r="H4" s="12" t="s">
        <v>34</v>
      </c>
      <c r="I4" s="22" t="str">
        <f>IF(COUNTIFS(ALCC[MARCA CHASIS],Operación!B4,ALCC[TIPO BUS],Operación!J4)=0,"-",COUNTIFS(ALCC[MARCA CHASIS],Operación!B4,ALCC[TIPO BUS],Operación!J4))</f>
        <v>-</v>
      </c>
      <c r="J4" s="12" t="s">
        <v>34</v>
      </c>
      <c r="K4" s="22" t="str">
        <f>IF(COUNTIFS(OMJJA[MARCA CHASIS],Operación!B4,OMJJA[TIPO BUS],Operación!L4)=0,"-",COUNTIFS(OMJJA[MARCA CHASIS],Operación!B4,OMJJA[TIPO BUS],Operación!L4))</f>
        <v>-</v>
      </c>
      <c r="L4" s="12" t="s">
        <v>34</v>
      </c>
      <c r="M4" s="22"/>
      <c r="N4" s="12" t="s">
        <v>34</v>
      </c>
      <c r="O4" s="22"/>
      <c r="P4" s="12" t="s">
        <v>34</v>
      </c>
      <c r="Q4" s="23"/>
      <c r="R4" s="12" t="s">
        <v>34</v>
      </c>
      <c r="S4">
        <f>SUM(C4,E4,G4,I4,K4,M4,O4,Q4)</f>
        <v>37</v>
      </c>
    </row>
    <row r="5" spans="2:19">
      <c r="B5" s="422" t="s">
        <v>868</v>
      </c>
      <c r="C5" s="22" t="str">
        <f>IF(COUNTIFS(ALRET[MARCA CHASIS],Operación!B5,ALRET[TIPO BUS],Operación!D5)=0,"-",COUNTIFS(ALRET[MARCA CHASIS],Operación!B5,ALRET[TIPO BUS],Operación!D5))</f>
        <v>-</v>
      </c>
      <c r="D5" s="12" t="s">
        <v>34</v>
      </c>
      <c r="E5" s="22" t="str">
        <f>IF(COUNTIFS(ALSMG[MARCA CHASIS],Operación!B5,ALSMG[TIPO BUS],Operación!F5)=0,"-",COUNTIFS(ALSMG[MARCA CHASIS],Operación!B5,ALSMG[TIPO BUS],Operación!F5))</f>
        <v>-</v>
      </c>
      <c r="F5" s="12" t="s">
        <v>34</v>
      </c>
      <c r="G5" s="23">
        <f>IF(COUNTIFS(ALCON[MARCA CHASIS],Operación!B5,ALCON[TIPO BUS],Operación!H5)=0,"-",COUNTIFS(ALCON[MARCA CHASIS],Operación!B5,ALCON[TIPO BUS],Operación!H5))</f>
        <v>12</v>
      </c>
      <c r="H5" s="12" t="s">
        <v>34</v>
      </c>
      <c r="I5" s="22" t="str">
        <f>IF(COUNTIFS(ALCC[MARCA CHASIS],Operación!B5,ALCC[TIPO BUS],Operación!J5)=0,"-",COUNTIFS(ALCC[MARCA CHASIS],Operación!B5,ALCC[TIPO BUS],Operación!J5))</f>
        <v>-</v>
      </c>
      <c r="J5" s="12" t="s">
        <v>34</v>
      </c>
      <c r="K5" s="22" t="str">
        <f>IF(COUNTIFS(OMJJA[MARCA CHASIS],Operación!B5,OMJJA[TIPO BUS],Operación!L5)=0,"-",COUNTIFS(OMJJA[MARCA CHASIS],Operación!B5,OMJJA[TIPO BUS],Operación!L5))</f>
        <v>-</v>
      </c>
      <c r="L5" s="12" t="s">
        <v>34</v>
      </c>
      <c r="M5" s="22">
        <v>28</v>
      </c>
      <c r="N5" s="12" t="s">
        <v>34</v>
      </c>
      <c r="O5" s="22">
        <v>36</v>
      </c>
      <c r="P5" s="12" t="s">
        <v>34</v>
      </c>
      <c r="Q5" s="23"/>
      <c r="R5" s="12" t="s">
        <v>34</v>
      </c>
      <c r="S5">
        <f>SUM(C5,E5,G5,I5,K5,M5,O5,Q5)</f>
        <v>76</v>
      </c>
    </row>
    <row r="6" spans="2:19">
      <c r="B6" s="423"/>
      <c r="C6" s="24" t="str">
        <f>IF(COUNTIFS(ALRET[MARCA CHASIS],Operación!B5,ALRET[TIPO BUS],Operación!D6)=0,"-",COUNTIFS(ALRET[MARCA CHASIS],Operación!B5,ALRET[TIPO BUS],Operación!D6))</f>
        <v>-</v>
      </c>
      <c r="D6" s="19" t="s">
        <v>38</v>
      </c>
      <c r="E6" s="24" t="str">
        <f>IF(COUNTIFS(ALSMG[MARCA CHASIS],Operación!B5,ALSMG[TIPO BUS],Operación!F6)=0,"-",COUNTIFS(ALSMG[MARCA CHASIS],Operación!B5,ALSMG[TIPO BUS],Operación!F6))</f>
        <v>-</v>
      </c>
      <c r="F6" s="19" t="s">
        <v>38</v>
      </c>
      <c r="G6" s="25">
        <f>IF(COUNTIFS(ALCON[MARCA CHASIS],Operación!B5,ALCON[TIPO BUS],Operación!H6)=0,"-",COUNTIFS(ALCON[MARCA CHASIS],Operación!B5,ALCON[TIPO BUS],Operación!H6))</f>
        <v>24</v>
      </c>
      <c r="H6" s="19" t="s">
        <v>38</v>
      </c>
      <c r="I6" s="26" t="str">
        <f>IF(COUNTIFS(ALCC[MARCA CHASIS],Operación!B5,ALCC[TIPO BUS],Operación!J6)=0,"-",COUNTIFS(ALCC[MARCA CHASIS],Operación!B5,ALCC[TIPO BUS],Operación!J6))</f>
        <v>-</v>
      </c>
      <c r="J6" s="19" t="s">
        <v>38</v>
      </c>
      <c r="K6" s="24" t="str">
        <f>IF(COUNTIFS(OMJJA[MARCA CHASIS],Operación!B5,OMJJA[TIPO BUS],Operación!L6)=0,"-",COUNTIFS(OMJJA[MARCA CHASIS],Operación!B5,OMJJA[TIPO BUS],Operación!L6))</f>
        <v>-</v>
      </c>
      <c r="L6" s="19" t="s">
        <v>38</v>
      </c>
      <c r="M6" s="24"/>
      <c r="N6" s="19" t="s">
        <v>38</v>
      </c>
      <c r="O6" s="24"/>
      <c r="P6" s="19" t="s">
        <v>38</v>
      </c>
      <c r="Q6" s="25">
        <v>25</v>
      </c>
      <c r="R6" s="19" t="s">
        <v>38</v>
      </c>
      <c r="S6">
        <f t="shared" ref="S6:S11" si="0">SUM(C6,E6,G6,I6,K6,M6,O6,Q6)</f>
        <v>49</v>
      </c>
    </row>
    <row r="7" spans="2:19">
      <c r="B7" s="422" t="s">
        <v>867</v>
      </c>
      <c r="C7" s="22">
        <f>IF(COUNTIFS(ALRET[MARCA CHASIS],Operación!B7,ALRET[TIPO BUS],Operación!D7)=0,"-",COUNTIFS(ALRET[MARCA CHASIS],Operación!B7,ALRET[TIPO BUS],Operación!D7))</f>
        <v>11</v>
      </c>
      <c r="D7" s="12" t="s">
        <v>12</v>
      </c>
      <c r="E7" s="22" t="str">
        <f>IF(COUNTIFS(ALSMG[MARCA CHASIS],Operación!B7,ALSMG[TIPO BUS],Operación!F7)=0,"-",COUNTIFS(ALSMG[MARCA CHASIS],Operación!B7,ALSMG[TIPO BUS],Operación!F7))</f>
        <v>-</v>
      </c>
      <c r="F7" s="12" t="s">
        <v>12</v>
      </c>
      <c r="G7" s="23">
        <f>IF(COUNTIFS(ALCON[MARCA CHASIS],Operación!B7,ALCON[TIPO BUS],Operación!H7)=0,"-",COUNTIFS(ALCON[MARCA CHASIS],Operación!B7,ALCON[TIPO BUS],Operación!H7))</f>
        <v>10</v>
      </c>
      <c r="H7" s="12" t="s">
        <v>12</v>
      </c>
      <c r="I7" s="22" t="str">
        <f>IF(COUNTIFS(ALCC[MARCA CHASIS],Operación!B7,ALCC[TIPO BUS],Operación!J7)=0,"-",COUNTIFS(ALCC[MARCA CHASIS],Operación!B7,ALCC[TIPO BUS],Operación!J7))</f>
        <v>-</v>
      </c>
      <c r="J7" s="12" t="s">
        <v>12</v>
      </c>
      <c r="K7" s="22">
        <f>IF(COUNTIFS(OMJJA[MARCA CHASIS],Operación!B7,OMJJA[TIPO BUS],Operación!L7)=0,"-",COUNTIFS(OMJJA[MARCA CHASIS],Operación!B7,OMJJA[TIPO BUS],Operación!L7))</f>
        <v>6</v>
      </c>
      <c r="L7" s="12" t="s">
        <v>12</v>
      </c>
      <c r="M7" s="22">
        <v>17</v>
      </c>
      <c r="N7" s="12" t="s">
        <v>12</v>
      </c>
      <c r="O7" s="22"/>
      <c r="P7" s="12" t="s">
        <v>12</v>
      </c>
      <c r="Q7" s="23">
        <v>16</v>
      </c>
      <c r="R7" s="12" t="s">
        <v>12</v>
      </c>
      <c r="S7">
        <f t="shared" si="0"/>
        <v>60</v>
      </c>
    </row>
    <row r="8" spans="2:19">
      <c r="B8" s="424"/>
      <c r="C8" s="26" t="str">
        <f>IF(COUNTIFS(ALRET[MARCA CHASIS],Operación!B7,ALRET[TIPO BUS],Operación!D8)=0,"-",COUNTIFS(ALRET[MARCA CHASIS],Operación!B7,ALRET[TIPO BUS],Operación!D8))</f>
        <v>-</v>
      </c>
      <c r="D8" s="18" t="s">
        <v>34</v>
      </c>
      <c r="E8" s="26" t="str">
        <f>IF(COUNTIFS(ALSMG[MARCA CHASIS],Operación!B7,ALSMG[TIPO BUS],Operación!F8)=0,"-",COUNTIFS(ALSMG[MARCA CHASIS],Operación!B7,ALSMG[TIPO BUS],Operación!F8))</f>
        <v>-</v>
      </c>
      <c r="F8" s="18" t="s">
        <v>34</v>
      </c>
      <c r="G8" s="27" t="str">
        <f>IF(COUNTIFS(ALCON[MARCA CHASIS],Operación!B7,ALCON[TIPO BUS],Operación!H8)=0,"-",COUNTIFS(ALCON[MARCA CHASIS],Operación!B7,ALCON[TIPO BUS],Operación!H8))</f>
        <v>-</v>
      </c>
      <c r="H8" s="18" t="s">
        <v>34</v>
      </c>
      <c r="I8" s="26" t="str">
        <f>IF(COUNTIFS(ALCC[MARCA CHASIS],Operación!B8,ALCC[TIPO BUS],Operación!J8)=0,"-",COUNTIFS(ALCC[MARCA CHASIS],Operación!B8,ALCC[TIPO BUS],Operación!J8))</f>
        <v>-</v>
      </c>
      <c r="J8" s="18" t="s">
        <v>34</v>
      </c>
      <c r="K8" s="26">
        <f>IF(COUNTIFS(OMJJA[MARCA CHASIS],Operación!B7,OMJJA[TIPO BUS],Operación!L8)=0,"-",COUNTIFS(OMJJA[MARCA CHASIS],Operación!B7,OMJJA[TIPO BUS],Operación!L8))</f>
        <v>33</v>
      </c>
      <c r="L8" s="18" t="s">
        <v>34</v>
      </c>
      <c r="M8" s="26"/>
      <c r="N8" s="18" t="s">
        <v>34</v>
      </c>
      <c r="O8" s="26"/>
      <c r="P8" s="18" t="s">
        <v>34</v>
      </c>
      <c r="Q8" s="27"/>
      <c r="R8" s="18" t="s">
        <v>34</v>
      </c>
    </row>
    <row r="9" spans="2:19">
      <c r="B9" s="423"/>
      <c r="C9" s="24">
        <f>IF(COUNTIFS(ALRET[MARCA CHASIS],Operación!B7,ALRET[TIPO BUS],Operación!D9)=0,"-",COUNTIFS(ALRET[MARCA CHASIS],Operación!B7,ALRET[TIPO BUS],Operación!D9))</f>
        <v>19</v>
      </c>
      <c r="D9" s="19" t="s">
        <v>38</v>
      </c>
      <c r="E9" s="24">
        <f>IF(COUNTIFS(ALSMG[MARCA CHASIS],Operación!B7,ALSMG[TIPO BUS],Operación!F9)=0,"-",COUNTIFS(ALSMG[MARCA CHASIS],Operación!B7,ALSMG[TIPO BUS],Operación!F9))</f>
        <v>19</v>
      </c>
      <c r="F9" s="19" t="s">
        <v>38</v>
      </c>
      <c r="G9" s="25">
        <f>IF(COUNTIFS(ALCON[MARCA CHASIS],Operación!B7,ALCON[TIPO BUS],Operación!H9)=0,"-",COUNTIFS(ALCON[MARCA CHASIS],Operación!B7,ALCON[TIPO BUS],Operación!H9))</f>
        <v>7</v>
      </c>
      <c r="H9" s="19" t="s">
        <v>38</v>
      </c>
      <c r="I9" s="24" t="str">
        <f>IF(COUNTIFS(ALCC[MARCA CHASIS],Operación!B7,ALCC[TIPO BUS],Operación!J9)=0,"-",COUNTIFS(ALCC[MARCA CHASIS],Operación!B7,ALCC[TIPO BUS],Operación!J9))</f>
        <v>-</v>
      </c>
      <c r="J9" s="19" t="s">
        <v>38</v>
      </c>
      <c r="K9" s="24" t="str">
        <f>IF(COUNTIFS(OMJJA[MARCA CHASIS],Operación!B7,OMJJA[TIPO BUS],Operación!L9)=0,"-",COUNTIFS(OMJJA[MARCA CHASIS],Operación!B7,OMJJA[TIPO BUS],Operación!L9))</f>
        <v>-</v>
      </c>
      <c r="L9" s="19" t="s">
        <v>38</v>
      </c>
      <c r="M9" s="24">
        <v>10</v>
      </c>
      <c r="N9" s="19" t="s">
        <v>38</v>
      </c>
      <c r="O9" s="24"/>
      <c r="P9" s="19" t="s">
        <v>38</v>
      </c>
      <c r="Q9" s="25"/>
      <c r="R9" s="19" t="s">
        <v>38</v>
      </c>
      <c r="S9">
        <f t="shared" si="0"/>
        <v>55</v>
      </c>
    </row>
    <row r="10" spans="2:19">
      <c r="B10" s="21" t="s">
        <v>870</v>
      </c>
      <c r="C10" s="29" t="str">
        <f>IF(COUNTIFS(ALRET[MARCA CHASIS],Operación!B10,ALRET[TIPO BUS],Operación!D10)=0,"-",COUNTIFS(ALRET[MARCA CHASIS],Operación!B10,ALRET[TIPO BUS],Operación!D10))</f>
        <v>-</v>
      </c>
      <c r="D10" s="7" t="s">
        <v>147</v>
      </c>
      <c r="E10" s="29" t="str">
        <f>IF(COUNTIFS(ALSMG[MARCA CHASIS],Operación!B10,ALSMG[TIPO BUS],Operación!F10)=0,"-",COUNTIFS(ALSMG[MARCA CHASIS],Operación!B10,ALSMG[TIPO BUS],Operación!F10))</f>
        <v>-</v>
      </c>
      <c r="F10" s="7" t="s">
        <v>147</v>
      </c>
      <c r="G10" s="30" t="str">
        <f>IF(COUNTIFS(ALCON[MARCA CHASIS],Operación!B10,ALCON[TIPO BUS],Operación!H10)=0,"-",COUNTIFS(ALCON[MARCA CHASIS],Operación!B10,ALCON[TIPO BUS],Operación!H10))</f>
        <v>-</v>
      </c>
      <c r="H10" s="7" t="s">
        <v>147</v>
      </c>
      <c r="I10" s="29" t="str">
        <f>IF(COUNTIFS(ALCC[MARCA CHASIS],Operación!B10,ALCC[TIPO BUS],Operación!J10)=0,"-",COUNTIFS(ALCC[MARCA CHASIS],Operación!B10,ALCC[TIPO BUS],Operación!J10))</f>
        <v>-</v>
      </c>
      <c r="J10" s="7" t="s">
        <v>147</v>
      </c>
      <c r="K10" s="29" t="str">
        <f>IF(COUNTIFS(OMJJA[MARCA CHASIS],Operación!B10,OMJJA[TIPO BUS],Operación!L10)=0,"-",COUNTIFS(OMJJA[MARCA CHASIS],Operación!B10,OMJJA[TIPO BUS],Operación!L10))</f>
        <v>-</v>
      </c>
      <c r="L10" s="7" t="s">
        <v>147</v>
      </c>
      <c r="M10" s="29"/>
      <c r="N10" s="7" t="s">
        <v>147</v>
      </c>
      <c r="O10" s="29">
        <v>25</v>
      </c>
      <c r="P10" s="7" t="s">
        <v>147</v>
      </c>
      <c r="Q10" s="30"/>
      <c r="R10" s="7" t="s">
        <v>147</v>
      </c>
      <c r="S10">
        <f t="shared" si="0"/>
        <v>25</v>
      </c>
    </row>
    <row r="11" spans="2:19">
      <c r="B11" s="21" t="s">
        <v>866</v>
      </c>
      <c r="C11" s="24" t="str">
        <f>IF(COUNTIFS(ALRET[MARCA CHASIS],Operación!B11,ALRET[TIPO BUS],Operación!D11)=0,"-",COUNTIFS(ALRET[MARCA CHASIS],Operación!B11,ALRET[TIPO BUS],Operación!D11))</f>
        <v>-</v>
      </c>
      <c r="D11" s="19" t="s">
        <v>147</v>
      </c>
      <c r="E11" s="24" t="str">
        <f>IF(COUNTIFS(ALSMG[MARCA CHASIS],Operación!B11,ALSMG[TIPO BUS],Operación!F11)=0,"-",COUNTIFS(ALSMG[MARCA CHASIS],Operación!B11,ALSMG[TIPO BUS],Operación!F11))</f>
        <v>-</v>
      </c>
      <c r="F11" s="19" t="s">
        <v>147</v>
      </c>
      <c r="G11" s="25">
        <f>IF(COUNTIFS(ALCON[MARCA CHASIS],Operación!B11,ALCON[TIPO BUS],Operación!H11)=0,"-",COUNTIFS(ALCON[MARCA CHASIS],Operación!B11,ALCON[TIPO BUS],Operación!H11))</f>
        <v>75</v>
      </c>
      <c r="H11" s="19" t="s">
        <v>147</v>
      </c>
      <c r="I11" s="24" t="str">
        <f>IF(COUNTIFS(ALCC[MARCA CHASIS],Operación!B11,ALCC[TIPO BUS],Operación!J11)=0,"-",COUNTIFS(ALCC[MARCA CHASIS],Operación!B11,ALCC[TIPO BUS],Operación!J11))</f>
        <v>-</v>
      </c>
      <c r="J11" s="19" t="s">
        <v>147</v>
      </c>
      <c r="K11" s="24" t="str">
        <f>IF(COUNTIFS(OMJJA[MARCA CHASIS],Operación!B11,OMJJA[TIPO BUS],Operación!L11)=0,"-",COUNTIFS(OMJJA[MARCA CHASIS],Operación!B11,OMJJA[TIPO BUS],Operación!L11))</f>
        <v>-</v>
      </c>
      <c r="L11" s="19" t="s">
        <v>147</v>
      </c>
      <c r="M11" s="24">
        <v>91</v>
      </c>
      <c r="N11" s="19" t="s">
        <v>147</v>
      </c>
      <c r="O11" s="24">
        <v>75</v>
      </c>
      <c r="P11" s="19" t="s">
        <v>147</v>
      </c>
      <c r="Q11" s="25">
        <v>75</v>
      </c>
      <c r="R11" s="19" t="s">
        <v>147</v>
      </c>
      <c r="S11">
        <f t="shared" si="0"/>
        <v>316</v>
      </c>
    </row>
    <row r="12" spans="2:19" ht="15" hidden="1" customHeight="1">
      <c r="B12" s="21" t="s">
        <v>1373</v>
      </c>
      <c r="C12" s="24">
        <f>COUNTIFS(ALRET[MARCA CHASIS],Operación!B12,ALRET[TIPO BUS],Operación!D12)</f>
        <v>0</v>
      </c>
      <c r="D12" s="19" t="s">
        <v>285</v>
      </c>
      <c r="E12" s="24"/>
      <c r="F12" s="19"/>
      <c r="G12" s="25"/>
      <c r="H12" s="25"/>
      <c r="I12" s="24"/>
      <c r="J12" s="25"/>
      <c r="K12" s="24" t="str">
        <f>IF(COUNTIFS(OMJJA[MARCA CHASIS],Operación!B12,OMJJA[TIPO BUS],Operación!L12)=0,"-",COUNTIFS(OMJJA[MARCA CHASIS],Operación!B12,OMJJA[TIPO BUS],Operación!L12))</f>
        <v>-</v>
      </c>
      <c r="L12" s="25" t="s">
        <v>285</v>
      </c>
      <c r="M12" s="24">
        <v>5</v>
      </c>
      <c r="N12" s="25" t="s">
        <v>285</v>
      </c>
      <c r="O12" s="24">
        <v>4</v>
      </c>
      <c r="P12" s="19" t="s">
        <v>285</v>
      </c>
      <c r="Q12" s="25"/>
      <c r="R12" s="19"/>
    </row>
    <row r="14" spans="2:19">
      <c r="B14" s="31" t="s">
        <v>1404</v>
      </c>
      <c r="C14" s="416">
        <f>SUM(C4:C11)</f>
        <v>58</v>
      </c>
      <c r="D14" s="417"/>
      <c r="E14" s="416">
        <f>SUM(E4:E11)</f>
        <v>28</v>
      </c>
      <c r="F14" s="417"/>
      <c r="G14" s="416">
        <f>SUM(G4:G11)</f>
        <v>128</v>
      </c>
      <c r="H14" s="417"/>
      <c r="I14" s="416">
        <f>SUM(I4:I11)</f>
        <v>0</v>
      </c>
      <c r="J14" s="417"/>
      <c r="K14" s="416">
        <f>SUM(K4:K11)</f>
        <v>39</v>
      </c>
      <c r="L14" s="417"/>
      <c r="M14" s="416">
        <f>SUM(M4:M11)</f>
        <v>146</v>
      </c>
      <c r="N14" s="417"/>
      <c r="O14" s="416">
        <f>SUM(O4:O11)</f>
        <v>136</v>
      </c>
      <c r="P14" s="417"/>
      <c r="Q14" s="416">
        <f>SUM(Q4:Q11)</f>
        <v>116</v>
      </c>
      <c r="R14" s="417"/>
      <c r="S14" s="32">
        <f>SUM(S4:S11)</f>
        <v>618</v>
      </c>
    </row>
    <row r="16" spans="2:19">
      <c r="B16" s="31" t="s">
        <v>871</v>
      </c>
      <c r="C16" s="15">
        <f>SUM(C14:R14)</f>
        <v>651</v>
      </c>
    </row>
    <row r="19" spans="2:19">
      <c r="J19" t="s">
        <v>1405</v>
      </c>
      <c r="K19" s="425">
        <v>82</v>
      </c>
      <c r="L19" s="425"/>
    </row>
    <row r="20" spans="2:19">
      <c r="J20" t="s">
        <v>1406</v>
      </c>
      <c r="K20" s="425">
        <v>73</v>
      </c>
      <c r="L20" s="425"/>
      <c r="M20" s="33"/>
    </row>
    <row r="21" spans="2:19">
      <c r="K21" s="34"/>
      <c r="L21" s="33"/>
      <c r="M21" s="33"/>
    </row>
    <row r="22" spans="2:19">
      <c r="L22" s="33"/>
      <c r="M22" s="33"/>
    </row>
    <row r="23" spans="2:19">
      <c r="B23" t="s">
        <v>1407</v>
      </c>
      <c r="L23" s="33"/>
      <c r="M23" s="33"/>
    </row>
    <row r="24" spans="2:19">
      <c r="L24" s="33"/>
      <c r="M24" s="33"/>
    </row>
    <row r="25" spans="2:19" ht="30">
      <c r="B25" s="20" t="s">
        <v>1402</v>
      </c>
      <c r="C25" s="420" t="s">
        <v>845</v>
      </c>
      <c r="D25" s="421"/>
      <c r="E25" s="420" t="s">
        <v>1366</v>
      </c>
      <c r="F25" s="421"/>
      <c r="G25" s="426" t="s">
        <v>851</v>
      </c>
      <c r="H25" s="427"/>
      <c r="I25" s="420" t="s">
        <v>1403</v>
      </c>
      <c r="J25" s="421"/>
      <c r="K25" s="418" t="s">
        <v>1367</v>
      </c>
      <c r="L25" s="419"/>
      <c r="M25" s="418" t="s">
        <v>849</v>
      </c>
      <c r="N25" s="419"/>
      <c r="O25" s="418" t="s">
        <v>853</v>
      </c>
      <c r="P25" s="419"/>
      <c r="Q25" s="420" t="s">
        <v>1369</v>
      </c>
      <c r="R25" s="421"/>
    </row>
    <row r="26" spans="2:19">
      <c r="B26" s="21" t="s">
        <v>869</v>
      </c>
      <c r="C26" s="22">
        <f>IF(COUNTIFS(ALRET[MARCA CHASIS],Operación!B26,ALRET[TIPO BUS],Operación!D26)=0,"-",COUNTIFS(ALRET[MARCA CHASIS],Operación!B26,ALRET[TIPO BUS],Operación!D26))</f>
        <v>28</v>
      </c>
      <c r="D26" s="12" t="s">
        <v>34</v>
      </c>
      <c r="E26" s="22">
        <f>IF(COUNTIFS(ALSMG[MARCA CHASIS],Operación!B26,ALSMG[TIPO BUS],Operación!F26)=0,"-",COUNTIFS(ALSMG[MARCA CHASIS],Operación!B26,ALSMG[TIPO BUS],Operación!F26))</f>
        <v>9</v>
      </c>
      <c r="F26" s="12" t="s">
        <v>34</v>
      </c>
      <c r="G26" s="23" t="str">
        <f>IF(COUNTIFS(ALCON[MARCA CHASIS],Operación!B26,ALCON[TIPO BUS],Operación!H26)=0,"-",COUNTIFS(ALCON[MARCA CHASIS],Operación!B26,ALCON[TIPO BUS],Operación!H26))</f>
        <v>-</v>
      </c>
      <c r="H26" s="12" t="s">
        <v>34</v>
      </c>
      <c r="I26" s="22" t="str">
        <f>IF(COUNTIFS(ALCC[MARCA CHASIS],Operación!B26,ALCC[TIPO BUS],Operación!J26)=0,"-",COUNTIFS(ALCC[MARCA CHASIS],Operación!B26,ALCC[TIPO BUS],Operación!J26))</f>
        <v>-</v>
      </c>
      <c r="J26" s="12" t="s">
        <v>34</v>
      </c>
      <c r="K26" s="22" t="str">
        <f>IF(COUNTIFS(OMJJA[MARCA CHASIS],Operación!B26,OMJJA[TIPO BUS],Operación!L26)=0,"-",COUNTIFS(OMJJA[MARCA CHASIS],Operación!B26,OMJJA[TIPO BUS],Operación!L26))</f>
        <v>-</v>
      </c>
      <c r="L26" s="12" t="s">
        <v>34</v>
      </c>
      <c r="M26" s="22"/>
      <c r="N26" s="12" t="s">
        <v>34</v>
      </c>
      <c r="O26" s="22"/>
      <c r="P26" s="12" t="s">
        <v>34</v>
      </c>
      <c r="Q26" s="23"/>
      <c r="R26" s="12" t="s">
        <v>34</v>
      </c>
      <c r="S26">
        <f>SUM(C26,E26,G26,I26,K26,M26,O26,Q26)</f>
        <v>37</v>
      </c>
    </row>
    <row r="27" spans="2:19">
      <c r="B27" s="422" t="s">
        <v>868</v>
      </c>
      <c r="C27" s="22" t="str">
        <f>IF(COUNTIFS(ALRET[MARCA CHASIS],Operación!B27,ALRET[TIPO BUS],Operación!D27)=0,"-",COUNTIFS(ALRET[MARCA CHASIS],Operación!B27,ALRET[TIPO BUS],Operación!D27))</f>
        <v>-</v>
      </c>
      <c r="D27" s="12" t="s">
        <v>34</v>
      </c>
      <c r="E27" s="22" t="str">
        <f>IF(COUNTIFS(ALSMG[MARCA CHASIS],Operación!B27,ALSMG[TIPO BUS],Operación!F27)=0,"-",COUNTIFS(ALSMG[MARCA CHASIS],Operación!B27,ALSMG[TIPO BUS],Operación!F27))</f>
        <v>-</v>
      </c>
      <c r="F27" s="12" t="s">
        <v>34</v>
      </c>
      <c r="G27" s="23">
        <f>IF(COUNTIFS(ALCON[MARCA CHASIS],Operación!B27,ALCON[TIPO BUS],Operación!H27)=0,"-",COUNTIFS(ALCON[MARCA CHASIS],Operación!B27,ALCON[TIPO BUS],Operación!H27))</f>
        <v>12</v>
      </c>
      <c r="H27" s="12" t="s">
        <v>34</v>
      </c>
      <c r="I27" s="22" t="str">
        <f>IF(COUNTIFS(ALCC[MARCA CHASIS],Operación!B27,ALCC[TIPO BUS],Operación!J27)=0,"-",COUNTIFS(ALCC[MARCA CHASIS],Operación!B27,ALCC[TIPO BUS],Operación!J27))</f>
        <v>-</v>
      </c>
      <c r="J27" s="12" t="s">
        <v>34</v>
      </c>
      <c r="K27" s="22" t="str">
        <f>IF(COUNTIFS(OMJJA[MARCA CHASIS],Operación!B27,OMJJA[TIPO BUS],Operación!L27)=0,"-",COUNTIFS(OMJJA[MARCA CHASIS],Operación!B27,OMJJA[TIPO BUS],Operación!L27))</f>
        <v>-</v>
      </c>
      <c r="L27" s="12" t="s">
        <v>34</v>
      </c>
      <c r="M27" s="22">
        <v>28</v>
      </c>
      <c r="N27" s="12" t="s">
        <v>34</v>
      </c>
      <c r="O27" s="22">
        <v>36</v>
      </c>
      <c r="P27" s="12" t="s">
        <v>34</v>
      </c>
      <c r="Q27" s="23"/>
      <c r="R27" s="12" t="s">
        <v>34</v>
      </c>
      <c r="S27">
        <f t="shared" ref="S27:S29" si="1">SUM(C27,E27,G27,I27,K27,M27,O27,Q27)</f>
        <v>76</v>
      </c>
    </row>
    <row r="28" spans="2:19">
      <c r="B28" s="423"/>
      <c r="C28" s="24" t="str">
        <f>IF(COUNTIFS(ALRET[MARCA CHASIS],Operación!B27,ALRET[TIPO BUS],Operación!D28)=0,"-",COUNTIFS(ALRET[MARCA CHASIS],Operación!B27,ALRET[TIPO BUS],Operación!D28))</f>
        <v>-</v>
      </c>
      <c r="D28" s="19" t="s">
        <v>38</v>
      </c>
      <c r="E28" s="24" t="str">
        <f>IF(COUNTIFS(ALSMG[MARCA CHASIS],Operación!B27,ALSMG[TIPO BUS],Operación!F28)=0,"-",COUNTIFS(ALSMG[MARCA CHASIS],Operación!B27,ALSMG[TIPO BUS],Operación!F28))</f>
        <v>-</v>
      </c>
      <c r="F28" s="19" t="s">
        <v>38</v>
      </c>
      <c r="G28" s="25">
        <f>IF(COUNTIFS(ALCON[MARCA CHASIS],Operación!B27,ALCON[TIPO BUS],Operación!H28)=0,"-",COUNTIFS(ALCON[MARCA CHASIS],Operación!B27,ALCON[TIPO BUS],Operación!H28))</f>
        <v>24</v>
      </c>
      <c r="H28" s="19" t="s">
        <v>38</v>
      </c>
      <c r="I28" s="26" t="str">
        <f>IF(COUNTIFS(ALCC[MARCA CHASIS],Operación!B27,ALCC[TIPO BUS],Operación!J28)=0,"-",COUNTIFS(ALCC[MARCA CHASIS],Operación!B27,ALCC[TIPO BUS],Operación!J28))</f>
        <v>-</v>
      </c>
      <c r="J28" s="19" t="s">
        <v>38</v>
      </c>
      <c r="K28" s="28" t="str">
        <f>IF(COUNTIFS(OMJJA[MARCA CHASIS],Operación!B27,OMJJA[TIPO BUS],Operación!L28)=0,"-",COUNTIFS(OMJJA[MARCA CHASIS],Operación!B27,OMJJA[TIPO BUS],Operación!L28))</f>
        <v>-</v>
      </c>
      <c r="L28" s="19" t="s">
        <v>38</v>
      </c>
      <c r="M28" s="24"/>
      <c r="N28" s="19" t="s">
        <v>38</v>
      </c>
      <c r="O28" s="24"/>
      <c r="P28" s="19" t="s">
        <v>38</v>
      </c>
      <c r="Q28" s="25">
        <v>25</v>
      </c>
      <c r="R28" s="19" t="s">
        <v>38</v>
      </c>
      <c r="S28">
        <f t="shared" si="1"/>
        <v>49</v>
      </c>
    </row>
    <row r="29" spans="2:19">
      <c r="B29" s="422" t="s">
        <v>867</v>
      </c>
      <c r="C29" s="22">
        <f>IF(COUNTIFS(ALRET[MARCA CHASIS],Operación!B29,ALRET[TIPO BUS],Operación!D29)=0,"-",COUNTIFS(ALRET[MARCA CHASIS],Operación!B29,ALRET[TIPO BUS],Operación!D29))</f>
        <v>11</v>
      </c>
      <c r="D29" s="12" t="s">
        <v>12</v>
      </c>
      <c r="E29" s="22" t="str">
        <f>IF(COUNTIFS(ALSMG[MARCA CHASIS],Operación!B29,ALSMG[TIPO BUS],Operación!F29)=0,"-",COUNTIFS(ALSMG[MARCA CHASIS],Operación!B29,ALSMG[TIPO BUS],Operación!F29))</f>
        <v>-</v>
      </c>
      <c r="F29" s="12" t="s">
        <v>12</v>
      </c>
      <c r="G29" s="23">
        <f>IF(COUNTIFS(ALCON[MARCA CHASIS],Operación!B29,ALCON[TIPO BUS],Operación!H29)=0,"-",COUNTIFS(ALCON[MARCA CHASIS],Operación!B29,ALCON[TIPO BUS],Operación!H29))</f>
        <v>10</v>
      </c>
      <c r="H29" s="12" t="s">
        <v>12</v>
      </c>
      <c r="I29" s="22" t="str">
        <f>IF(COUNTIFS(ALCC[MARCA CHASIS],Operación!B29,ALCC[TIPO BUS],Operación!J29)=0,"-",COUNTIFS(ALCC[MARCA CHASIS],Operación!B29,ALCC[TIPO BUS],Operación!J29))</f>
        <v>-</v>
      </c>
      <c r="J29" s="12" t="s">
        <v>12</v>
      </c>
      <c r="K29" s="22">
        <f>IF(COUNTIFS(OMJJA[MARCA CHASIS],Operación!B29,OMJJA[TIPO BUS],Operación!L29)=0,"-",COUNTIFS(OMJJA[MARCA CHASIS],Operación!B29,OMJJA[TIPO BUS],Operación!L29))</f>
        <v>6</v>
      </c>
      <c r="L29" s="12" t="s">
        <v>12</v>
      </c>
      <c r="M29" s="22">
        <v>17</v>
      </c>
      <c r="N29" s="12" t="s">
        <v>12</v>
      </c>
      <c r="O29" s="22"/>
      <c r="P29" s="12" t="s">
        <v>12</v>
      </c>
      <c r="Q29" s="23">
        <v>16</v>
      </c>
      <c r="R29" s="12" t="s">
        <v>12</v>
      </c>
      <c r="S29">
        <f t="shared" si="1"/>
        <v>60</v>
      </c>
    </row>
    <row r="30" spans="2:19">
      <c r="B30" s="424"/>
      <c r="C30" s="26" t="str">
        <f>IF(COUNTIFS(ALRET[MARCA CHASIS],Operación!B29,ALRET[TIPO BUS],Operación!D30)=0,"-",COUNTIFS(ALRET[MARCA CHASIS],Operación!B29,ALRET[TIPO BUS],Operación!D30))</f>
        <v>-</v>
      </c>
      <c r="D30" s="18" t="s">
        <v>34</v>
      </c>
      <c r="E30" s="26" t="str">
        <f>IF(COUNTIFS(ALSMG[MARCA CHASIS],Operación!B29,ALSMG[TIPO BUS],Operación!F30)=0,"-",COUNTIFS(ALSMG[MARCA CHASIS],Operación!B29,ALSMG[TIPO BUS],Operación!F30))</f>
        <v>-</v>
      </c>
      <c r="F30" s="18" t="s">
        <v>34</v>
      </c>
      <c r="G30" s="27" t="str">
        <f>IF(COUNTIFS(ALCON[MARCA CHASIS],Operación!B29,ALCON[TIPO BUS],Operación!H30)=0,"-",COUNTIFS(ALCON[MARCA CHASIS],Operación!B29,ALCON[TIPO BUS],Operación!H30))</f>
        <v>-</v>
      </c>
      <c r="H30" s="18" t="s">
        <v>34</v>
      </c>
      <c r="I30" s="26" t="str">
        <f>IF(COUNTIFS(ALCC[MARCA CHASIS],Operación!B30,ALCC[TIPO BUS],Operación!J30)=0,"-",COUNTIFS(ALCC[MARCA CHASIS],Operación!B30,ALCC[TIPO BUS],Operación!J30))</f>
        <v>-</v>
      </c>
      <c r="J30" s="18" t="s">
        <v>34</v>
      </c>
      <c r="K30" s="26">
        <f>IF(COUNTIFS(OMJJA[MARCA CHASIS],Operación!B29,OMJJA[TIPO BUS],Operación!L30)=0,"-",COUNTIFS(OMJJA[MARCA CHASIS],Operación!B29,OMJJA[TIPO BUS],Operación!L30))</f>
        <v>33</v>
      </c>
      <c r="L30" s="18" t="s">
        <v>34</v>
      </c>
      <c r="M30" s="26"/>
      <c r="N30" s="18" t="s">
        <v>34</v>
      </c>
      <c r="O30" s="26"/>
      <c r="P30" s="18" t="s">
        <v>34</v>
      </c>
      <c r="Q30" s="27"/>
      <c r="R30" s="18" t="s">
        <v>34</v>
      </c>
    </row>
    <row r="31" spans="2:19">
      <c r="B31" s="423"/>
      <c r="C31" s="24">
        <f>IF(COUNTIFS(ALRET[MARCA CHASIS],Operación!B29,ALRET[TIPO BUS],Operación!D31)=0,"-",COUNTIFS(ALRET[MARCA CHASIS],Operación!B29,ALRET[TIPO BUS],Operación!D31))</f>
        <v>19</v>
      </c>
      <c r="D31" s="19" t="s">
        <v>38</v>
      </c>
      <c r="E31" s="24">
        <f>IF(COUNTIFS(ALSMG[MARCA CHASIS],Operación!B29,ALSMG[TIPO BUS],Operación!F31)=0,"-",COUNTIFS(ALSMG[MARCA CHASIS],Operación!B29,ALSMG[TIPO BUS],Operación!F31))</f>
        <v>19</v>
      </c>
      <c r="F31" s="19" t="s">
        <v>38</v>
      </c>
      <c r="G31" s="25">
        <f>IF(COUNTIFS(ALCON[MARCA CHASIS],Operación!B29,ALCON[TIPO BUS],Operación!H31)=0,"-",COUNTIFS(ALCON[MARCA CHASIS],Operación!B29,ALCON[TIPO BUS],Operación!H31))</f>
        <v>7</v>
      </c>
      <c r="H31" s="19" t="s">
        <v>38</v>
      </c>
      <c r="I31" s="24" t="str">
        <f>IF(COUNTIFS(ALCC[MARCA CHASIS],Operación!B29,ALCC[TIPO BUS],Operación!J31)=0,"-",COUNTIFS(ALCC[MARCA CHASIS],Operación!B29,ALCC[TIPO BUS],Operación!J31))</f>
        <v>-</v>
      </c>
      <c r="J31" s="19" t="s">
        <v>38</v>
      </c>
      <c r="K31" s="24" t="str">
        <f>IF(COUNTIFS(OMJJA[MARCA CHASIS],Operación!B29,OMJJA[TIPO BUS],Operación!L31)=0,"-",COUNTIFS(OMJJA[MARCA CHASIS],Operación!B29,OMJJA[TIPO BUS],Operación!L31))</f>
        <v>-</v>
      </c>
      <c r="L31" s="19" t="s">
        <v>38</v>
      </c>
      <c r="M31" s="24">
        <v>10</v>
      </c>
      <c r="N31" s="19" t="s">
        <v>38</v>
      </c>
      <c r="O31" s="24"/>
      <c r="P31" s="19" t="s">
        <v>38</v>
      </c>
      <c r="Q31" s="25"/>
      <c r="R31" s="19" t="s">
        <v>38</v>
      </c>
      <c r="S31">
        <f t="shared" ref="S31:S33" si="2">SUM(C31,E31,G31,I31,K31,M31,O31,Q31)</f>
        <v>55</v>
      </c>
    </row>
    <row r="32" spans="2:19">
      <c r="B32" s="21" t="s">
        <v>870</v>
      </c>
      <c r="C32" s="29" t="str">
        <f>IF(COUNTIFS(ALRET[MARCA CHASIS],Operación!B32,ALRET[TIPO BUS],Operación!D32)=0,"-",COUNTIFS(ALRET[MARCA CHASIS],Operación!B32,ALRET[TIPO BUS],Operación!D32))</f>
        <v>-</v>
      </c>
      <c r="D32" s="7" t="s">
        <v>147</v>
      </c>
      <c r="E32" s="29" t="str">
        <f>IF(COUNTIFS(ALSMG[MARCA CHASIS],Operación!B32,ALSMG[TIPO BUS],Operación!F32)=0,"-",COUNTIFS(ALSMG[MARCA CHASIS],Operación!B32,ALSMG[TIPO BUS],Operación!F32))</f>
        <v>-</v>
      </c>
      <c r="F32" s="7" t="s">
        <v>147</v>
      </c>
      <c r="G32" s="30" t="str">
        <f>IF(COUNTIFS(ALCON[MARCA CHASIS],Operación!B32,ALCON[TIPO BUS],Operación!H32)=0,"-",COUNTIFS(ALCON[MARCA CHASIS],Operación!B32,ALCON[TIPO BUS],Operación!H32))</f>
        <v>-</v>
      </c>
      <c r="H32" s="7" t="s">
        <v>147</v>
      </c>
      <c r="I32" s="29" t="str">
        <f>IF(COUNTIFS(ALCC[MARCA CHASIS],Operación!B32,ALCC[TIPO BUS],Operación!J32)=0,"-",COUNTIFS(ALCC[MARCA CHASIS],Operación!B32,ALCC[TIPO BUS],Operación!J32))</f>
        <v>-</v>
      </c>
      <c r="J32" s="7" t="s">
        <v>147</v>
      </c>
      <c r="K32" s="29" t="str">
        <f>IF(COUNTIFS(OMJJA[MARCA CHASIS],Operación!B32,OMJJA[TIPO BUS],Operación!L32)=0,"-",COUNTIFS(OMJJA[MARCA CHASIS],Operación!B32,OMJJA[TIPO BUS],Operación!L32))</f>
        <v>-</v>
      </c>
      <c r="L32" s="7" t="s">
        <v>147</v>
      </c>
      <c r="M32" s="29"/>
      <c r="N32" s="7" t="s">
        <v>147</v>
      </c>
      <c r="O32" s="29">
        <v>25</v>
      </c>
      <c r="P32" s="7" t="s">
        <v>147</v>
      </c>
      <c r="Q32" s="30"/>
      <c r="R32" s="7" t="s">
        <v>147</v>
      </c>
      <c r="S32">
        <f t="shared" si="2"/>
        <v>25</v>
      </c>
    </row>
    <row r="33" spans="2:19">
      <c r="B33" s="21" t="s">
        <v>866</v>
      </c>
      <c r="C33" s="24" t="str">
        <f>IF(COUNTIFS(ALRET[MARCA CHASIS],Operación!B33,ALRET[TIPO BUS],Operación!D33)=0,"-",COUNTIFS(ALRET[MARCA CHASIS],Operación!B33,ALRET[TIPO BUS],Operación!D33))</f>
        <v>-</v>
      </c>
      <c r="D33" s="19" t="s">
        <v>147</v>
      </c>
      <c r="E33" s="24" t="str">
        <f>IF(COUNTIFS(ALSMG[MARCA CHASIS],Operación!B33,ALSMG[TIPO BUS],Operación!F33)=0,"-",COUNTIFS(ALSMG[MARCA CHASIS],Operación!B33,ALSMG[TIPO BUS],Operación!F33))</f>
        <v>-</v>
      </c>
      <c r="F33" s="19" t="s">
        <v>147</v>
      </c>
      <c r="G33" s="25">
        <f>IF(COUNTIFS(ALCON[MARCA CHASIS],Operación!B33,ALCON[TIPO BUS],Operación!H33)=0,"-",COUNTIFS(ALCON[MARCA CHASIS],Operación!B33,ALCON[TIPO BUS],Operación!H33))</f>
        <v>75</v>
      </c>
      <c r="H33" s="19" t="s">
        <v>147</v>
      </c>
      <c r="I33" s="24" t="str">
        <f>IF(COUNTIFS(ALCC[MARCA CHASIS],Operación!B33,ALCC[TIPO BUS],Operación!J33)=0,"-",COUNTIFS(ALCC[MARCA CHASIS],Operación!B33,ALCC[TIPO BUS],Operación!J33))</f>
        <v>-</v>
      </c>
      <c r="J33" s="19" t="s">
        <v>147</v>
      </c>
      <c r="K33" s="24" t="str">
        <f>IF(COUNTIFS(OMJJA[MARCA CHASIS],Operación!B33,OMJJA[TIPO BUS],Operación!L33)=0,"-",COUNTIFS(OMJJA[MARCA CHASIS],Operación!B33,OMJJA[TIPO BUS],Operación!L33))</f>
        <v>-</v>
      </c>
      <c r="L33" s="19" t="s">
        <v>147</v>
      </c>
      <c r="M33" s="24">
        <v>91</v>
      </c>
      <c r="N33" s="19" t="s">
        <v>147</v>
      </c>
      <c r="O33" s="24">
        <v>75</v>
      </c>
      <c r="P33" s="19" t="s">
        <v>147</v>
      </c>
      <c r="Q33" s="25">
        <v>75</v>
      </c>
      <c r="R33" s="19" t="s">
        <v>147</v>
      </c>
      <c r="S33">
        <f t="shared" si="2"/>
        <v>316</v>
      </c>
    </row>
    <row r="34" spans="2:19">
      <c r="B34" s="21" t="s">
        <v>1373</v>
      </c>
      <c r="C34" s="24">
        <f>COUNTIFS(ALRET[MARCA CHASIS],Operación!B34,ALRET[TIPO BUS],Operación!D34)</f>
        <v>0</v>
      </c>
      <c r="D34" s="19" t="s">
        <v>285</v>
      </c>
      <c r="E34" s="24"/>
      <c r="F34" s="19"/>
      <c r="G34" s="25"/>
      <c r="H34" s="25"/>
      <c r="I34" s="24"/>
      <c r="J34" s="25"/>
      <c r="K34" s="24" t="str">
        <f>IF(COUNTIFS(OMJJA[MARCA CHASIS],Operación!B34,OMJJA[TIPO BUS],Operación!L34)=0,"-",COUNTIFS(OMJJA[MARCA CHASIS],Operación!B34,OMJJA[TIPO BUS],Operación!L34))</f>
        <v>-</v>
      </c>
      <c r="L34" s="25" t="s">
        <v>285</v>
      </c>
      <c r="M34" s="24">
        <v>5</v>
      </c>
      <c r="N34" s="25" t="s">
        <v>285</v>
      </c>
      <c r="O34" s="24">
        <v>4</v>
      </c>
      <c r="P34" s="19" t="s">
        <v>285</v>
      </c>
      <c r="Q34" s="25"/>
      <c r="R34" s="19"/>
    </row>
    <row r="36" spans="2:19">
      <c r="B36" s="31" t="s">
        <v>1404</v>
      </c>
      <c r="C36" s="416">
        <f>SUM(C26:C33)</f>
        <v>58</v>
      </c>
      <c r="D36" s="417"/>
      <c r="E36" s="416">
        <f>SUM(E26:E33)</f>
        <v>28</v>
      </c>
      <c r="F36" s="417"/>
      <c r="G36" s="416">
        <f>SUM(G26:G33)</f>
        <v>128</v>
      </c>
      <c r="H36" s="417"/>
      <c r="I36" s="416">
        <f>SUM(I26:I33)</f>
        <v>0</v>
      </c>
      <c r="J36" s="417"/>
      <c r="K36" s="416">
        <f>SUM(K29:K33)</f>
        <v>39</v>
      </c>
      <c r="L36" s="417"/>
      <c r="M36" s="416">
        <f>SUM(M26:M33)</f>
        <v>146</v>
      </c>
      <c r="N36" s="417"/>
      <c r="O36" s="416">
        <f>SUM(O26:O33)</f>
        <v>136</v>
      </c>
      <c r="P36" s="417"/>
      <c r="Q36" s="416">
        <f>SUM(Q26:Q33)</f>
        <v>116</v>
      </c>
      <c r="R36" s="417"/>
      <c r="S36" s="32">
        <f>SUM(S26:S33)</f>
        <v>618</v>
      </c>
    </row>
    <row r="38" spans="2:19">
      <c r="B38" s="31" t="s">
        <v>871</v>
      </c>
      <c r="C38" s="15">
        <f>SUM(C36:R36)</f>
        <v>651</v>
      </c>
    </row>
  </sheetData>
  <mergeCells count="38">
    <mergeCell ref="O3:P3"/>
    <mergeCell ref="Q3:R3"/>
    <mergeCell ref="B5:B6"/>
    <mergeCell ref="B7:B9"/>
    <mergeCell ref="C14:D14"/>
    <mergeCell ref="E14:F14"/>
    <mergeCell ref="G14:H14"/>
    <mergeCell ref="I14:J14"/>
    <mergeCell ref="K14:L14"/>
    <mergeCell ref="M14:N14"/>
    <mergeCell ref="C3:D3"/>
    <mergeCell ref="E3:F3"/>
    <mergeCell ref="G3:H3"/>
    <mergeCell ref="I3:J3"/>
    <mergeCell ref="K3:L3"/>
    <mergeCell ref="M3:N3"/>
    <mergeCell ref="O14:P14"/>
    <mergeCell ref="Q14:R14"/>
    <mergeCell ref="K19:L19"/>
    <mergeCell ref="K20:L20"/>
    <mergeCell ref="C25:D25"/>
    <mergeCell ref="E25:F25"/>
    <mergeCell ref="G25:H25"/>
    <mergeCell ref="I25:J25"/>
    <mergeCell ref="K25:L25"/>
    <mergeCell ref="M25:N25"/>
    <mergeCell ref="O36:P36"/>
    <mergeCell ref="Q36:R36"/>
    <mergeCell ref="O25:P25"/>
    <mergeCell ref="Q25:R25"/>
    <mergeCell ref="B27:B28"/>
    <mergeCell ref="B29:B31"/>
    <mergeCell ref="C36:D36"/>
    <mergeCell ref="E36:F36"/>
    <mergeCell ref="G36:H36"/>
    <mergeCell ref="I36:J36"/>
    <mergeCell ref="K36:L36"/>
    <mergeCell ref="M36:N36"/>
  </mergeCells>
  <pageMargins left="0.7" right="0.7" top="0.75" bottom="0.75" header="0.3" footer="0.3"/>
  <pageSetup orientation="portrait" horizontalDpi="300" verticalDpi="300" r:id="rId1"/>
  <ignoredErrors>
    <ignoredError sqref="M14:P14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47A5680AD32E40B85416387CD348AC" ma:contentTypeVersion="19" ma:contentTypeDescription="Create a new document." ma:contentTypeScope="" ma:versionID="19b6ae6f93197ad7b7c941fd190eca73">
  <xsd:schema xmlns:xsd="http://www.w3.org/2001/XMLSchema" xmlns:xs="http://www.w3.org/2001/XMLSchema" xmlns:p="http://schemas.microsoft.com/office/2006/metadata/properties" xmlns:ns2="e13b9520-670d-482f-8816-2d26b29eb0ad" xmlns:ns3="57014138-723a-4552-b1be-d16d25732a53" targetNamespace="http://schemas.microsoft.com/office/2006/metadata/properties" ma:root="true" ma:fieldsID="a430fc151c393eadad5d9822b3f0bb33" ns2:_="" ns3:_="">
    <xsd:import namespace="e13b9520-670d-482f-8816-2d26b29eb0ad"/>
    <xsd:import namespace="57014138-723a-4552-b1be-d16d25732a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3b9520-670d-482f-8816-2d26b29eb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55bb865-84eb-4962-9f5f-ea22b72842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014138-723a-4552-b1be-d16d25732a5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e5e2287-4017-48d1-9d38-f3e47d6a5d48}" ma:internalName="TaxCatchAll" ma:showField="CatchAllData" ma:web="57014138-723a-4552-b1be-d16d25732a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3b9520-670d-482f-8816-2d26b29eb0ad">
      <Terms xmlns="http://schemas.microsoft.com/office/infopath/2007/PartnerControls"/>
    </lcf76f155ced4ddcb4097134ff3c332f>
    <TaxCatchAll xmlns="57014138-723a-4552-b1be-d16d25732a53" xsi:nil="true"/>
    <SharedWithUsers xmlns="57014138-723a-4552-b1be-d16d25732a53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751025-F7DC-4FA2-8156-73012DEAF2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3b9520-670d-482f-8816-2d26b29eb0ad"/>
    <ds:schemaRef ds:uri="57014138-723a-4552-b1be-d16d25732a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96DF00-DF1F-450F-A9F4-899A653535B7}">
  <ds:schemaRefs>
    <ds:schemaRef ds:uri="http://schemas.microsoft.com/office/2006/metadata/properties"/>
    <ds:schemaRef ds:uri="e13b9520-670d-482f-8816-2d26b29eb0ad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57014138-723a-4552-b1be-d16d25732a53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7BB0632-2758-49C4-8E64-1D1A5FD48DA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1529607-c733-4c24-9bbf-6fde5c281343}" enabled="0" method="" siteId="{91529607-c733-4c24-9bbf-6fde5c28134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El Retiro</vt:lpstr>
      <vt:lpstr>Sta. Margarita</vt:lpstr>
      <vt:lpstr>Coca-Cola</vt:lpstr>
      <vt:lpstr>Condell</vt:lpstr>
      <vt:lpstr>Sta. Marta</vt:lpstr>
      <vt:lpstr>A. Luco</vt:lpstr>
      <vt:lpstr>Pie Andino</vt:lpstr>
      <vt:lpstr>Juanita</vt:lpstr>
      <vt:lpstr>Flota Soporte</vt:lpstr>
      <vt:lpstr>Flota Auxiliar</vt:lpstr>
      <vt:lpstr>Tablas</vt:lpstr>
      <vt:lpstr>Dinámicas</vt:lpstr>
      <vt:lpstr>Resumen Distribución</vt:lpstr>
      <vt:lpstr>Hoja3</vt:lpstr>
      <vt:lpstr>Hoja2</vt:lpstr>
      <vt:lpstr>Hoja1</vt:lpstr>
      <vt:lpstr>Mov El Retiro</vt:lpstr>
      <vt:lpstr>Consolidado</vt:lpstr>
      <vt:lpstr>Histórico</vt:lpstr>
      <vt:lpstr>Inicio Terminales</vt:lpstr>
      <vt:lpstr>analisis PO</vt:lpstr>
      <vt:lpstr>Operación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Derek Becerra</dc:creator>
  <cp:keywords/>
  <dc:description/>
  <cp:lastModifiedBy>Manuel Casas Cordero</cp:lastModifiedBy>
  <cp:revision/>
  <dcterms:created xsi:type="dcterms:W3CDTF">2023-01-13T21:07:45Z</dcterms:created>
  <dcterms:modified xsi:type="dcterms:W3CDTF">2026-08-26T16:11:07Z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0x010100F147A5680AD32E40B85416387CD348AC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